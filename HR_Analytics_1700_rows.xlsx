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coolr\Downloads\"/>
    </mc:Choice>
  </mc:AlternateContent>
  <xr:revisionPtr revIDLastSave="0" documentId="13_ncr:1_{5FC24BC9-B9E0-4FAF-8BC2-0926D15BB4A5}" xr6:coauthVersionLast="47" xr6:coauthVersionMax="47" xr10:uidLastSave="{00000000-0000-0000-0000-000000000000}"/>
  <bookViews>
    <workbookView xWindow="-108" yWindow="-108" windowWidth="23256" windowHeight="12456" activeTab="4" xr2:uid="{00000000-000D-0000-FFFF-FFFF00000000}"/>
  </bookViews>
  <sheets>
    <sheet name="DATA" sheetId="1" r:id="rId1"/>
    <sheet name="KPI s" sheetId="3" r:id="rId2"/>
    <sheet name="PIVOT TABLES 2" sheetId="5" r:id="rId3"/>
    <sheet name="PIVOT TABLES" sheetId="2" r:id="rId4"/>
    <sheet name="DASHBOARD" sheetId="6" r:id="rId5"/>
  </sheets>
  <definedNames>
    <definedName name="_xlnm._FilterDatabase" localSheetId="0" hidden="1">DATA!$A$1:$O$1701</definedName>
    <definedName name="_xlchart.v1.0" hidden="1">DATA!$G$1</definedName>
    <definedName name="_xlchart.v1.1" hidden="1">DATA!$G$2:$G$1701</definedName>
    <definedName name="_xlchart.v1.2" hidden="1">DATA!$G$1</definedName>
    <definedName name="_xlchart.v1.3" hidden="1">DATA!$G$2:$G$1701</definedName>
    <definedName name="Slicer_City">#N/A</definedName>
    <definedName name="Slicer_Department">#N/A</definedName>
    <definedName name="Slicer_Education">#N/A</definedName>
    <definedName name="Slicer_Gend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3" l="1"/>
  <c r="A8" i="3"/>
  <c r="A4" i="3"/>
  <c r="A2" i="3"/>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2" i="1"/>
  <c r="AA14" i="6"/>
  <c r="S15" i="6"/>
  <c r="J14" i="6"/>
  <c r="L14" i="6"/>
  <c r="X15" i="6"/>
  <c r="BC5" i="6"/>
  <c r="P14" i="6" l="1"/>
  <c r="P15" i="6" s="1"/>
  <c r="A6" i="3"/>
  <c r="A10" i="3"/>
</calcChain>
</file>

<file path=xl/sharedStrings.xml><?xml version="1.0" encoding="utf-8"?>
<sst xmlns="http://schemas.openxmlformats.org/spreadsheetml/2006/main" count="17113" uniqueCount="1841">
  <si>
    <t>Employee_ID</t>
  </si>
  <si>
    <t>Name</t>
  </si>
  <si>
    <t>Age</t>
  </si>
  <si>
    <t>Gender</t>
  </si>
  <si>
    <t>Department</t>
  </si>
  <si>
    <t>Role</t>
  </si>
  <si>
    <t>Salary</t>
  </si>
  <si>
    <t>Education</t>
  </si>
  <si>
    <t>Marital_Status</t>
  </si>
  <si>
    <t>Join_Date</t>
  </si>
  <si>
    <t>Attrition</t>
  </si>
  <si>
    <t>Performance_Rating</t>
  </si>
  <si>
    <t>City</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</si>
  <si>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</si>
  <si>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</si>
  <si>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</si>
  <si>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</si>
  <si>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</si>
  <si>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</si>
  <si>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</si>
  <si>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</si>
  <si>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</si>
  <si>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</si>
  <si>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</si>
  <si>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</si>
  <si>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</si>
  <si>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</si>
  <si>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</si>
  <si>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</si>
  <si>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</si>
  <si>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</si>
  <si>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</si>
  <si>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</si>
  <si>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</si>
  <si>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</si>
  <si>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</si>
  <si>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</si>
  <si>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</si>
  <si>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</si>
  <si>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</si>
  <si>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</si>
  <si>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</si>
  <si>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</si>
  <si>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</si>
  <si>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</si>
  <si>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</si>
  <si>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</si>
  <si>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</si>
  <si>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</si>
  <si>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</si>
  <si>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</si>
  <si>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</si>
  <si>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</si>
  <si>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</si>
  <si>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</si>
  <si>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</si>
  <si>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</si>
  <si>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</si>
  <si>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</si>
  <si>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</si>
  <si>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</si>
  <si>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</si>
  <si>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</si>
  <si>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</si>
  <si>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</si>
  <si>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</si>
  <si>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</si>
  <si>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</si>
  <si>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</si>
  <si>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</si>
  <si>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</si>
  <si>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</si>
  <si>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</si>
  <si>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</si>
  <si>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</si>
  <si>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</si>
  <si>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</si>
  <si>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</si>
  <si>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</si>
  <si>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</si>
  <si>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</si>
  <si>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</si>
  <si>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</si>
  <si>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</si>
  <si>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</si>
  <si>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</si>
  <si>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</si>
  <si>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</si>
  <si>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</si>
  <si>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</si>
  <si>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</si>
  <si>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</si>
  <si>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</si>
  <si>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</si>
  <si>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</si>
  <si>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</si>
  <si>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</si>
  <si>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</si>
  <si>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</si>
  <si>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</si>
  <si>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</si>
  <si>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</si>
  <si>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</si>
  <si>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</si>
  <si>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</si>
  <si>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</si>
  <si>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</si>
  <si>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</si>
  <si>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</si>
  <si>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</si>
  <si>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</si>
  <si>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</si>
  <si>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</si>
  <si>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</si>
  <si>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</si>
  <si>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</si>
  <si>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</si>
  <si>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</si>
  <si>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</si>
  <si>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</si>
  <si>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</si>
  <si>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</si>
  <si>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</si>
  <si>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</si>
  <si>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</si>
  <si>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</si>
  <si>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</si>
  <si>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</si>
  <si>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</si>
  <si>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</si>
  <si>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</si>
  <si>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</si>
  <si>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</si>
  <si>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</si>
  <si>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</si>
  <si>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</si>
  <si>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</si>
  <si>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</si>
  <si>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</si>
  <si>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</si>
  <si>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</si>
  <si>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</si>
  <si>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</si>
  <si>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</si>
  <si>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</si>
  <si>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</si>
  <si>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</si>
  <si>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</si>
  <si>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</si>
  <si>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</si>
  <si>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</si>
  <si>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</si>
  <si>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</si>
  <si>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</si>
  <si>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</si>
  <si>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</si>
  <si>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</si>
  <si>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</si>
  <si>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</si>
  <si>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</si>
  <si>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</si>
  <si>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</si>
  <si>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EMP1150</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</si>
  <si>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</si>
  <si>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</si>
  <si>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</si>
  <si>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</si>
  <si>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</si>
  <si>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</si>
  <si>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</si>
  <si>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</si>
  <si>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</si>
  <si>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</si>
  <si>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</si>
  <si>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</si>
  <si>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</si>
  <si>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</si>
  <si>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</si>
  <si>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</si>
  <si>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</si>
  <si>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</si>
  <si>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</si>
  <si>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</si>
  <si>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</si>
  <si>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</si>
  <si>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</si>
  <si>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</si>
  <si>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</si>
  <si>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</si>
  <si>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</si>
  <si>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</si>
  <si>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</si>
  <si>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</si>
  <si>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</si>
  <si>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</si>
  <si>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</si>
  <si>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</si>
  <si>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</si>
  <si>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</si>
  <si>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</si>
  <si>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</si>
  <si>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</si>
  <si>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</si>
  <si>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</si>
  <si>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</si>
  <si>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</si>
  <si>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</si>
  <si>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</si>
  <si>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</si>
  <si>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</si>
  <si>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</si>
  <si>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</si>
  <si>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</si>
  <si>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</si>
  <si>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</si>
  <si>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</si>
  <si>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</si>
  <si>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</si>
  <si>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</si>
  <si>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</si>
  <si>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</si>
  <si>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</si>
  <si>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</si>
  <si>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</si>
  <si>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</si>
  <si>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</si>
  <si>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</si>
  <si>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</si>
  <si>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</si>
  <si>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</si>
  <si>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</si>
  <si>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</si>
  <si>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</si>
  <si>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</si>
  <si>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</si>
  <si>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</si>
  <si>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</si>
  <si>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</si>
  <si>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</si>
  <si>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</si>
  <si>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</si>
  <si>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</si>
  <si>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</si>
  <si>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</si>
  <si>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</si>
  <si>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</si>
  <si>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</si>
  <si>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</si>
  <si>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</si>
  <si>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</si>
  <si>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</si>
  <si>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</si>
  <si>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</si>
  <si>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</si>
  <si>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</si>
  <si>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</si>
  <si>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</si>
  <si>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</si>
  <si>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</si>
  <si>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</si>
  <si>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</si>
  <si>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</si>
  <si>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</si>
  <si>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</si>
  <si>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</si>
  <si>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</si>
  <si>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</si>
  <si>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</si>
  <si>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</si>
  <si>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</si>
  <si>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</si>
  <si>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</si>
  <si>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</si>
  <si>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</si>
  <si>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</si>
  <si>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</si>
  <si>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</si>
  <si>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</si>
  <si>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</si>
  <si>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</si>
  <si>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</si>
  <si>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</si>
  <si>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</si>
  <si>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</si>
  <si>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</si>
  <si>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</si>
  <si>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</si>
  <si>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</si>
  <si>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</si>
  <si>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</si>
  <si>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</si>
  <si>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</si>
  <si>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</si>
  <si>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</si>
  <si>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</si>
  <si>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</si>
  <si>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</si>
  <si>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</si>
  <si>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</si>
  <si>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</si>
  <si>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</si>
  <si>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</si>
  <si>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</si>
  <si>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</si>
  <si>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</si>
  <si>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</si>
  <si>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</si>
  <si>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</si>
  <si>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</si>
  <si>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</si>
  <si>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</si>
  <si>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</si>
  <si>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</si>
  <si>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</si>
  <si>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</si>
  <si>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</si>
  <si>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</si>
  <si>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</si>
  <si>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</si>
  <si>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</si>
  <si>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</si>
  <si>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</si>
  <si>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</si>
  <si>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</si>
  <si>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</si>
  <si>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</si>
  <si>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</si>
  <si>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</si>
  <si>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</si>
  <si>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</si>
  <si>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</si>
  <si>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</si>
  <si>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</si>
  <si>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</si>
  <si>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</si>
  <si>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</si>
  <si>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</si>
  <si>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</si>
  <si>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</si>
  <si>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</si>
  <si>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</si>
  <si>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</si>
  <si>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</si>
  <si>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</si>
  <si>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</si>
  <si>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</si>
  <si>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</si>
  <si>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</si>
  <si>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</si>
  <si>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</si>
  <si>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</si>
  <si>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</si>
  <si>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</si>
  <si>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</si>
  <si>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</si>
  <si>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</si>
  <si>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</si>
  <si>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</si>
  <si>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</si>
  <si>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</si>
  <si>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</si>
  <si>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</si>
  <si>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</si>
  <si>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</si>
  <si>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</si>
  <si>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</si>
  <si>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</si>
  <si>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</si>
  <si>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</si>
  <si>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</si>
  <si>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</si>
  <si>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</si>
  <si>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</si>
  <si>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</si>
  <si>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</si>
  <si>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</si>
  <si>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</si>
  <si>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</si>
  <si>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</si>
  <si>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</si>
  <si>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</si>
  <si>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</si>
  <si>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</si>
  <si>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</si>
  <si>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</si>
  <si>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</si>
  <si>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</si>
  <si>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</si>
  <si>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</si>
  <si>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</si>
  <si>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</si>
  <si>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</si>
  <si>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</si>
  <si>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</si>
  <si>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</si>
  <si>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</si>
  <si>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</si>
  <si>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</si>
  <si>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</si>
  <si>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</si>
  <si>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</si>
  <si>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</si>
  <si>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</si>
  <si>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</si>
  <si>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</si>
  <si>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</si>
  <si>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</si>
  <si>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</si>
  <si>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</si>
  <si>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</si>
  <si>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</si>
  <si>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</si>
  <si>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</si>
  <si>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</si>
  <si>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</si>
  <si>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</si>
  <si>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</si>
  <si>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</si>
  <si>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</si>
  <si>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</si>
  <si>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</si>
  <si>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</si>
  <si>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</si>
  <si>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</si>
  <si>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</si>
  <si>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</si>
  <si>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</si>
  <si>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</si>
  <si>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</si>
  <si>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</si>
  <si>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</si>
  <si>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</si>
  <si>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</si>
  <si>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</si>
  <si>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</si>
  <si>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</si>
  <si>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</si>
  <si>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</si>
  <si>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</si>
  <si>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</si>
  <si>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</si>
  <si>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</si>
  <si>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</si>
  <si>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</si>
  <si>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</si>
  <si>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</si>
  <si>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</si>
  <si>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</si>
  <si>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</si>
  <si>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</si>
  <si>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</si>
  <si>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</si>
  <si>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</si>
  <si>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</si>
  <si>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</si>
  <si>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</si>
  <si>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</si>
  <si>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</si>
  <si>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</si>
  <si>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</si>
  <si>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</si>
  <si>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</si>
  <si>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</si>
  <si>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</si>
  <si>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</si>
  <si>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</si>
  <si>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</si>
  <si>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</si>
  <si>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</si>
  <si>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</si>
  <si>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</si>
  <si>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</si>
  <si>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</si>
  <si>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</si>
  <si>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</si>
  <si>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</si>
  <si>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</si>
  <si>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</si>
  <si>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</si>
  <si>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</si>
  <si>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</si>
  <si>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</si>
  <si>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</si>
  <si>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</si>
  <si>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</si>
  <si>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</si>
  <si>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</si>
  <si>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</si>
  <si>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</si>
  <si>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</si>
  <si>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</si>
  <si>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</si>
  <si>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</si>
  <si>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</si>
  <si>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</si>
  <si>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</si>
  <si>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</si>
  <si>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</si>
  <si>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</si>
  <si>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</si>
  <si>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</si>
  <si>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</si>
  <si>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</si>
  <si>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</si>
  <si>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</si>
  <si>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</si>
  <si>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</si>
  <si>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</si>
  <si>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</si>
  <si>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</si>
  <si>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</si>
  <si>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</si>
  <si>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</si>
  <si>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</si>
  <si>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</si>
  <si>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</si>
  <si>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</si>
  <si>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</si>
  <si>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</si>
  <si>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</si>
  <si>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</si>
  <si>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</si>
  <si>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</si>
  <si>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</si>
  <si>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</si>
  <si>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</si>
  <si>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</si>
  <si>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</si>
  <si>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</si>
  <si>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</si>
  <si>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</si>
  <si>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</si>
  <si>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</si>
  <si>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</si>
  <si>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</si>
  <si>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</si>
  <si>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</si>
  <si>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</si>
  <si>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</si>
  <si>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</si>
  <si>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</si>
  <si>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</si>
  <si>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</si>
  <si>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</si>
  <si>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</si>
  <si>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</si>
  <si>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</si>
  <si>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</si>
  <si>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</si>
  <si>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</si>
  <si>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</si>
  <si>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</si>
  <si>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</si>
  <si>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</si>
  <si>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</si>
  <si>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</si>
  <si>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</si>
  <si>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</si>
  <si>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</si>
  <si>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</si>
  <si>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</si>
  <si>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</si>
  <si>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</si>
  <si>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</si>
  <si>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</si>
  <si>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</si>
  <si>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</si>
  <si>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</si>
  <si>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</si>
  <si>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</si>
  <si>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</si>
  <si>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</si>
  <si>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</si>
  <si>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</si>
  <si>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</si>
  <si>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</si>
  <si>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</si>
  <si>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</si>
  <si>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</si>
  <si>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</si>
  <si>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</si>
  <si>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</si>
  <si>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</si>
  <si>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</si>
  <si>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</si>
  <si>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</si>
  <si>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</si>
  <si>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</si>
  <si>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</si>
  <si>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</si>
  <si>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</si>
  <si>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</si>
  <si>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</si>
  <si>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</si>
  <si>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</si>
  <si>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</si>
  <si>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</si>
  <si>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</si>
  <si>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</si>
  <si>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</si>
  <si>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</si>
  <si>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</si>
  <si>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</si>
  <si>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</si>
  <si>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</si>
  <si>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</si>
  <si>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</si>
  <si>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</si>
  <si>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</si>
  <si>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</si>
  <si>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</si>
  <si>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</si>
  <si>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</si>
  <si>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</si>
  <si>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</si>
  <si>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</si>
  <si>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</si>
  <si>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</si>
  <si>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</si>
  <si>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</si>
  <si>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</si>
  <si>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</si>
  <si>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</si>
  <si>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</si>
  <si>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</si>
  <si>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</si>
  <si>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</si>
  <si>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</si>
  <si>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</si>
  <si>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</si>
  <si>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</si>
  <si>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</si>
  <si>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</si>
  <si>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</si>
  <si>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</si>
  <si>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</si>
  <si>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</si>
  <si>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</si>
  <si>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</si>
  <si>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</si>
  <si>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</si>
  <si>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</si>
  <si>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</si>
  <si>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</si>
  <si>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</si>
  <si>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</si>
  <si>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</si>
  <si>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</si>
  <si>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</si>
  <si>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</si>
  <si>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</si>
  <si>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</si>
  <si>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</si>
  <si>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</si>
  <si>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</si>
  <si>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</si>
  <si>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</si>
  <si>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</si>
  <si>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</si>
  <si>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</si>
  <si>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</si>
  <si>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</si>
  <si>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</si>
  <si>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</si>
  <si>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</si>
  <si>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</si>
  <si>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</si>
  <si>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</si>
  <si>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</si>
  <si>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</si>
  <si>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</si>
  <si>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</si>
  <si>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</si>
  <si>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</si>
  <si>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</si>
  <si>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</si>
  <si>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</si>
  <si>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</si>
  <si>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</si>
  <si>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</si>
  <si>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</si>
  <si>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</si>
  <si>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</si>
  <si>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</si>
  <si>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</si>
  <si>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</si>
  <si>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</si>
  <si>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</si>
  <si>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</si>
  <si>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</si>
  <si>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</si>
  <si>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</si>
  <si>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</si>
  <si>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</si>
  <si>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</si>
  <si>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</si>
  <si>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</si>
  <si>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</si>
  <si>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</si>
  <si>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</si>
  <si>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</si>
  <si>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</si>
  <si>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</si>
  <si>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</si>
  <si>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</si>
  <si>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</si>
  <si>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</si>
  <si>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</si>
  <si>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</si>
  <si>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</si>
  <si>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</si>
  <si>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</si>
  <si>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</si>
  <si>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</si>
  <si>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</si>
  <si>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</si>
  <si>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</si>
  <si>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</si>
  <si>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</si>
  <si>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</si>
  <si>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</si>
  <si>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</si>
  <si>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</si>
  <si>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</si>
  <si>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</si>
  <si>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</si>
  <si>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</si>
  <si>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</si>
  <si>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</si>
  <si>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</si>
  <si>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</si>
  <si>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</si>
  <si>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</si>
  <si>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</si>
  <si>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</si>
  <si>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</si>
  <si>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</si>
  <si>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</si>
  <si>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</si>
  <si>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</si>
  <si>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</si>
  <si>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</si>
  <si>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</si>
  <si>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</si>
  <si>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</si>
  <si>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</si>
  <si>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</si>
  <si>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</si>
  <si>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</si>
  <si>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EMP1737</t>
  </si>
  <si>
    <t>EMP1738</t>
  </si>
  <si>
    <t>EMP1739</t>
  </si>
  <si>
    <t>EMP1740</t>
  </si>
  <si>
    <t>EMP1741</t>
  </si>
  <si>
    <t>EMP1742</t>
  </si>
  <si>
    <t>EMP1743</t>
  </si>
  <si>
    <t>EMP1744</t>
  </si>
  <si>
    <t>EMP1745</t>
  </si>
  <si>
    <t>EMP1746</t>
  </si>
  <si>
    <t>EMP1747</t>
  </si>
  <si>
    <t>EMP1748</t>
  </si>
  <si>
    <t>EMP1749</t>
  </si>
  <si>
    <t>EMP1750</t>
  </si>
  <si>
    <t>EMP1751</t>
  </si>
  <si>
    <t>EMP1752</t>
  </si>
  <si>
    <t>EMP1753</t>
  </si>
  <si>
    <t>EMP1754</t>
  </si>
  <si>
    <t>EMP1755</t>
  </si>
  <si>
    <t>EMP1756</t>
  </si>
  <si>
    <t>EMP1757</t>
  </si>
  <si>
    <t>EMP1758</t>
  </si>
  <si>
    <t>EMP1759</t>
  </si>
  <si>
    <t>EMP1760</t>
  </si>
  <si>
    <t>EMP1761</t>
  </si>
  <si>
    <t>EMP1762</t>
  </si>
  <si>
    <t>EMP1763</t>
  </si>
  <si>
    <t>EMP1764</t>
  </si>
  <si>
    <t>EMP1765</t>
  </si>
  <si>
    <t>EMP1766</t>
  </si>
  <si>
    <t>EMP1767</t>
  </si>
  <si>
    <t>EMP1768</t>
  </si>
  <si>
    <t>EMP1769</t>
  </si>
  <si>
    <t>EMP1770</t>
  </si>
  <si>
    <t>EMP1771</t>
  </si>
  <si>
    <t>EMP1772</t>
  </si>
  <si>
    <t>EMP1773</t>
  </si>
  <si>
    <t>EMP1774</t>
  </si>
  <si>
    <t>EMP1775</t>
  </si>
  <si>
    <t>EMP1776</t>
  </si>
  <si>
    <t>EMP1777</t>
  </si>
  <si>
    <t>EMP1778</t>
  </si>
  <si>
    <t>EMP1779</t>
  </si>
  <si>
    <t>EMP1780</t>
  </si>
  <si>
    <t>EMP1781</t>
  </si>
  <si>
    <t>EMP1782</t>
  </si>
  <si>
    <t>EMP1783</t>
  </si>
  <si>
    <t>EMP1784</t>
  </si>
  <si>
    <t>EMP1785</t>
  </si>
  <si>
    <t>EMP1786</t>
  </si>
  <si>
    <t>EMP1787</t>
  </si>
  <si>
    <t>EMP1788</t>
  </si>
  <si>
    <t>EMP1789</t>
  </si>
  <si>
    <t>EMP1790</t>
  </si>
  <si>
    <t>EMP1791</t>
  </si>
  <si>
    <t>EMP1792</t>
  </si>
  <si>
    <t>EMP1793</t>
  </si>
  <si>
    <t>EMP1794</t>
  </si>
  <si>
    <t>EMP1795</t>
  </si>
  <si>
    <t>EMP1796</t>
  </si>
  <si>
    <t>EMP1797</t>
  </si>
  <si>
    <t>EMP1798</t>
  </si>
  <si>
    <t>EMP1799</t>
  </si>
  <si>
    <t>EMP1800</t>
  </si>
  <si>
    <t>EMP1801</t>
  </si>
  <si>
    <t>EMP1802</t>
  </si>
  <si>
    <t>EMP1803</t>
  </si>
  <si>
    <t>EMP1804</t>
  </si>
  <si>
    <t>EMP1805</t>
  </si>
  <si>
    <t>EMP1806</t>
  </si>
  <si>
    <t>EMP1807</t>
  </si>
  <si>
    <t>EMP1808</t>
  </si>
  <si>
    <t>EMP1809</t>
  </si>
  <si>
    <t>EMP1810</t>
  </si>
  <si>
    <t>EMP1811</t>
  </si>
  <si>
    <t>EMP1812</t>
  </si>
  <si>
    <t>EMP1813</t>
  </si>
  <si>
    <t>EMP1814</t>
  </si>
  <si>
    <t>EMP1815</t>
  </si>
  <si>
    <t>EMP1816</t>
  </si>
  <si>
    <t>EMP1817</t>
  </si>
  <si>
    <t>EMP1818</t>
  </si>
  <si>
    <t>EMP1819</t>
  </si>
  <si>
    <t>EMP1820</t>
  </si>
  <si>
    <t>EMP1821</t>
  </si>
  <si>
    <t>EMP1822</t>
  </si>
  <si>
    <t>EMP1823</t>
  </si>
  <si>
    <t>EMP1824</t>
  </si>
  <si>
    <t>EMP1825</t>
  </si>
  <si>
    <t>EMP1826</t>
  </si>
  <si>
    <t>EMP1827</t>
  </si>
  <si>
    <t>EMP1828</t>
  </si>
  <si>
    <t>EMP1829</t>
  </si>
  <si>
    <t>EMP1830</t>
  </si>
  <si>
    <t>EMP1831</t>
  </si>
  <si>
    <t>EMP1832</t>
  </si>
  <si>
    <t>EMP1833</t>
  </si>
  <si>
    <t>EMP1834</t>
  </si>
  <si>
    <t>EMP1835</t>
  </si>
  <si>
    <t>EMP1836</t>
  </si>
  <si>
    <t>EMP1837</t>
  </si>
  <si>
    <t>EMP1838</t>
  </si>
  <si>
    <t>EMP1839</t>
  </si>
  <si>
    <t>EMP1840</t>
  </si>
  <si>
    <t>EMP1841</t>
  </si>
  <si>
    <t>EMP1842</t>
  </si>
  <si>
    <t>EMP1843</t>
  </si>
  <si>
    <t>EMP1844</t>
  </si>
  <si>
    <t>EMP1845</t>
  </si>
  <si>
    <t>EMP1846</t>
  </si>
  <si>
    <t>EMP1847</t>
  </si>
  <si>
    <t>EMP1848</t>
  </si>
  <si>
    <t>EMP1849</t>
  </si>
  <si>
    <t>EMP1850</t>
  </si>
  <si>
    <t>EMP1851</t>
  </si>
  <si>
    <t>EMP1852</t>
  </si>
  <si>
    <t>EMP1853</t>
  </si>
  <si>
    <t>EMP1854</t>
  </si>
  <si>
    <t>EMP1855</t>
  </si>
  <si>
    <t>EMP1856</t>
  </si>
  <si>
    <t>EMP1857</t>
  </si>
  <si>
    <t>EMP1858</t>
  </si>
  <si>
    <t>EMP1859</t>
  </si>
  <si>
    <t>EMP1860</t>
  </si>
  <si>
    <t>EMP1861</t>
  </si>
  <si>
    <t>EMP1862</t>
  </si>
  <si>
    <t>EMP1863</t>
  </si>
  <si>
    <t>EMP1864</t>
  </si>
  <si>
    <t>EMP1865</t>
  </si>
  <si>
    <t>EMP1866</t>
  </si>
  <si>
    <t>EMP1867</t>
  </si>
  <si>
    <t>EMP1868</t>
  </si>
  <si>
    <t>EMP1869</t>
  </si>
  <si>
    <t>EMP1870</t>
  </si>
  <si>
    <t>EMP1871</t>
  </si>
  <si>
    <t>EMP1872</t>
  </si>
  <si>
    <t>EMP1873</t>
  </si>
  <si>
    <t>EMP1874</t>
  </si>
  <si>
    <t>EMP1875</t>
  </si>
  <si>
    <t>EMP1876</t>
  </si>
  <si>
    <t>EMP1877</t>
  </si>
  <si>
    <t>EMP1878</t>
  </si>
  <si>
    <t>EMP1879</t>
  </si>
  <si>
    <t>EMP1880</t>
  </si>
  <si>
    <t>EMP1881</t>
  </si>
  <si>
    <t>EMP1882</t>
  </si>
  <si>
    <t>EMP1883</t>
  </si>
  <si>
    <t>EMP1884</t>
  </si>
  <si>
    <t>EMP1885</t>
  </si>
  <si>
    <t>EMP1886</t>
  </si>
  <si>
    <t>EMP1887</t>
  </si>
  <si>
    <t>EMP1888</t>
  </si>
  <si>
    <t>EMP1889</t>
  </si>
  <si>
    <t>EMP1890</t>
  </si>
  <si>
    <t>EMP1891</t>
  </si>
  <si>
    <t>EMP1892</t>
  </si>
  <si>
    <t>EMP1893</t>
  </si>
  <si>
    <t>EMP1894</t>
  </si>
  <si>
    <t>EMP1895</t>
  </si>
  <si>
    <t>EMP1896</t>
  </si>
  <si>
    <t>EMP1897</t>
  </si>
  <si>
    <t>EMP1898</t>
  </si>
  <si>
    <t>EMP1899</t>
  </si>
  <si>
    <t>EMP1900</t>
  </si>
  <si>
    <t>EMP1901</t>
  </si>
  <si>
    <t>EMP1902</t>
  </si>
  <si>
    <t>EMP1903</t>
  </si>
  <si>
    <t>EMP1904</t>
  </si>
  <si>
    <t>EMP1905</t>
  </si>
  <si>
    <t>EMP1906</t>
  </si>
  <si>
    <t>EMP1907</t>
  </si>
  <si>
    <t>EMP1908</t>
  </si>
  <si>
    <t>EMP1909</t>
  </si>
  <si>
    <t>EMP1910</t>
  </si>
  <si>
    <t>EMP1911</t>
  </si>
  <si>
    <t>EMP1912</t>
  </si>
  <si>
    <t>EMP1913</t>
  </si>
  <si>
    <t>EMP1914</t>
  </si>
  <si>
    <t>EMP1915</t>
  </si>
  <si>
    <t>EMP1916</t>
  </si>
  <si>
    <t>EMP1917</t>
  </si>
  <si>
    <t>EMP1918</t>
  </si>
  <si>
    <t>EMP1919</t>
  </si>
  <si>
    <t>EMP1920</t>
  </si>
  <si>
    <t>EMP1921</t>
  </si>
  <si>
    <t>EMP1922</t>
  </si>
  <si>
    <t>EMP1923</t>
  </si>
  <si>
    <t>EMP1924</t>
  </si>
  <si>
    <t>EMP1925</t>
  </si>
  <si>
    <t>EMP1926</t>
  </si>
  <si>
    <t>EMP1927</t>
  </si>
  <si>
    <t>EMP1928</t>
  </si>
  <si>
    <t>EMP1929</t>
  </si>
  <si>
    <t>EMP1930</t>
  </si>
  <si>
    <t>EMP1931</t>
  </si>
  <si>
    <t>EMP1932</t>
  </si>
  <si>
    <t>EMP1933</t>
  </si>
  <si>
    <t>EMP1934</t>
  </si>
  <si>
    <t>EMP1935</t>
  </si>
  <si>
    <t>EMP1936</t>
  </si>
  <si>
    <t>EMP1937</t>
  </si>
  <si>
    <t>EMP1938</t>
  </si>
  <si>
    <t>EMP1939</t>
  </si>
  <si>
    <t>EMP1940</t>
  </si>
  <si>
    <t>EMP1941</t>
  </si>
  <si>
    <t>EMP1942</t>
  </si>
  <si>
    <t>EMP1943</t>
  </si>
  <si>
    <t>EMP1944</t>
  </si>
  <si>
    <t>EMP1945</t>
  </si>
  <si>
    <t>EMP1946</t>
  </si>
  <si>
    <t>EMP1947</t>
  </si>
  <si>
    <t>EMP1948</t>
  </si>
  <si>
    <t>EMP1949</t>
  </si>
  <si>
    <t>EMP1950</t>
  </si>
  <si>
    <t>EMP1951</t>
  </si>
  <si>
    <t>EMP1952</t>
  </si>
  <si>
    <t>EMP1953</t>
  </si>
  <si>
    <t>EMP1954</t>
  </si>
  <si>
    <t>EMP1955</t>
  </si>
  <si>
    <t>EMP1956</t>
  </si>
  <si>
    <t>EMP1957</t>
  </si>
  <si>
    <t>EMP1958</t>
  </si>
  <si>
    <t>EMP1959</t>
  </si>
  <si>
    <t>EMP1960</t>
  </si>
  <si>
    <t>EMP1961</t>
  </si>
  <si>
    <t>EMP1962</t>
  </si>
  <si>
    <t>EMP1963</t>
  </si>
  <si>
    <t>EMP1964</t>
  </si>
  <si>
    <t>EMP1965</t>
  </si>
  <si>
    <t>EMP1966</t>
  </si>
  <si>
    <t>EMP1967</t>
  </si>
  <si>
    <t>EMP1968</t>
  </si>
  <si>
    <t>EMP1969</t>
  </si>
  <si>
    <t>EMP1970</t>
  </si>
  <si>
    <t>EMP1971</t>
  </si>
  <si>
    <t>EMP1972</t>
  </si>
  <si>
    <t>EMP1973</t>
  </si>
  <si>
    <t>EMP1974</t>
  </si>
  <si>
    <t>EMP1975</t>
  </si>
  <si>
    <t>EMP1976</t>
  </si>
  <si>
    <t>EMP1977</t>
  </si>
  <si>
    <t>EMP1978</t>
  </si>
  <si>
    <t>EMP1979</t>
  </si>
  <si>
    <t>EMP1980</t>
  </si>
  <si>
    <t>EMP1981</t>
  </si>
  <si>
    <t>EMP1982</t>
  </si>
  <si>
    <t>EMP1983</t>
  </si>
  <si>
    <t>EMP1984</t>
  </si>
  <si>
    <t>EMP1985</t>
  </si>
  <si>
    <t>EMP1986</t>
  </si>
  <si>
    <t>EMP1987</t>
  </si>
  <si>
    <t>EMP1988</t>
  </si>
  <si>
    <t>EMP1989</t>
  </si>
  <si>
    <t>EMP1990</t>
  </si>
  <si>
    <t>EMP1991</t>
  </si>
  <si>
    <t>EMP1992</t>
  </si>
  <si>
    <t>EMP1993</t>
  </si>
  <si>
    <t>EMP1994</t>
  </si>
  <si>
    <t>EMP1995</t>
  </si>
  <si>
    <t>EMP1996</t>
  </si>
  <si>
    <t>EMP1997</t>
  </si>
  <si>
    <t>EMP1998</t>
  </si>
  <si>
    <t>EMP1999</t>
  </si>
  <si>
    <t>EMP2000</t>
  </si>
  <si>
    <t>EMP2001</t>
  </si>
  <si>
    <t>EMP2002</t>
  </si>
  <si>
    <t>EMP2003</t>
  </si>
  <si>
    <t>EMP2004</t>
  </si>
  <si>
    <t>EMP2005</t>
  </si>
  <si>
    <t>EMP2006</t>
  </si>
  <si>
    <t>EMP2007</t>
  </si>
  <si>
    <t>EMP2008</t>
  </si>
  <si>
    <t>EMP2009</t>
  </si>
  <si>
    <t>EMP2010</t>
  </si>
  <si>
    <t>EMP2011</t>
  </si>
  <si>
    <t>EMP2012</t>
  </si>
  <si>
    <t>EMP2013</t>
  </si>
  <si>
    <t>EMP2014</t>
  </si>
  <si>
    <t>EMP2015</t>
  </si>
  <si>
    <t>EMP2016</t>
  </si>
  <si>
    <t>EMP2017</t>
  </si>
  <si>
    <t>EMP2018</t>
  </si>
  <si>
    <t>EMP2019</t>
  </si>
  <si>
    <t>EMP2020</t>
  </si>
  <si>
    <t>EMP2021</t>
  </si>
  <si>
    <t>EMP2022</t>
  </si>
  <si>
    <t>EMP2023</t>
  </si>
  <si>
    <t>EMP2024</t>
  </si>
  <si>
    <t>EMP2025</t>
  </si>
  <si>
    <t>EMP2026</t>
  </si>
  <si>
    <t>EMP2027</t>
  </si>
  <si>
    <t>EMP2028</t>
  </si>
  <si>
    <t>EMP2029</t>
  </si>
  <si>
    <t>EMP2030</t>
  </si>
  <si>
    <t>EMP2031</t>
  </si>
  <si>
    <t>EMP2032</t>
  </si>
  <si>
    <t>EMP2033</t>
  </si>
  <si>
    <t>EMP2034</t>
  </si>
  <si>
    <t>EMP2035</t>
  </si>
  <si>
    <t>EMP2036</t>
  </si>
  <si>
    <t>EMP2037</t>
  </si>
  <si>
    <t>EMP2038</t>
  </si>
  <si>
    <t>EMP2039</t>
  </si>
  <si>
    <t>EMP2040</t>
  </si>
  <si>
    <t>EMP2041</t>
  </si>
  <si>
    <t>EMP2042</t>
  </si>
  <si>
    <t>EMP2043</t>
  </si>
  <si>
    <t>EMP2044</t>
  </si>
  <si>
    <t>EMP2045</t>
  </si>
  <si>
    <t>EMP2046</t>
  </si>
  <si>
    <t>EMP2047</t>
  </si>
  <si>
    <t>EMP2048</t>
  </si>
  <si>
    <t>EMP2049</t>
  </si>
  <si>
    <t>EMP2050</t>
  </si>
  <si>
    <t>EMP2051</t>
  </si>
  <si>
    <t>EMP2052</t>
  </si>
  <si>
    <t>EMP2053</t>
  </si>
  <si>
    <t>EMP2054</t>
  </si>
  <si>
    <t>EMP2055</t>
  </si>
  <si>
    <t>EMP2056</t>
  </si>
  <si>
    <t>EMP2057</t>
  </si>
  <si>
    <t>EMP2058</t>
  </si>
  <si>
    <t>EMP2059</t>
  </si>
  <si>
    <t>EMP2060</t>
  </si>
  <si>
    <t>EMP2061</t>
  </si>
  <si>
    <t>EMP2062</t>
  </si>
  <si>
    <t>EMP2063</t>
  </si>
  <si>
    <t>EMP2064</t>
  </si>
  <si>
    <t>EMP2065</t>
  </si>
  <si>
    <t>EMP2066</t>
  </si>
  <si>
    <t>EMP2067</t>
  </si>
  <si>
    <t>EMP2068</t>
  </si>
  <si>
    <t>EMP2069</t>
  </si>
  <si>
    <t>EMP2070</t>
  </si>
  <si>
    <t>EMP2071</t>
  </si>
  <si>
    <t>EMP2072</t>
  </si>
  <si>
    <t>EMP2073</t>
  </si>
  <si>
    <t>EMP2074</t>
  </si>
  <si>
    <t>EMP2075</t>
  </si>
  <si>
    <t>EMP2076</t>
  </si>
  <si>
    <t>EMP2077</t>
  </si>
  <si>
    <t>EMP2078</t>
  </si>
  <si>
    <t>EMP2079</t>
  </si>
  <si>
    <t>EMP2080</t>
  </si>
  <si>
    <t>EMP2081</t>
  </si>
  <si>
    <t>EMP2082</t>
  </si>
  <si>
    <t>EMP2083</t>
  </si>
  <si>
    <t>EMP2084</t>
  </si>
  <si>
    <t>EMP2085</t>
  </si>
  <si>
    <t>EMP2086</t>
  </si>
  <si>
    <t>EMP2087</t>
  </si>
  <si>
    <t>EMP2088</t>
  </si>
  <si>
    <t>EMP2089</t>
  </si>
  <si>
    <t>EMP2090</t>
  </si>
  <si>
    <t>EMP2091</t>
  </si>
  <si>
    <t>EMP2092</t>
  </si>
  <si>
    <t>EMP2093</t>
  </si>
  <si>
    <t>EMP2094</t>
  </si>
  <si>
    <t>EMP2095</t>
  </si>
  <si>
    <t>EMP2096</t>
  </si>
  <si>
    <t>EMP2097</t>
  </si>
  <si>
    <t>EMP2098</t>
  </si>
  <si>
    <t>EMP2099</t>
  </si>
  <si>
    <t>EMP2100</t>
  </si>
  <si>
    <t>EMP2101</t>
  </si>
  <si>
    <t>EMP2102</t>
  </si>
  <si>
    <t>EMP2103</t>
  </si>
  <si>
    <t>EMP2104</t>
  </si>
  <si>
    <t>EMP2105</t>
  </si>
  <si>
    <t>EMP2106</t>
  </si>
  <si>
    <t>EMP2107</t>
  </si>
  <si>
    <t>EMP2108</t>
  </si>
  <si>
    <t>EMP2109</t>
  </si>
  <si>
    <t>EMP2110</t>
  </si>
  <si>
    <t>EMP2111</t>
  </si>
  <si>
    <t>EMP2112</t>
  </si>
  <si>
    <t>EMP2113</t>
  </si>
  <si>
    <t>EMP2114</t>
  </si>
  <si>
    <t>EMP2115</t>
  </si>
  <si>
    <t>EMP2116</t>
  </si>
  <si>
    <t>EMP2117</t>
  </si>
  <si>
    <t>EMP2118</t>
  </si>
  <si>
    <t>EMP2119</t>
  </si>
  <si>
    <t>EMP2120</t>
  </si>
  <si>
    <t>EMP2121</t>
  </si>
  <si>
    <t>EMP2122</t>
  </si>
  <si>
    <t>EMP2123</t>
  </si>
  <si>
    <t>EMP2124</t>
  </si>
  <si>
    <t>EMP2125</t>
  </si>
  <si>
    <t>EMP2126</t>
  </si>
  <si>
    <t>EMP2127</t>
  </si>
  <si>
    <t>EMP2128</t>
  </si>
  <si>
    <t>EMP2129</t>
  </si>
  <si>
    <t>EMP2130</t>
  </si>
  <si>
    <t>EMP2131</t>
  </si>
  <si>
    <t>EMP2132</t>
  </si>
  <si>
    <t>EMP2133</t>
  </si>
  <si>
    <t>EMP2134</t>
  </si>
  <si>
    <t>EMP2135</t>
  </si>
  <si>
    <t>EMP2136</t>
  </si>
  <si>
    <t>EMP2137</t>
  </si>
  <si>
    <t>EMP2138</t>
  </si>
  <si>
    <t>EMP2139</t>
  </si>
  <si>
    <t>EMP2140</t>
  </si>
  <si>
    <t>EMP2141</t>
  </si>
  <si>
    <t>EMP2142</t>
  </si>
  <si>
    <t>EMP2143</t>
  </si>
  <si>
    <t>EMP2144</t>
  </si>
  <si>
    <t>EMP2145</t>
  </si>
  <si>
    <t>EMP2146</t>
  </si>
  <si>
    <t>EMP2147</t>
  </si>
  <si>
    <t>EMP2148</t>
  </si>
  <si>
    <t>EMP2149</t>
  </si>
  <si>
    <t>EMP2150</t>
  </si>
  <si>
    <t>EMP2151</t>
  </si>
  <si>
    <t>EMP2152</t>
  </si>
  <si>
    <t>EMP2153</t>
  </si>
  <si>
    <t>EMP2154</t>
  </si>
  <si>
    <t>EMP2155</t>
  </si>
  <si>
    <t>EMP2156</t>
  </si>
  <si>
    <t>EMP2157</t>
  </si>
  <si>
    <t>EMP2158</t>
  </si>
  <si>
    <t>EMP2159</t>
  </si>
  <si>
    <t>EMP2160</t>
  </si>
  <si>
    <t>EMP2161</t>
  </si>
  <si>
    <t>EMP2162</t>
  </si>
  <si>
    <t>EMP2163</t>
  </si>
  <si>
    <t>EMP2164</t>
  </si>
  <si>
    <t>EMP2165</t>
  </si>
  <si>
    <t>EMP2166</t>
  </si>
  <si>
    <t>EMP2167</t>
  </si>
  <si>
    <t>EMP2168</t>
  </si>
  <si>
    <t>EMP2169</t>
  </si>
  <si>
    <t>EMP2170</t>
  </si>
  <si>
    <t>EMP2171</t>
  </si>
  <si>
    <t>EMP2172</t>
  </si>
  <si>
    <t>EMP2173</t>
  </si>
  <si>
    <t>EMP2174</t>
  </si>
  <si>
    <t>EMP2175</t>
  </si>
  <si>
    <t>EMP2176</t>
  </si>
  <si>
    <t>EMP2177</t>
  </si>
  <si>
    <t>EMP2178</t>
  </si>
  <si>
    <t>EMP2179</t>
  </si>
  <si>
    <t>EMP2180</t>
  </si>
  <si>
    <t>EMP2181</t>
  </si>
  <si>
    <t>EMP2182</t>
  </si>
  <si>
    <t>EMP2183</t>
  </si>
  <si>
    <t>EMP2184</t>
  </si>
  <si>
    <t>EMP2185</t>
  </si>
  <si>
    <t>EMP2186</t>
  </si>
  <si>
    <t>EMP2187</t>
  </si>
  <si>
    <t>EMP2188</t>
  </si>
  <si>
    <t>EMP2189</t>
  </si>
  <si>
    <t>EMP2190</t>
  </si>
  <si>
    <t>EMP2191</t>
  </si>
  <si>
    <t>EMP2192</t>
  </si>
  <si>
    <t>EMP2193</t>
  </si>
  <si>
    <t>EMP2194</t>
  </si>
  <si>
    <t>EMP2195</t>
  </si>
  <si>
    <t>EMP2196</t>
  </si>
  <si>
    <t>EMP2197</t>
  </si>
  <si>
    <t>EMP2198</t>
  </si>
  <si>
    <t>EMP2199</t>
  </si>
  <si>
    <t>EMP2200</t>
  </si>
  <si>
    <t>EMP2201</t>
  </si>
  <si>
    <t>EMP2202</t>
  </si>
  <si>
    <t>EMP2203</t>
  </si>
  <si>
    <t>EMP2204</t>
  </si>
  <si>
    <t>EMP2205</t>
  </si>
  <si>
    <t>EMP2206</t>
  </si>
  <si>
    <t>EMP2207</t>
  </si>
  <si>
    <t>EMP2208</t>
  </si>
  <si>
    <t>EMP2209</t>
  </si>
  <si>
    <t>EMP2210</t>
  </si>
  <si>
    <t>EMP2211</t>
  </si>
  <si>
    <t>EMP2212</t>
  </si>
  <si>
    <t>EMP2213</t>
  </si>
  <si>
    <t>EMP2214</t>
  </si>
  <si>
    <t>EMP2215</t>
  </si>
  <si>
    <t>EMP2216</t>
  </si>
  <si>
    <t>EMP2217</t>
  </si>
  <si>
    <t>EMP2218</t>
  </si>
  <si>
    <t>EMP2219</t>
  </si>
  <si>
    <t>EMP2220</t>
  </si>
  <si>
    <t>EMP2221</t>
  </si>
  <si>
    <t>EMP2222</t>
  </si>
  <si>
    <t>EMP2223</t>
  </si>
  <si>
    <t>EMP2224</t>
  </si>
  <si>
    <t>EMP2225</t>
  </si>
  <si>
    <t>EMP2226</t>
  </si>
  <si>
    <t>EMP2227</t>
  </si>
  <si>
    <t>EMP2228</t>
  </si>
  <si>
    <t>EMP2229</t>
  </si>
  <si>
    <t>EMP2230</t>
  </si>
  <si>
    <t>EMP2231</t>
  </si>
  <si>
    <t>EMP2232</t>
  </si>
  <si>
    <t>EMP2233</t>
  </si>
  <si>
    <t>EMP2234</t>
  </si>
  <si>
    <t>EMP2235</t>
  </si>
  <si>
    <t>EMP2236</t>
  </si>
  <si>
    <t>EMP2237</t>
  </si>
  <si>
    <t>EMP2238</t>
  </si>
  <si>
    <t>EMP2239</t>
  </si>
  <si>
    <t>EMP2240</t>
  </si>
  <si>
    <t>EMP2241</t>
  </si>
  <si>
    <t>EMP2242</t>
  </si>
  <si>
    <t>EMP2243</t>
  </si>
  <si>
    <t>EMP2244</t>
  </si>
  <si>
    <t>EMP2245</t>
  </si>
  <si>
    <t>EMP2246</t>
  </si>
  <si>
    <t>EMP2247</t>
  </si>
  <si>
    <t>EMP2248</t>
  </si>
  <si>
    <t>EMP2249</t>
  </si>
  <si>
    <t>EMP2250</t>
  </si>
  <si>
    <t>EMP2251</t>
  </si>
  <si>
    <t>EMP2252</t>
  </si>
  <si>
    <t>EMP2253</t>
  </si>
  <si>
    <t>EMP2254</t>
  </si>
  <si>
    <t>EMP2255</t>
  </si>
  <si>
    <t>EMP2256</t>
  </si>
  <si>
    <t>EMP2257</t>
  </si>
  <si>
    <t>EMP2258</t>
  </si>
  <si>
    <t>EMP2259</t>
  </si>
  <si>
    <t>EMP2260</t>
  </si>
  <si>
    <t>EMP2261</t>
  </si>
  <si>
    <t>EMP2262</t>
  </si>
  <si>
    <t>EMP2263</t>
  </si>
  <si>
    <t>EMP2264</t>
  </si>
  <si>
    <t>EMP2265</t>
  </si>
  <si>
    <t>EMP2266</t>
  </si>
  <si>
    <t>EMP2267</t>
  </si>
  <si>
    <t>EMP2268</t>
  </si>
  <si>
    <t>EMP2269</t>
  </si>
  <si>
    <t>EMP2270</t>
  </si>
  <si>
    <t>EMP2271</t>
  </si>
  <si>
    <t>EMP2272</t>
  </si>
  <si>
    <t>EMP2273</t>
  </si>
  <si>
    <t>EMP2274</t>
  </si>
  <si>
    <t>EMP2275</t>
  </si>
  <si>
    <t>EMP2276</t>
  </si>
  <si>
    <t>EMP2277</t>
  </si>
  <si>
    <t>EMP2278</t>
  </si>
  <si>
    <t>EMP2279</t>
  </si>
  <si>
    <t>EMP2280</t>
  </si>
  <si>
    <t>EMP2281</t>
  </si>
  <si>
    <t>EMP2282</t>
  </si>
  <si>
    <t>EMP2283</t>
  </si>
  <si>
    <t>EMP2284</t>
  </si>
  <si>
    <t>EMP2285</t>
  </si>
  <si>
    <t>EMP2286</t>
  </si>
  <si>
    <t>EMP2287</t>
  </si>
  <si>
    <t>EMP2288</t>
  </si>
  <si>
    <t>EMP2289</t>
  </si>
  <si>
    <t>EMP2290</t>
  </si>
  <si>
    <t>EMP2291</t>
  </si>
  <si>
    <t>EMP2292</t>
  </si>
  <si>
    <t>EMP2293</t>
  </si>
  <si>
    <t>EMP2294</t>
  </si>
  <si>
    <t>EMP2295</t>
  </si>
  <si>
    <t>EMP2296</t>
  </si>
  <si>
    <t>EMP2297</t>
  </si>
  <si>
    <t>EMP2298</t>
  </si>
  <si>
    <t>EMP2299</t>
  </si>
  <si>
    <t>EMP2300</t>
  </si>
  <si>
    <t>EMP2301</t>
  </si>
  <si>
    <t>EMP2302</t>
  </si>
  <si>
    <t>EMP2303</t>
  </si>
  <si>
    <t>EMP2304</t>
  </si>
  <si>
    <t>EMP2305</t>
  </si>
  <si>
    <t>EMP2306</t>
  </si>
  <si>
    <t>EMP2307</t>
  </si>
  <si>
    <t>EMP2308</t>
  </si>
  <si>
    <t>EMP2309</t>
  </si>
  <si>
    <t>EMP2310</t>
  </si>
  <si>
    <t>EMP2311</t>
  </si>
  <si>
    <t>EMP2312</t>
  </si>
  <si>
    <t>EMP2313</t>
  </si>
  <si>
    <t>EMP2314</t>
  </si>
  <si>
    <t>EMP2315</t>
  </si>
  <si>
    <t>EMP2316</t>
  </si>
  <si>
    <t>EMP2317</t>
  </si>
  <si>
    <t>EMP2318</t>
  </si>
  <si>
    <t>EMP2319</t>
  </si>
  <si>
    <t>EMP2320</t>
  </si>
  <si>
    <t>EMP2321</t>
  </si>
  <si>
    <t>EMP2322</t>
  </si>
  <si>
    <t>EMP2323</t>
  </si>
  <si>
    <t>EMP2324</t>
  </si>
  <si>
    <t>EMP2325</t>
  </si>
  <si>
    <t>EMP2326</t>
  </si>
  <si>
    <t>EMP2327</t>
  </si>
  <si>
    <t>EMP2328</t>
  </si>
  <si>
    <t>EMP2329</t>
  </si>
  <si>
    <t>EMP2330</t>
  </si>
  <si>
    <t>EMP2331</t>
  </si>
  <si>
    <t>EMP2332</t>
  </si>
  <si>
    <t>EMP2333</t>
  </si>
  <si>
    <t>EMP2334</t>
  </si>
  <si>
    <t>EMP2335</t>
  </si>
  <si>
    <t>EMP2336</t>
  </si>
  <si>
    <t>EMP2337</t>
  </si>
  <si>
    <t>EMP2338</t>
  </si>
  <si>
    <t>EMP2339</t>
  </si>
  <si>
    <t>EMP2340</t>
  </si>
  <si>
    <t>EMP2341</t>
  </si>
  <si>
    <t>EMP2342</t>
  </si>
  <si>
    <t>EMP2343</t>
  </si>
  <si>
    <t>EMP2344</t>
  </si>
  <si>
    <t>EMP2345</t>
  </si>
  <si>
    <t>EMP2346</t>
  </si>
  <si>
    <t>EMP2347</t>
  </si>
  <si>
    <t>EMP2348</t>
  </si>
  <si>
    <t>EMP2349</t>
  </si>
  <si>
    <t>EMP2350</t>
  </si>
  <si>
    <t>EMP2351</t>
  </si>
  <si>
    <t>EMP2352</t>
  </si>
  <si>
    <t>EMP2353</t>
  </si>
  <si>
    <t>EMP2354</t>
  </si>
  <si>
    <t>EMP2355</t>
  </si>
  <si>
    <t>EMP2356</t>
  </si>
  <si>
    <t>EMP2357</t>
  </si>
  <si>
    <t>EMP2358</t>
  </si>
  <si>
    <t>EMP2359</t>
  </si>
  <si>
    <t>EMP2360</t>
  </si>
  <si>
    <t>EMP2361</t>
  </si>
  <si>
    <t>EMP2362</t>
  </si>
  <si>
    <t>EMP2363</t>
  </si>
  <si>
    <t>EMP2364</t>
  </si>
  <si>
    <t>EMP2365</t>
  </si>
  <si>
    <t>EMP2366</t>
  </si>
  <si>
    <t>EMP2367</t>
  </si>
  <si>
    <t>EMP2368</t>
  </si>
  <si>
    <t>EMP2369</t>
  </si>
  <si>
    <t>EMP2370</t>
  </si>
  <si>
    <t>EMP2371</t>
  </si>
  <si>
    <t>EMP2372</t>
  </si>
  <si>
    <t>EMP2373</t>
  </si>
  <si>
    <t>EMP2374</t>
  </si>
  <si>
    <t>EMP2375</t>
  </si>
  <si>
    <t>EMP2376</t>
  </si>
  <si>
    <t>EMP2377</t>
  </si>
  <si>
    <t>EMP2378</t>
  </si>
  <si>
    <t>EMP2379</t>
  </si>
  <si>
    <t>EMP2380</t>
  </si>
  <si>
    <t>EMP2381</t>
  </si>
  <si>
    <t>EMP2382</t>
  </si>
  <si>
    <t>EMP2383</t>
  </si>
  <si>
    <t>EMP2384</t>
  </si>
  <si>
    <t>EMP2385</t>
  </si>
  <si>
    <t>EMP2386</t>
  </si>
  <si>
    <t>EMP2387</t>
  </si>
  <si>
    <t>EMP2388</t>
  </si>
  <si>
    <t>EMP2389</t>
  </si>
  <si>
    <t>EMP2390</t>
  </si>
  <si>
    <t>EMP2391</t>
  </si>
  <si>
    <t>EMP2392</t>
  </si>
  <si>
    <t>EMP2393</t>
  </si>
  <si>
    <t>EMP2394</t>
  </si>
  <si>
    <t>EMP2395</t>
  </si>
  <si>
    <t>EMP2396</t>
  </si>
  <si>
    <t>EMP2397</t>
  </si>
  <si>
    <t>EMP2398</t>
  </si>
  <si>
    <t>EMP2399</t>
  </si>
  <si>
    <t>EMP2400</t>
  </si>
  <si>
    <t>EMP2401</t>
  </si>
  <si>
    <t>EMP2402</t>
  </si>
  <si>
    <t>EMP2403</t>
  </si>
  <si>
    <t>EMP2404</t>
  </si>
  <si>
    <t>EMP2405</t>
  </si>
  <si>
    <t>EMP2406</t>
  </si>
  <si>
    <t>EMP2407</t>
  </si>
  <si>
    <t>EMP2408</t>
  </si>
  <si>
    <t>EMP2409</t>
  </si>
  <si>
    <t>EMP2410</t>
  </si>
  <si>
    <t>EMP2411</t>
  </si>
  <si>
    <t>EMP2412</t>
  </si>
  <si>
    <t>EMP2413</t>
  </si>
  <si>
    <t>EMP2414</t>
  </si>
  <si>
    <t>EMP2415</t>
  </si>
  <si>
    <t>EMP2416</t>
  </si>
  <si>
    <t>EMP2417</t>
  </si>
  <si>
    <t>EMP2418</t>
  </si>
  <si>
    <t>EMP2419</t>
  </si>
  <si>
    <t>EMP2420</t>
  </si>
  <si>
    <t>EMP2421</t>
  </si>
  <si>
    <t>EMP2422</t>
  </si>
  <si>
    <t>EMP2423</t>
  </si>
  <si>
    <t>EMP2424</t>
  </si>
  <si>
    <t>EMP2425</t>
  </si>
  <si>
    <t>EMP2426</t>
  </si>
  <si>
    <t>EMP2427</t>
  </si>
  <si>
    <t>EMP2428</t>
  </si>
  <si>
    <t>EMP2429</t>
  </si>
  <si>
    <t>EMP2430</t>
  </si>
  <si>
    <t>EMP2431</t>
  </si>
  <si>
    <t>EMP2432</t>
  </si>
  <si>
    <t>EMP2433</t>
  </si>
  <si>
    <t>EMP2434</t>
  </si>
  <si>
    <t>EMP2435</t>
  </si>
  <si>
    <t>EMP2436</t>
  </si>
  <si>
    <t>EMP2437</t>
  </si>
  <si>
    <t>EMP2438</t>
  </si>
  <si>
    <t>EMP2439</t>
  </si>
  <si>
    <t>EMP2440</t>
  </si>
  <si>
    <t>EMP2441</t>
  </si>
  <si>
    <t>EMP2442</t>
  </si>
  <si>
    <t>EMP2443</t>
  </si>
  <si>
    <t>EMP2444</t>
  </si>
  <si>
    <t>EMP2445</t>
  </si>
  <si>
    <t>EMP2446</t>
  </si>
  <si>
    <t>EMP2447</t>
  </si>
  <si>
    <t>EMP2448</t>
  </si>
  <si>
    <t>EMP2449</t>
  </si>
  <si>
    <t>EMP2450</t>
  </si>
  <si>
    <t>EMP2451</t>
  </si>
  <si>
    <t>EMP2452</t>
  </si>
  <si>
    <t>EMP2453</t>
  </si>
  <si>
    <t>EMP2454</t>
  </si>
  <si>
    <t>EMP2455</t>
  </si>
  <si>
    <t>EMP2456</t>
  </si>
  <si>
    <t>EMP2457</t>
  </si>
  <si>
    <t>EMP2458</t>
  </si>
  <si>
    <t>EMP2459</t>
  </si>
  <si>
    <t>EMP2460</t>
  </si>
  <si>
    <t>EMP2461</t>
  </si>
  <si>
    <t>EMP2462</t>
  </si>
  <si>
    <t>EMP2463</t>
  </si>
  <si>
    <t>EMP2464</t>
  </si>
  <si>
    <t>EMP2465</t>
  </si>
  <si>
    <t>EMP2466</t>
  </si>
  <si>
    <t>EMP2467</t>
  </si>
  <si>
    <t>EMP2468</t>
  </si>
  <si>
    <t>EMP2469</t>
  </si>
  <si>
    <t>EMP2470</t>
  </si>
  <si>
    <t>EMP2471</t>
  </si>
  <si>
    <t>EMP2472</t>
  </si>
  <si>
    <t>EMP2473</t>
  </si>
  <si>
    <t>EMP2474</t>
  </si>
  <si>
    <t>EMP2475</t>
  </si>
  <si>
    <t>EMP2476</t>
  </si>
  <si>
    <t>EMP2477</t>
  </si>
  <si>
    <t>EMP2478</t>
  </si>
  <si>
    <t>EMP2479</t>
  </si>
  <si>
    <t>EMP2480</t>
  </si>
  <si>
    <t>EMP2481</t>
  </si>
  <si>
    <t>EMP2482</t>
  </si>
  <si>
    <t>EMP2483</t>
  </si>
  <si>
    <t>EMP2484</t>
  </si>
  <si>
    <t>EMP2485</t>
  </si>
  <si>
    <t>EMP2486</t>
  </si>
  <si>
    <t>EMP2487</t>
  </si>
  <si>
    <t>EMP2488</t>
  </si>
  <si>
    <t>EMP2489</t>
  </si>
  <si>
    <t>EMP2490</t>
  </si>
  <si>
    <t>EMP2491</t>
  </si>
  <si>
    <t>EMP2492</t>
  </si>
  <si>
    <t>EMP2493</t>
  </si>
  <si>
    <t>EMP2494</t>
  </si>
  <si>
    <t>EMP2495</t>
  </si>
  <si>
    <t>EMP2496</t>
  </si>
  <si>
    <t>EMP2497</t>
  </si>
  <si>
    <t>EMP2498</t>
  </si>
  <si>
    <t>EMP2499</t>
  </si>
  <si>
    <t>EMP2500</t>
  </si>
  <si>
    <t>EMP2501</t>
  </si>
  <si>
    <t>EMP2502</t>
  </si>
  <si>
    <t>EMP2503</t>
  </si>
  <si>
    <t>EMP2504</t>
  </si>
  <si>
    <t>EMP2505</t>
  </si>
  <si>
    <t>EMP2506</t>
  </si>
  <si>
    <t>EMP2507</t>
  </si>
  <si>
    <t>EMP2508</t>
  </si>
  <si>
    <t>EMP2509</t>
  </si>
  <si>
    <t>EMP2510</t>
  </si>
  <si>
    <t>EMP2511</t>
  </si>
  <si>
    <t>EMP2512</t>
  </si>
  <si>
    <t>EMP2513</t>
  </si>
  <si>
    <t>EMP2514</t>
  </si>
  <si>
    <t>EMP2515</t>
  </si>
  <si>
    <t>EMP2516</t>
  </si>
  <si>
    <t>EMP2517</t>
  </si>
  <si>
    <t>EMP2518</t>
  </si>
  <si>
    <t>EMP2519</t>
  </si>
  <si>
    <t>EMP2520</t>
  </si>
  <si>
    <t>EMP2521</t>
  </si>
  <si>
    <t>EMP2522</t>
  </si>
  <si>
    <t>EMP2523</t>
  </si>
  <si>
    <t>EMP2524</t>
  </si>
  <si>
    <t>EMP2525</t>
  </si>
  <si>
    <t>EMP2526</t>
  </si>
  <si>
    <t>EMP2527</t>
  </si>
  <si>
    <t>EMP2528</t>
  </si>
  <si>
    <t>EMP2529</t>
  </si>
  <si>
    <t>EMP2530</t>
  </si>
  <si>
    <t>EMP2531</t>
  </si>
  <si>
    <t>EMP2532</t>
  </si>
  <si>
    <t>EMP2533</t>
  </si>
  <si>
    <t>EMP2534</t>
  </si>
  <si>
    <t>EMP2535</t>
  </si>
  <si>
    <t>EMP2536</t>
  </si>
  <si>
    <t>EMP2537</t>
  </si>
  <si>
    <t>EMP2538</t>
  </si>
  <si>
    <t>EMP2539</t>
  </si>
  <si>
    <t>EMP2540</t>
  </si>
  <si>
    <t>EMP2541</t>
  </si>
  <si>
    <t>EMP2542</t>
  </si>
  <si>
    <t>EMP2543</t>
  </si>
  <si>
    <t>EMP2544</t>
  </si>
  <si>
    <t>EMP2545</t>
  </si>
  <si>
    <t>EMP2546</t>
  </si>
  <si>
    <t>EMP2547</t>
  </si>
  <si>
    <t>EMP2548</t>
  </si>
  <si>
    <t>EMP2549</t>
  </si>
  <si>
    <t>EMP2550</t>
  </si>
  <si>
    <t>EMP2551</t>
  </si>
  <si>
    <t>EMP2552</t>
  </si>
  <si>
    <t>EMP2553</t>
  </si>
  <si>
    <t>EMP2554</t>
  </si>
  <si>
    <t>EMP2555</t>
  </si>
  <si>
    <t>EMP2556</t>
  </si>
  <si>
    <t>EMP2557</t>
  </si>
  <si>
    <t>EMP2558</t>
  </si>
  <si>
    <t>EMP2559</t>
  </si>
  <si>
    <t>EMP2560</t>
  </si>
  <si>
    <t>EMP2561</t>
  </si>
  <si>
    <t>EMP2562</t>
  </si>
  <si>
    <t>EMP2563</t>
  </si>
  <si>
    <t>EMP2564</t>
  </si>
  <si>
    <t>EMP2565</t>
  </si>
  <si>
    <t>EMP2566</t>
  </si>
  <si>
    <t>EMP2567</t>
  </si>
  <si>
    <t>EMP2568</t>
  </si>
  <si>
    <t>EMP2569</t>
  </si>
  <si>
    <t>EMP2570</t>
  </si>
  <si>
    <t>EMP2571</t>
  </si>
  <si>
    <t>EMP2572</t>
  </si>
  <si>
    <t>EMP2573</t>
  </si>
  <si>
    <t>EMP2574</t>
  </si>
  <si>
    <t>EMP2575</t>
  </si>
  <si>
    <t>EMP2576</t>
  </si>
  <si>
    <t>EMP2577</t>
  </si>
  <si>
    <t>EMP2578</t>
  </si>
  <si>
    <t>EMP2579</t>
  </si>
  <si>
    <t>EMP2580</t>
  </si>
  <si>
    <t>EMP2581</t>
  </si>
  <si>
    <t>EMP2582</t>
  </si>
  <si>
    <t>EMP2583</t>
  </si>
  <si>
    <t>EMP2584</t>
  </si>
  <si>
    <t>EMP2585</t>
  </si>
  <si>
    <t>EMP2586</t>
  </si>
  <si>
    <t>EMP2587</t>
  </si>
  <si>
    <t>EMP2588</t>
  </si>
  <si>
    <t>EMP2589</t>
  </si>
  <si>
    <t>EMP2590</t>
  </si>
  <si>
    <t>EMP2591</t>
  </si>
  <si>
    <t>EMP2592</t>
  </si>
  <si>
    <t>EMP2593</t>
  </si>
  <si>
    <t>EMP2594</t>
  </si>
  <si>
    <t>EMP2595</t>
  </si>
  <si>
    <t>EMP2596</t>
  </si>
  <si>
    <t>EMP2597</t>
  </si>
  <si>
    <t>EMP2598</t>
  </si>
  <si>
    <t>EMP2599</t>
  </si>
  <si>
    <t>EMP2600</t>
  </si>
  <si>
    <t>EMP2601</t>
  </si>
  <si>
    <t>EMP2602</t>
  </si>
  <si>
    <t>EMP2603</t>
  </si>
  <si>
    <t>EMP2604</t>
  </si>
  <si>
    <t>EMP2605</t>
  </si>
  <si>
    <t>EMP2606</t>
  </si>
  <si>
    <t>EMP2607</t>
  </si>
  <si>
    <t>EMP2608</t>
  </si>
  <si>
    <t>EMP2609</t>
  </si>
  <si>
    <t>EMP2610</t>
  </si>
  <si>
    <t>EMP2611</t>
  </si>
  <si>
    <t>EMP2612</t>
  </si>
  <si>
    <t>EMP2613</t>
  </si>
  <si>
    <t>EMP2614</t>
  </si>
  <si>
    <t>EMP2615</t>
  </si>
  <si>
    <t>EMP2616</t>
  </si>
  <si>
    <t>EMP2617</t>
  </si>
  <si>
    <t>EMP2618</t>
  </si>
  <si>
    <t>EMP2619</t>
  </si>
  <si>
    <t>EMP2620</t>
  </si>
  <si>
    <t>EMP2621</t>
  </si>
  <si>
    <t>EMP2622</t>
  </si>
  <si>
    <t>EMP2623</t>
  </si>
  <si>
    <t>EMP2624</t>
  </si>
  <si>
    <t>EMP2625</t>
  </si>
  <si>
    <t>EMP2626</t>
  </si>
  <si>
    <t>EMP2627</t>
  </si>
  <si>
    <t>EMP2628</t>
  </si>
  <si>
    <t>EMP2629</t>
  </si>
  <si>
    <t>EMP2630</t>
  </si>
  <si>
    <t>EMP2631</t>
  </si>
  <si>
    <t>EMP2632</t>
  </si>
  <si>
    <t>EMP2633</t>
  </si>
  <si>
    <t>EMP2634</t>
  </si>
  <si>
    <t>EMP2635</t>
  </si>
  <si>
    <t>EMP2636</t>
  </si>
  <si>
    <t>EMP2637</t>
  </si>
  <si>
    <t>EMP2638</t>
  </si>
  <si>
    <t>EMP2639</t>
  </si>
  <si>
    <t>EMP2640</t>
  </si>
  <si>
    <t>EMP2641</t>
  </si>
  <si>
    <t>EMP2642</t>
  </si>
  <si>
    <t>EMP2643</t>
  </si>
  <si>
    <t>EMP2644</t>
  </si>
  <si>
    <t>EMP2645</t>
  </si>
  <si>
    <t>EMP2646</t>
  </si>
  <si>
    <t>EMP2647</t>
  </si>
  <si>
    <t>EMP2648</t>
  </si>
  <si>
    <t>EMP2649</t>
  </si>
  <si>
    <t>EMP2650</t>
  </si>
  <si>
    <t>EMP2651</t>
  </si>
  <si>
    <t>EMP2652</t>
  </si>
  <si>
    <t>EMP2653</t>
  </si>
  <si>
    <t>EMP2654</t>
  </si>
  <si>
    <t>EMP2655</t>
  </si>
  <si>
    <t>EMP2656</t>
  </si>
  <si>
    <t>EMP2657</t>
  </si>
  <si>
    <t>EMP2658</t>
  </si>
  <si>
    <t>EMP2659</t>
  </si>
  <si>
    <t>EMP2660</t>
  </si>
  <si>
    <t>EMP2661</t>
  </si>
  <si>
    <t>EMP2662</t>
  </si>
  <si>
    <t>EMP2663</t>
  </si>
  <si>
    <t>EMP2664</t>
  </si>
  <si>
    <t>EMP2665</t>
  </si>
  <si>
    <t>EMP2666</t>
  </si>
  <si>
    <t>EMP2667</t>
  </si>
  <si>
    <t>EMP2668</t>
  </si>
  <si>
    <t>EMP2669</t>
  </si>
  <si>
    <t>EMP2670</t>
  </si>
  <si>
    <t>EMP2671</t>
  </si>
  <si>
    <t>EMP2672</t>
  </si>
  <si>
    <t>EMP2673</t>
  </si>
  <si>
    <t>EMP2674</t>
  </si>
  <si>
    <t>EMP2675</t>
  </si>
  <si>
    <t>EMP2676</t>
  </si>
  <si>
    <t>EMP2677</t>
  </si>
  <si>
    <t>EMP2678</t>
  </si>
  <si>
    <t>EMP2679</t>
  </si>
  <si>
    <t>EMP2680</t>
  </si>
  <si>
    <t>EMP2681</t>
  </si>
  <si>
    <t>EMP2682</t>
  </si>
  <si>
    <t>EMP2683</t>
  </si>
  <si>
    <t>EMP2684</t>
  </si>
  <si>
    <t>EMP2685</t>
  </si>
  <si>
    <t>EMP2686</t>
  </si>
  <si>
    <t>EMP2687</t>
  </si>
  <si>
    <t>EMP2688</t>
  </si>
  <si>
    <t>EMP2689</t>
  </si>
  <si>
    <t>EMP2690</t>
  </si>
  <si>
    <t>EMP2691</t>
  </si>
  <si>
    <t>EMP2692</t>
  </si>
  <si>
    <t>EMP2693</t>
  </si>
  <si>
    <t>EMP2694</t>
  </si>
  <si>
    <t>EMP2695</t>
  </si>
  <si>
    <t>EMP2696</t>
  </si>
  <si>
    <t>EMP2697</t>
  </si>
  <si>
    <t>EMP2698</t>
  </si>
  <si>
    <t>EMP2699</t>
  </si>
  <si>
    <t>EMP2700</t>
  </si>
  <si>
    <t>Sneha Sharma</t>
  </si>
  <si>
    <t>Rahul Sharma</t>
  </si>
  <si>
    <t>Kavya Patel</t>
  </si>
  <si>
    <t>Tarun Sharma</t>
  </si>
  <si>
    <t>Kavya Mishra</t>
  </si>
  <si>
    <t>Sneha Nanda</t>
  </si>
  <si>
    <t>Karan Singh</t>
  </si>
  <si>
    <t>Rahul Mishra</t>
  </si>
  <si>
    <t>Isha Pradhan</t>
  </si>
  <si>
    <t>Neha Pradhan</t>
  </si>
  <si>
    <t>Tarun Nanda</t>
  </si>
  <si>
    <t>Neha Sharma</t>
  </si>
  <si>
    <t>Rohit Mishra</t>
  </si>
  <si>
    <t>Isha Sharma</t>
  </si>
  <si>
    <t>Karan Mishra</t>
  </si>
  <si>
    <t>Rohit Nanda</t>
  </si>
  <si>
    <t>Kavya Pradhan</t>
  </si>
  <si>
    <t>Priya Reddy</t>
  </si>
  <si>
    <t>Neha Nanda</t>
  </si>
  <si>
    <t>Priya Pradhan</t>
  </si>
  <si>
    <t>Rahul Singh</t>
  </si>
  <si>
    <t>Rohit Pradhan</t>
  </si>
  <si>
    <t>Rahul Reddy</t>
  </si>
  <si>
    <t>Kavya Sharma</t>
  </si>
  <si>
    <t>Isha Patel</t>
  </si>
  <si>
    <t>Amit Patel</t>
  </si>
  <si>
    <t>Karan Patel</t>
  </si>
  <si>
    <t>Rahul Patel</t>
  </si>
  <si>
    <t>Neha Mishra</t>
  </si>
  <si>
    <t>Priya Mishra</t>
  </si>
  <si>
    <t>Priya Nanda</t>
  </si>
  <si>
    <t>Tarun Reddy</t>
  </si>
  <si>
    <t>Sneha Singh</t>
  </si>
  <si>
    <t>Tarun Singh</t>
  </si>
  <si>
    <t>Isha Singh</t>
  </si>
  <si>
    <t>Karan Nanda</t>
  </si>
  <si>
    <t>Amit Singh</t>
  </si>
  <si>
    <t>Tarun Mishra</t>
  </si>
  <si>
    <t>Amit Mishra</t>
  </si>
  <si>
    <t>Rahul Pradhan</t>
  </si>
  <si>
    <t>Neha Reddy</t>
  </si>
  <si>
    <t>Tarun Patel</t>
  </si>
  <si>
    <t>Isha Mishra</t>
  </si>
  <si>
    <t>Karan Pradhan</t>
  </si>
  <si>
    <t>Sneha Patel</t>
  </si>
  <si>
    <t>Neha Singh</t>
  </si>
  <si>
    <t>Kavya Reddy</t>
  </si>
  <si>
    <t>Kavya Singh</t>
  </si>
  <si>
    <t>Amit Sharma</t>
  </si>
  <si>
    <t>Priya Patel</t>
  </si>
  <si>
    <t>Rohit Reddy</t>
  </si>
  <si>
    <t>Karan Sharma</t>
  </si>
  <si>
    <t>Sneha Mishra</t>
  </si>
  <si>
    <t>Rohit Patel</t>
  </si>
  <si>
    <t>Rohit Sharma</t>
  </si>
  <si>
    <t>Rahul Nanda</t>
  </si>
  <si>
    <t>Sneha Pradhan</t>
  </si>
  <si>
    <t>Kavya Nanda</t>
  </si>
  <si>
    <t>Karan Reddy</t>
  </si>
  <si>
    <t>Amit Reddy</t>
  </si>
  <si>
    <t>Isha Reddy</t>
  </si>
  <si>
    <t>Isha Nanda</t>
  </si>
  <si>
    <t>Neha Patel</t>
  </si>
  <si>
    <t>Amit Pradhan</t>
  </si>
  <si>
    <t>Sneha Reddy</t>
  </si>
  <si>
    <t>Priya Singh</t>
  </si>
  <si>
    <t>Priya Sharma</t>
  </si>
  <si>
    <t>Rohit Singh</t>
  </si>
  <si>
    <t>Amit Nanda</t>
  </si>
  <si>
    <t>Tarun Pradhan</t>
  </si>
  <si>
    <t>Male</t>
  </si>
  <si>
    <t>Female</t>
  </si>
  <si>
    <t>Other</t>
  </si>
  <si>
    <t>IT</t>
  </si>
  <si>
    <t>R&amp;D</t>
  </si>
  <si>
    <t>Marketing</t>
  </si>
  <si>
    <t>Operations</t>
  </si>
  <si>
    <t>Support</t>
  </si>
  <si>
    <t>Finance</t>
  </si>
  <si>
    <t>Sales</t>
  </si>
  <si>
    <t>HR</t>
  </si>
  <si>
    <t>Intern</t>
  </si>
  <si>
    <t>Team Lead</t>
  </si>
  <si>
    <t>Senior Analyst</t>
  </si>
  <si>
    <t>Manager</t>
  </si>
  <si>
    <t>Executive</t>
  </si>
  <si>
    <t>Associate</t>
  </si>
  <si>
    <t>Junior Analyst</t>
  </si>
  <si>
    <t>High School</t>
  </si>
  <si>
    <t>Diploma</t>
  </si>
  <si>
    <t>Masters</t>
  </si>
  <si>
    <t>Bachelors</t>
  </si>
  <si>
    <t>PhD</t>
  </si>
  <si>
    <t>Divorced</t>
  </si>
  <si>
    <t>Single</t>
  </si>
  <si>
    <t>Married</t>
  </si>
  <si>
    <t>Yes</t>
  </si>
  <si>
    <t>No</t>
  </si>
  <si>
    <t>Kolkata</t>
  </si>
  <si>
    <t>Bhubaneswar</t>
  </si>
  <si>
    <t>Delhi</t>
  </si>
  <si>
    <t>Pune</t>
  </si>
  <si>
    <t>Hyderabad</t>
  </si>
  <si>
    <t>Bengaluru</t>
  </si>
  <si>
    <t>Chennai</t>
  </si>
  <si>
    <t>Mumbai</t>
  </si>
  <si>
    <t>Tennure_Years</t>
  </si>
  <si>
    <t>Tennure_Months</t>
  </si>
  <si>
    <t>TOTAL EMPLOYESS</t>
  </si>
  <si>
    <t>TOTAL ATTRITION</t>
  </si>
  <si>
    <t>ATTRITION RATE</t>
  </si>
  <si>
    <t>AVERAGE SALARY</t>
  </si>
  <si>
    <t>AVERAGE TENURE</t>
  </si>
  <si>
    <t>AVERAGE PERFOMANCE RATING</t>
  </si>
  <si>
    <t>Row Labels</t>
  </si>
  <si>
    <t>Grand Total</t>
  </si>
  <si>
    <t>Count of Employee_ID</t>
  </si>
  <si>
    <t>Column Labels</t>
  </si>
  <si>
    <t>36-45</t>
  </si>
  <si>
    <t>18-25</t>
  </si>
  <si>
    <t>26-35</t>
  </si>
  <si>
    <t>46+</t>
  </si>
  <si>
    <t>Average of Salary</t>
  </si>
  <si>
    <t>Age _Group</t>
  </si>
  <si>
    <t>Count of Department</t>
  </si>
  <si>
    <t>Average of Tennure_Years</t>
  </si>
  <si>
    <t>Average of Performance_Rating</t>
  </si>
  <si>
    <t>TOTAL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</si>
</sst>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4" x14ac:knownFonts="1">
    <font>
      <sz val="11"/>
      <color theme="1"/>
      <name val="Calibri"/>
      <family val="2"/>
      <scheme val="minor"/>
    </font>
    <font>
      <b/>
      <sz val="11"/>
      <color theme="1"/>
      <name val="Calibri"/>
      <family val="2"/>
      <scheme val="minor"/>
    </font>
    <font>
      <b/>
      <sz val="12"/>
      <color theme="1"/>
      <name val="Calibri"/>
      <family val="2"/>
      <scheme val="minor"/>
    </font>
    <font>
      <b/>
      <u/>
      <sz val="12"/>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9755851924192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4" fontId="0" fillId="0" borderId="0" xfId="0" applyNumberFormat="1"/>
    <xf numFmtId="14"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5" fontId="0" fillId="0" borderId="0" xfId="0" applyNumberFormat="1"/>
    <xf numFmtId="2" fontId="0" fillId="0" borderId="0" xfId="0" applyNumberFormat="1"/>
    <xf numFmtId="0" fontId="1" fillId="0" borderId="0" xfId="0" applyFont="1"/>
    <xf numFmtId="2" fontId="1" fillId="0" borderId="0" xfId="0" applyNumberFormat="1" applyFon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1" fillId="2" borderId="3" xfId="0" applyFont="1" applyFill="1" applyBorder="1"/>
    <xf numFmtId="0" fontId="2" fillId="0" borderId="0" xfId="0" applyFont="1" applyAlignment="1">
      <alignment horizontal="center" vertical="top"/>
    </xf>
    <xf numFmtId="0" fontId="3" fillId="0" borderId="0" xfId="0" applyFont="1"/>
    <xf numFmtId="10"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Performance</a:t>
            </a:r>
            <a:r>
              <a:rPr lang="en-US" baseline="0"/>
              <a:t> rating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2'!$A$6:$A$11</c:f>
              <c:strCache>
                <c:ptCount val="5"/>
                <c:pt idx="0">
                  <c:v>1</c:v>
                </c:pt>
                <c:pt idx="1">
                  <c:v>2</c:v>
                </c:pt>
                <c:pt idx="2">
                  <c:v>3</c:v>
                </c:pt>
                <c:pt idx="3">
                  <c:v>4</c:v>
                </c:pt>
                <c:pt idx="4">
                  <c:v>5</c:v>
                </c:pt>
              </c:strCache>
            </c:strRef>
          </c:cat>
          <c:val>
            <c:numRef>
              <c:f>'PIVOT TABLES 2'!$B$6:$B$11</c:f>
              <c:numCache>
                <c:formatCode>General</c:formatCode>
                <c:ptCount val="5"/>
                <c:pt idx="0">
                  <c:v>355</c:v>
                </c:pt>
                <c:pt idx="1">
                  <c:v>330</c:v>
                </c:pt>
                <c:pt idx="2">
                  <c:v>332</c:v>
                </c:pt>
                <c:pt idx="3">
                  <c:v>347</c:v>
                </c:pt>
                <c:pt idx="4">
                  <c:v>336</c:v>
                </c:pt>
              </c:numCache>
            </c:numRef>
          </c:val>
          <c:extLst>
            <c:ext xmlns:c16="http://schemas.microsoft.com/office/drawing/2014/chart" uri="{C3380CC4-5D6E-409C-BE32-E72D297353CC}">
              <c16:uniqueId val="{00000000-0F06-46C5-AF11-9C7D47E66600}"/>
            </c:ext>
          </c:extLst>
        </c:ser>
        <c:dLbls>
          <c:dLblPos val="inEnd"/>
          <c:showLegendKey val="0"/>
          <c:showVal val="1"/>
          <c:showCatName val="0"/>
          <c:showSerName val="0"/>
          <c:showPercent val="0"/>
          <c:showBubbleSize val="0"/>
        </c:dLbls>
        <c:gapWidth val="65"/>
        <c:axId val="815155903"/>
        <c:axId val="815148703"/>
      </c:barChart>
      <c:catAx>
        <c:axId val="8151559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5148703"/>
        <c:crosses val="autoZero"/>
        <c:auto val="1"/>
        <c:lblAlgn val="ctr"/>
        <c:lblOffset val="100"/>
        <c:noMultiLvlLbl val="0"/>
      </c:catAx>
      <c:valAx>
        <c:axId val="8151487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15155903"/>
        <c:crosses val="autoZero"/>
        <c:crossBetween val="between"/>
      </c:valAx>
      <c:spPr>
        <a:noFill/>
        <a:ln>
          <a:noFill/>
        </a:ln>
        <a:effectLst/>
      </c:spPr>
    </c:plotArea>
    <c:legend>
      <c:legendPos val="r"/>
      <c:layout>
        <c:manualLayout>
          <c:xMode val="edge"/>
          <c:yMode val="edge"/>
          <c:x val="0.9132366606348119"/>
          <c:y val="0.8517658305956789"/>
          <c:w val="7.4340979116740841E-2"/>
          <c:h val="7.781509099442041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by Tenures(Years)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2'!$B$35:$B$36</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2'!$A$37:$A$47</c:f>
              <c:strCache>
                <c:ptCount val="10"/>
                <c:pt idx="0">
                  <c:v>0</c:v>
                </c:pt>
                <c:pt idx="1">
                  <c:v>1</c:v>
                </c:pt>
                <c:pt idx="2">
                  <c:v>2</c:v>
                </c:pt>
                <c:pt idx="3">
                  <c:v>3</c:v>
                </c:pt>
                <c:pt idx="4">
                  <c:v>4</c:v>
                </c:pt>
                <c:pt idx="5">
                  <c:v>5</c:v>
                </c:pt>
                <c:pt idx="6">
                  <c:v>6</c:v>
                </c:pt>
                <c:pt idx="7">
                  <c:v>7</c:v>
                </c:pt>
                <c:pt idx="8">
                  <c:v>8</c:v>
                </c:pt>
                <c:pt idx="9">
                  <c:v>9</c:v>
                </c:pt>
              </c:strCache>
            </c:strRef>
          </c:cat>
          <c:val>
            <c:numRef>
              <c:f>'PIVOT TABLES 2'!$B$37:$B$47</c:f>
              <c:numCache>
                <c:formatCode>General</c:formatCode>
                <c:ptCount val="10"/>
                <c:pt idx="0">
                  <c:v>84</c:v>
                </c:pt>
                <c:pt idx="1">
                  <c:v>76</c:v>
                </c:pt>
                <c:pt idx="2">
                  <c:v>90</c:v>
                </c:pt>
                <c:pt idx="3">
                  <c:v>100</c:v>
                </c:pt>
                <c:pt idx="4">
                  <c:v>98</c:v>
                </c:pt>
                <c:pt idx="5">
                  <c:v>80</c:v>
                </c:pt>
                <c:pt idx="6">
                  <c:v>84</c:v>
                </c:pt>
                <c:pt idx="7">
                  <c:v>82</c:v>
                </c:pt>
                <c:pt idx="8">
                  <c:v>66</c:v>
                </c:pt>
                <c:pt idx="9">
                  <c:v>64</c:v>
                </c:pt>
              </c:numCache>
            </c:numRef>
          </c:val>
          <c:extLst>
            <c:ext xmlns:c16="http://schemas.microsoft.com/office/drawing/2014/chart" uri="{C3380CC4-5D6E-409C-BE32-E72D297353CC}">
              <c16:uniqueId val="{00000000-C888-4D21-BB52-DC4FF1DEE0F8}"/>
            </c:ext>
          </c:extLst>
        </c:ser>
        <c:ser>
          <c:idx val="1"/>
          <c:order val="1"/>
          <c:tx>
            <c:strRef>
              <c:f>'PIVOT TABLES 2'!$C$35:$C$36</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2'!$A$37:$A$47</c:f>
              <c:strCache>
                <c:ptCount val="10"/>
                <c:pt idx="0">
                  <c:v>0</c:v>
                </c:pt>
                <c:pt idx="1">
                  <c:v>1</c:v>
                </c:pt>
                <c:pt idx="2">
                  <c:v>2</c:v>
                </c:pt>
                <c:pt idx="3">
                  <c:v>3</c:v>
                </c:pt>
                <c:pt idx="4">
                  <c:v>4</c:v>
                </c:pt>
                <c:pt idx="5">
                  <c:v>5</c:v>
                </c:pt>
                <c:pt idx="6">
                  <c:v>6</c:v>
                </c:pt>
                <c:pt idx="7">
                  <c:v>7</c:v>
                </c:pt>
                <c:pt idx="8">
                  <c:v>8</c:v>
                </c:pt>
                <c:pt idx="9">
                  <c:v>9</c:v>
                </c:pt>
              </c:strCache>
            </c:strRef>
          </c:cat>
          <c:val>
            <c:numRef>
              <c:f>'PIVOT TABLES 2'!$C$37:$C$47</c:f>
              <c:numCache>
                <c:formatCode>General</c:formatCode>
                <c:ptCount val="10"/>
                <c:pt idx="0">
                  <c:v>82</c:v>
                </c:pt>
                <c:pt idx="1">
                  <c:v>92</c:v>
                </c:pt>
                <c:pt idx="2">
                  <c:v>95</c:v>
                </c:pt>
                <c:pt idx="3">
                  <c:v>82</c:v>
                </c:pt>
                <c:pt idx="4">
                  <c:v>89</c:v>
                </c:pt>
                <c:pt idx="5">
                  <c:v>89</c:v>
                </c:pt>
                <c:pt idx="6">
                  <c:v>93</c:v>
                </c:pt>
                <c:pt idx="7">
                  <c:v>104</c:v>
                </c:pt>
                <c:pt idx="8">
                  <c:v>88</c:v>
                </c:pt>
                <c:pt idx="9">
                  <c:v>62</c:v>
                </c:pt>
              </c:numCache>
            </c:numRef>
          </c:val>
          <c:extLst>
            <c:ext xmlns:c16="http://schemas.microsoft.com/office/drawing/2014/chart" uri="{C3380CC4-5D6E-409C-BE32-E72D297353CC}">
              <c16:uniqueId val="{00000001-390A-47EA-8024-8C349621C27D}"/>
            </c:ext>
          </c:extLst>
        </c:ser>
        <c:dLbls>
          <c:dLblPos val="inEnd"/>
          <c:showLegendKey val="0"/>
          <c:showVal val="1"/>
          <c:showCatName val="0"/>
          <c:showSerName val="0"/>
          <c:showPercent val="0"/>
          <c:showBubbleSize val="0"/>
        </c:dLbls>
        <c:gapWidth val="65"/>
        <c:axId val="918038815"/>
        <c:axId val="918056095"/>
      </c:barChart>
      <c:catAx>
        <c:axId val="918038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8056095"/>
        <c:crosses val="autoZero"/>
        <c:auto val="1"/>
        <c:lblAlgn val="ctr"/>
        <c:lblOffset val="100"/>
        <c:noMultiLvlLbl val="0"/>
      </c:catAx>
      <c:valAx>
        <c:axId val="9180560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18038815"/>
        <c:crosses val="autoZero"/>
        <c:crossBetween val="between"/>
      </c:valAx>
      <c:spPr>
        <a:noFill/>
        <a:ln>
          <a:noFill/>
        </a:ln>
        <a:effectLst/>
      </c:spPr>
    </c:plotArea>
    <c:legend>
      <c:legendPos val="r"/>
      <c:layout>
        <c:manualLayout>
          <c:xMode val="edge"/>
          <c:yMode val="edge"/>
          <c:x val="0.89802224969097655"/>
          <c:y val="0.8074538465162816"/>
          <c:w val="9.0837701030056187E-2"/>
          <c:h val="0.1711899225845070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2'!$B$55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2'!$A$56:$A$64</c:f>
              <c:strCache>
                <c:ptCount val="8"/>
                <c:pt idx="0">
                  <c:v>Finance</c:v>
                </c:pt>
                <c:pt idx="1">
                  <c:v>HR</c:v>
                </c:pt>
                <c:pt idx="2">
                  <c:v>IT</c:v>
                </c:pt>
                <c:pt idx="3">
                  <c:v>Marketing</c:v>
                </c:pt>
                <c:pt idx="4">
                  <c:v>Operations</c:v>
                </c:pt>
                <c:pt idx="5">
                  <c:v>R&amp;D</c:v>
                </c:pt>
                <c:pt idx="6">
                  <c:v>Sales</c:v>
                </c:pt>
                <c:pt idx="7">
                  <c:v>Support</c:v>
                </c:pt>
              </c:strCache>
            </c:strRef>
          </c:cat>
          <c:val>
            <c:numRef>
              <c:f>'PIVOT TABLES 2'!$B$56:$B$64</c:f>
              <c:numCache>
                <c:formatCode>"₹"\ #,##0.00</c:formatCode>
                <c:ptCount val="8"/>
                <c:pt idx="0">
                  <c:v>68417.868995633195</c:v>
                </c:pt>
                <c:pt idx="1">
                  <c:v>70134.702564102568</c:v>
                </c:pt>
                <c:pt idx="2">
                  <c:v>73506.875</c:v>
                </c:pt>
                <c:pt idx="3">
                  <c:v>68027.056410256409</c:v>
                </c:pt>
                <c:pt idx="4">
                  <c:v>70771.341708542706</c:v>
                </c:pt>
                <c:pt idx="5">
                  <c:v>69775.188034188031</c:v>
                </c:pt>
                <c:pt idx="6">
                  <c:v>71795.5</c:v>
                </c:pt>
                <c:pt idx="7">
                  <c:v>72114.287037037036</c:v>
                </c:pt>
              </c:numCache>
            </c:numRef>
          </c:val>
          <c:extLst>
            <c:ext xmlns:c16="http://schemas.microsoft.com/office/drawing/2014/chart" uri="{C3380CC4-5D6E-409C-BE32-E72D297353CC}">
              <c16:uniqueId val="{00000000-A785-414E-96EE-2F64C979785F}"/>
            </c:ext>
          </c:extLst>
        </c:ser>
        <c:dLbls>
          <c:dLblPos val="inEnd"/>
          <c:showLegendKey val="0"/>
          <c:showVal val="1"/>
          <c:showCatName val="0"/>
          <c:showSerName val="0"/>
          <c:showPercent val="0"/>
          <c:showBubbleSize val="0"/>
        </c:dLbls>
        <c:gapWidth val="65"/>
        <c:axId val="1546004015"/>
        <c:axId val="1545990095"/>
      </c:barChart>
      <c:catAx>
        <c:axId val="15460040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5990095"/>
        <c:crosses val="autoZero"/>
        <c:auto val="1"/>
        <c:lblAlgn val="ctr"/>
        <c:lblOffset val="100"/>
        <c:noMultiLvlLbl val="0"/>
      </c:catAx>
      <c:valAx>
        <c:axId val="15459900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5460040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City-Wise</a:t>
            </a:r>
            <a:r>
              <a:rPr lang="en-IN" sz="1800" b="1" baseline="0"/>
              <a:t> Attrition</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 2'!$B$76:$B$77</c:f>
              <c:strCache>
                <c:ptCount val="1"/>
                <c:pt idx="0">
                  <c:v>No</c:v>
                </c:pt>
              </c:strCache>
            </c:strRef>
          </c:tx>
          <c:spPr>
            <a:solidFill>
              <a:schemeClr val="accent1"/>
            </a:solidFill>
            <a:ln>
              <a:noFill/>
            </a:ln>
            <a:effectLst/>
          </c:spPr>
          <c:invertIfNegative val="0"/>
          <c:cat>
            <c:strRef>
              <c:f>'PIVOT TABLES 2'!$A$78:$A$86</c:f>
              <c:strCache>
                <c:ptCount val="8"/>
                <c:pt idx="0">
                  <c:v>Bengaluru</c:v>
                </c:pt>
                <c:pt idx="1">
                  <c:v>Bhubaneswar</c:v>
                </c:pt>
                <c:pt idx="2">
                  <c:v>Chennai</c:v>
                </c:pt>
                <c:pt idx="3">
                  <c:v>Delhi</c:v>
                </c:pt>
                <c:pt idx="4">
                  <c:v>Hyderabad</c:v>
                </c:pt>
                <c:pt idx="5">
                  <c:v>Kolkata</c:v>
                </c:pt>
                <c:pt idx="6">
                  <c:v>Mumbai</c:v>
                </c:pt>
                <c:pt idx="7">
                  <c:v>Pune</c:v>
                </c:pt>
              </c:strCache>
            </c:strRef>
          </c:cat>
          <c:val>
            <c:numRef>
              <c:f>'PIVOT TABLES 2'!$B$78:$B$86</c:f>
              <c:numCache>
                <c:formatCode>General</c:formatCode>
                <c:ptCount val="8"/>
                <c:pt idx="0">
                  <c:v>105</c:v>
                </c:pt>
                <c:pt idx="1">
                  <c:v>102</c:v>
                </c:pt>
                <c:pt idx="2">
                  <c:v>97</c:v>
                </c:pt>
                <c:pt idx="3">
                  <c:v>108</c:v>
                </c:pt>
                <c:pt idx="4">
                  <c:v>109</c:v>
                </c:pt>
                <c:pt idx="5">
                  <c:v>105</c:v>
                </c:pt>
                <c:pt idx="6">
                  <c:v>107</c:v>
                </c:pt>
                <c:pt idx="7">
                  <c:v>91</c:v>
                </c:pt>
              </c:numCache>
            </c:numRef>
          </c:val>
          <c:extLst>
            <c:ext xmlns:c16="http://schemas.microsoft.com/office/drawing/2014/chart" uri="{C3380CC4-5D6E-409C-BE32-E72D297353CC}">
              <c16:uniqueId val="{00000000-CE82-4835-BD7E-19402C922AC4}"/>
            </c:ext>
          </c:extLst>
        </c:ser>
        <c:ser>
          <c:idx val="1"/>
          <c:order val="1"/>
          <c:tx>
            <c:strRef>
              <c:f>'PIVOT TABLES 2'!$C$76:$C$77</c:f>
              <c:strCache>
                <c:ptCount val="1"/>
                <c:pt idx="0">
                  <c:v>Yes</c:v>
                </c:pt>
              </c:strCache>
            </c:strRef>
          </c:tx>
          <c:spPr>
            <a:solidFill>
              <a:schemeClr val="accent2"/>
            </a:solidFill>
            <a:ln>
              <a:noFill/>
            </a:ln>
            <a:effectLst/>
          </c:spPr>
          <c:invertIfNegative val="0"/>
          <c:cat>
            <c:strRef>
              <c:f>'PIVOT TABLES 2'!$A$78:$A$86</c:f>
              <c:strCache>
                <c:ptCount val="8"/>
                <c:pt idx="0">
                  <c:v>Bengaluru</c:v>
                </c:pt>
                <c:pt idx="1">
                  <c:v>Bhubaneswar</c:v>
                </c:pt>
                <c:pt idx="2">
                  <c:v>Chennai</c:v>
                </c:pt>
                <c:pt idx="3">
                  <c:v>Delhi</c:v>
                </c:pt>
                <c:pt idx="4">
                  <c:v>Hyderabad</c:v>
                </c:pt>
                <c:pt idx="5">
                  <c:v>Kolkata</c:v>
                </c:pt>
                <c:pt idx="6">
                  <c:v>Mumbai</c:v>
                </c:pt>
                <c:pt idx="7">
                  <c:v>Pune</c:v>
                </c:pt>
              </c:strCache>
            </c:strRef>
          </c:cat>
          <c:val>
            <c:numRef>
              <c:f>'PIVOT TABLES 2'!$C$78:$C$86</c:f>
              <c:numCache>
                <c:formatCode>General</c:formatCode>
                <c:ptCount val="8"/>
                <c:pt idx="0">
                  <c:v>121</c:v>
                </c:pt>
                <c:pt idx="1">
                  <c:v>92</c:v>
                </c:pt>
                <c:pt idx="2">
                  <c:v>92</c:v>
                </c:pt>
                <c:pt idx="3">
                  <c:v>124</c:v>
                </c:pt>
                <c:pt idx="4">
                  <c:v>117</c:v>
                </c:pt>
                <c:pt idx="5">
                  <c:v>124</c:v>
                </c:pt>
                <c:pt idx="6">
                  <c:v>102</c:v>
                </c:pt>
                <c:pt idx="7">
                  <c:v>104</c:v>
                </c:pt>
              </c:numCache>
            </c:numRef>
          </c:val>
          <c:extLst>
            <c:ext xmlns:c16="http://schemas.microsoft.com/office/drawing/2014/chart" uri="{C3380CC4-5D6E-409C-BE32-E72D297353CC}">
              <c16:uniqueId val="{00000001-3857-43EE-8E8F-1E16CBE56CC0}"/>
            </c:ext>
          </c:extLst>
        </c:ser>
        <c:dLbls>
          <c:showLegendKey val="0"/>
          <c:showVal val="0"/>
          <c:showCatName val="0"/>
          <c:showSerName val="0"/>
          <c:showPercent val="0"/>
          <c:showBubbleSize val="0"/>
        </c:dLbls>
        <c:gapWidth val="150"/>
        <c:overlap val="100"/>
        <c:axId val="1545727487"/>
        <c:axId val="1545730959"/>
      </c:barChart>
      <c:catAx>
        <c:axId val="154572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30959"/>
        <c:crosses val="autoZero"/>
        <c:auto val="1"/>
        <c:lblAlgn val="ctr"/>
        <c:lblOffset val="100"/>
        <c:noMultiLvlLbl val="0"/>
      </c:catAx>
      <c:valAx>
        <c:axId val="1545730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27487"/>
        <c:crosses val="autoZero"/>
        <c:crossBetween val="between"/>
      </c:valAx>
      <c:spPr>
        <a:noFill/>
        <a:ln>
          <a:noFill/>
        </a:ln>
        <a:effectLst/>
      </c:spPr>
    </c:plotArea>
    <c:legend>
      <c:legendPos val="r"/>
      <c:layout>
        <c:manualLayout>
          <c:xMode val="edge"/>
          <c:yMode val="edge"/>
          <c:x val="0.89523260284505946"/>
          <c:y val="0.74163852451188916"/>
          <c:w val="8.1881395630811038E-2"/>
          <c:h val="0.178325974738707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2!PivotTable13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a:t>
            </a:r>
            <a:r>
              <a:rPr lang="en-IN" baseline="0"/>
              <a:t> by Age Group</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2'!$X$44:$X$45</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2'!$W$46:$W$50</c:f>
              <c:strCache>
                <c:ptCount val="4"/>
                <c:pt idx="0">
                  <c:v>18-25</c:v>
                </c:pt>
                <c:pt idx="1">
                  <c:v>26-35</c:v>
                </c:pt>
                <c:pt idx="2">
                  <c:v>36-45</c:v>
                </c:pt>
                <c:pt idx="3">
                  <c:v>46+</c:v>
                </c:pt>
              </c:strCache>
            </c:strRef>
          </c:cat>
          <c:val>
            <c:numRef>
              <c:f>'PIVOT TABLES 2'!$X$46:$X$50</c:f>
              <c:numCache>
                <c:formatCode>General</c:formatCode>
                <c:ptCount val="4"/>
                <c:pt idx="0">
                  <c:v>130</c:v>
                </c:pt>
                <c:pt idx="1">
                  <c:v>200</c:v>
                </c:pt>
                <c:pt idx="2">
                  <c:v>213</c:v>
                </c:pt>
                <c:pt idx="3">
                  <c:v>281</c:v>
                </c:pt>
              </c:numCache>
            </c:numRef>
          </c:val>
          <c:extLst>
            <c:ext xmlns:c16="http://schemas.microsoft.com/office/drawing/2014/chart" uri="{C3380CC4-5D6E-409C-BE32-E72D297353CC}">
              <c16:uniqueId val="{00000000-3C25-4E7C-80E8-B8ECDA3AEF51}"/>
            </c:ext>
          </c:extLst>
        </c:ser>
        <c:ser>
          <c:idx val="1"/>
          <c:order val="1"/>
          <c:tx>
            <c:strRef>
              <c:f>'PIVOT TABLES 2'!$Y$44:$Y$45</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2'!$W$46:$W$50</c:f>
              <c:strCache>
                <c:ptCount val="4"/>
                <c:pt idx="0">
                  <c:v>18-25</c:v>
                </c:pt>
                <c:pt idx="1">
                  <c:v>26-35</c:v>
                </c:pt>
                <c:pt idx="2">
                  <c:v>36-45</c:v>
                </c:pt>
                <c:pt idx="3">
                  <c:v>46+</c:v>
                </c:pt>
              </c:strCache>
            </c:strRef>
          </c:cat>
          <c:val>
            <c:numRef>
              <c:f>'PIVOT TABLES 2'!$Y$46:$Y$50</c:f>
              <c:numCache>
                <c:formatCode>General</c:formatCode>
                <c:ptCount val="4"/>
                <c:pt idx="0">
                  <c:v>143</c:v>
                </c:pt>
                <c:pt idx="1">
                  <c:v>227</c:v>
                </c:pt>
                <c:pt idx="2">
                  <c:v>238</c:v>
                </c:pt>
                <c:pt idx="3">
                  <c:v>268</c:v>
                </c:pt>
              </c:numCache>
            </c:numRef>
          </c:val>
          <c:extLst>
            <c:ext xmlns:c16="http://schemas.microsoft.com/office/drawing/2014/chart" uri="{C3380CC4-5D6E-409C-BE32-E72D297353CC}">
              <c16:uniqueId val="{00000003-3C25-4E7C-80E8-B8ECDA3AEF51}"/>
            </c:ext>
          </c:extLst>
        </c:ser>
        <c:dLbls>
          <c:dLblPos val="inEnd"/>
          <c:showLegendKey val="0"/>
          <c:showVal val="1"/>
          <c:showCatName val="0"/>
          <c:showSerName val="0"/>
          <c:showPercent val="0"/>
          <c:showBubbleSize val="0"/>
        </c:dLbls>
        <c:gapWidth val="65"/>
        <c:axId val="1837196527"/>
        <c:axId val="1837197487"/>
      </c:barChart>
      <c:catAx>
        <c:axId val="1837196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7197487"/>
        <c:crosses val="autoZero"/>
        <c:auto val="1"/>
        <c:lblAlgn val="ctr"/>
        <c:lblOffset val="100"/>
        <c:noMultiLvlLbl val="0"/>
      </c:catAx>
      <c:valAx>
        <c:axId val="18371974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371965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a:t>
            </a:r>
            <a:r>
              <a:rPr lang="en-IN" baseline="0"/>
              <a:t>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TABLES'!$A$5:$A$13</c:f>
              <c:strCache>
                <c:ptCount val="8"/>
                <c:pt idx="0">
                  <c:v>Finance</c:v>
                </c:pt>
                <c:pt idx="1">
                  <c:v>HR</c:v>
                </c:pt>
                <c:pt idx="2">
                  <c:v>IT</c:v>
                </c:pt>
                <c:pt idx="3">
                  <c:v>Marketing</c:v>
                </c:pt>
                <c:pt idx="4">
                  <c:v>Operations</c:v>
                </c:pt>
                <c:pt idx="5">
                  <c:v>R&amp;D</c:v>
                </c:pt>
                <c:pt idx="6">
                  <c:v>Sales</c:v>
                </c:pt>
                <c:pt idx="7">
                  <c:v>Support</c:v>
                </c:pt>
              </c:strCache>
            </c:strRef>
          </c:cat>
          <c:val>
            <c:numRef>
              <c:f>'PIVOT TABLES'!$B$5:$B$13</c:f>
              <c:numCache>
                <c:formatCode>General</c:formatCode>
                <c:ptCount val="8"/>
                <c:pt idx="0">
                  <c:v>102</c:v>
                </c:pt>
                <c:pt idx="1">
                  <c:v>99</c:v>
                </c:pt>
                <c:pt idx="2">
                  <c:v>94</c:v>
                </c:pt>
                <c:pt idx="3">
                  <c:v>94</c:v>
                </c:pt>
                <c:pt idx="4">
                  <c:v>101</c:v>
                </c:pt>
                <c:pt idx="5">
                  <c:v>104</c:v>
                </c:pt>
                <c:pt idx="6">
                  <c:v>114</c:v>
                </c:pt>
                <c:pt idx="7">
                  <c:v>116</c:v>
                </c:pt>
              </c:numCache>
            </c:numRef>
          </c:val>
          <c:extLst>
            <c:ext xmlns:c16="http://schemas.microsoft.com/office/drawing/2014/chart" uri="{C3380CC4-5D6E-409C-BE32-E72D297353CC}">
              <c16:uniqueId val="{00000000-3001-4C9F-8782-5D8FD38D57B1}"/>
            </c:ext>
          </c:extLst>
        </c:ser>
        <c:ser>
          <c:idx val="1"/>
          <c:order val="1"/>
          <c:tx>
            <c:strRef>
              <c:f>'PIVOT TABLES'!$C$3:$C$4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TABLES'!$A$5:$A$13</c:f>
              <c:strCache>
                <c:ptCount val="8"/>
                <c:pt idx="0">
                  <c:v>Finance</c:v>
                </c:pt>
                <c:pt idx="1">
                  <c:v>HR</c:v>
                </c:pt>
                <c:pt idx="2">
                  <c:v>IT</c:v>
                </c:pt>
                <c:pt idx="3">
                  <c:v>Marketing</c:v>
                </c:pt>
                <c:pt idx="4">
                  <c:v>Operations</c:v>
                </c:pt>
                <c:pt idx="5">
                  <c:v>R&amp;D</c:v>
                </c:pt>
                <c:pt idx="6">
                  <c:v>Sales</c:v>
                </c:pt>
                <c:pt idx="7">
                  <c:v>Support</c:v>
                </c:pt>
              </c:strCache>
            </c:strRef>
          </c:cat>
          <c:val>
            <c:numRef>
              <c:f>'PIVOT TABLES'!$C$5:$C$13</c:f>
              <c:numCache>
                <c:formatCode>General</c:formatCode>
                <c:ptCount val="8"/>
                <c:pt idx="0">
                  <c:v>127</c:v>
                </c:pt>
                <c:pt idx="1">
                  <c:v>96</c:v>
                </c:pt>
                <c:pt idx="2">
                  <c:v>106</c:v>
                </c:pt>
                <c:pt idx="3">
                  <c:v>101</c:v>
                </c:pt>
                <c:pt idx="4">
                  <c:v>98</c:v>
                </c:pt>
                <c:pt idx="5">
                  <c:v>130</c:v>
                </c:pt>
                <c:pt idx="6">
                  <c:v>118</c:v>
                </c:pt>
                <c:pt idx="7">
                  <c:v>100</c:v>
                </c:pt>
              </c:numCache>
            </c:numRef>
          </c:val>
          <c:extLst>
            <c:ext xmlns:c16="http://schemas.microsoft.com/office/drawing/2014/chart" uri="{C3380CC4-5D6E-409C-BE32-E72D297353CC}">
              <c16:uniqueId val="{00000000-C6F9-4108-8830-006B277BD6C6}"/>
            </c:ext>
          </c:extLst>
        </c:ser>
        <c:dLbls>
          <c:dLblPos val="inEnd"/>
          <c:showLegendKey val="0"/>
          <c:showVal val="1"/>
          <c:showCatName val="0"/>
          <c:showSerName val="0"/>
          <c:showPercent val="0"/>
          <c:showBubbleSize val="0"/>
        </c:dLbls>
        <c:gapWidth val="65"/>
        <c:axId val="680653247"/>
        <c:axId val="680637887"/>
      </c:barChart>
      <c:catAx>
        <c:axId val="6806532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0637887"/>
        <c:crosses val="autoZero"/>
        <c:auto val="1"/>
        <c:lblAlgn val="ctr"/>
        <c:lblOffset val="100"/>
        <c:noMultiLvlLbl val="0"/>
      </c:catAx>
      <c:valAx>
        <c:axId val="6806378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80653247"/>
        <c:crosses val="autoZero"/>
        <c:crossBetween val="between"/>
      </c:valAx>
      <c:spPr>
        <a:noFill/>
        <a:ln>
          <a:noFill/>
        </a:ln>
        <a:effectLst/>
      </c:spPr>
    </c:plotArea>
    <c:legend>
      <c:legendPos val="r"/>
      <c:layout>
        <c:manualLayout>
          <c:xMode val="edge"/>
          <c:yMode val="edge"/>
          <c:x val="0.85208333333333341"/>
          <c:y val="0.72951460800894241"/>
          <c:w val="0.1329619597255996"/>
          <c:h val="0.2704854593449632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TABLES'!$B$16:$B$17</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TABLES'!$A$18:$A$21</c:f>
              <c:strCache>
                <c:ptCount val="3"/>
                <c:pt idx="0">
                  <c:v>Female</c:v>
                </c:pt>
                <c:pt idx="1">
                  <c:v>Male</c:v>
                </c:pt>
                <c:pt idx="2">
                  <c:v>Other</c:v>
                </c:pt>
              </c:strCache>
            </c:strRef>
          </c:cat>
          <c:val>
            <c:numRef>
              <c:f>'PIVOT TABLES'!$B$18:$B$21</c:f>
              <c:numCache>
                <c:formatCode>General</c:formatCode>
                <c:ptCount val="3"/>
                <c:pt idx="0">
                  <c:v>271</c:v>
                </c:pt>
                <c:pt idx="1">
                  <c:v>282</c:v>
                </c:pt>
                <c:pt idx="2">
                  <c:v>271</c:v>
                </c:pt>
              </c:numCache>
            </c:numRef>
          </c:val>
          <c:extLst>
            <c:ext xmlns:c16="http://schemas.microsoft.com/office/drawing/2014/chart" uri="{C3380CC4-5D6E-409C-BE32-E72D297353CC}">
              <c16:uniqueId val="{00000000-204F-443D-BFB3-76C379393DCB}"/>
            </c:ext>
          </c:extLst>
        </c:ser>
        <c:ser>
          <c:idx val="1"/>
          <c:order val="1"/>
          <c:tx>
            <c:strRef>
              <c:f>'PIVOT TABLES'!$C$16:$C$17</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TABLES'!$A$18:$A$21</c:f>
              <c:strCache>
                <c:ptCount val="3"/>
                <c:pt idx="0">
                  <c:v>Female</c:v>
                </c:pt>
                <c:pt idx="1">
                  <c:v>Male</c:v>
                </c:pt>
                <c:pt idx="2">
                  <c:v>Other</c:v>
                </c:pt>
              </c:strCache>
            </c:strRef>
          </c:cat>
          <c:val>
            <c:numRef>
              <c:f>'PIVOT TABLES'!$C$18:$C$21</c:f>
              <c:numCache>
                <c:formatCode>General</c:formatCode>
                <c:ptCount val="3"/>
                <c:pt idx="0">
                  <c:v>282</c:v>
                </c:pt>
                <c:pt idx="1">
                  <c:v>308</c:v>
                </c:pt>
                <c:pt idx="2">
                  <c:v>286</c:v>
                </c:pt>
              </c:numCache>
            </c:numRef>
          </c:val>
          <c:extLst>
            <c:ext xmlns:c16="http://schemas.microsoft.com/office/drawing/2014/chart" uri="{C3380CC4-5D6E-409C-BE32-E72D297353CC}">
              <c16:uniqueId val="{00000000-48F9-4306-B98E-582B6E72780F}"/>
            </c:ext>
          </c:extLst>
        </c:ser>
        <c:dLbls>
          <c:dLblPos val="inEnd"/>
          <c:showLegendKey val="0"/>
          <c:showVal val="1"/>
          <c:showCatName val="0"/>
          <c:showSerName val="0"/>
          <c:showPercent val="0"/>
          <c:showBubbleSize val="0"/>
        </c:dLbls>
        <c:gapWidth val="65"/>
        <c:axId val="815146303"/>
        <c:axId val="815150143"/>
      </c:barChart>
      <c:catAx>
        <c:axId val="8151463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5150143"/>
        <c:crosses val="autoZero"/>
        <c:auto val="1"/>
        <c:lblAlgn val="ctr"/>
        <c:lblOffset val="100"/>
        <c:noMultiLvlLbl val="0"/>
      </c:catAx>
      <c:valAx>
        <c:axId val="815150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15146303"/>
        <c:crosses val="autoZero"/>
        <c:crossBetween val="between"/>
      </c:valAx>
      <c:spPr>
        <a:noFill/>
        <a:ln>
          <a:noFill/>
        </a:ln>
        <a:effectLst/>
      </c:spPr>
    </c:plotArea>
    <c:legend>
      <c:legendPos val="r"/>
      <c:layout>
        <c:manualLayout>
          <c:xMode val="edge"/>
          <c:yMode val="edge"/>
          <c:x val="0.85"/>
          <c:y val="0.72846128608923888"/>
          <c:w val="0.12581892804407122"/>
          <c:h val="0.2472958513465387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TABLES!PivotTable1</c:name>
    <c:fmtId val="9"/>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IN" u="sng"/>
              <a:t>Attrition</a:t>
            </a:r>
            <a:r>
              <a:rPr lang="en-IN" u="sng" baseline="0"/>
              <a:t> by Department</a:t>
            </a:r>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TABLES'!$A$5:$A$13</c:f>
              <c:strCache>
                <c:ptCount val="8"/>
                <c:pt idx="0">
                  <c:v>Finance</c:v>
                </c:pt>
                <c:pt idx="1">
                  <c:v>HR</c:v>
                </c:pt>
                <c:pt idx="2">
                  <c:v>IT</c:v>
                </c:pt>
                <c:pt idx="3">
                  <c:v>Marketing</c:v>
                </c:pt>
                <c:pt idx="4">
                  <c:v>Operations</c:v>
                </c:pt>
                <c:pt idx="5">
                  <c:v>R&amp;D</c:v>
                </c:pt>
                <c:pt idx="6">
                  <c:v>Sales</c:v>
                </c:pt>
                <c:pt idx="7">
                  <c:v>Support</c:v>
                </c:pt>
              </c:strCache>
            </c:strRef>
          </c:cat>
          <c:val>
            <c:numRef>
              <c:f>'PIVOT TABLES'!$B$5:$B$13</c:f>
              <c:numCache>
                <c:formatCode>General</c:formatCode>
                <c:ptCount val="8"/>
                <c:pt idx="0">
                  <c:v>102</c:v>
                </c:pt>
                <c:pt idx="1">
                  <c:v>99</c:v>
                </c:pt>
                <c:pt idx="2">
                  <c:v>94</c:v>
                </c:pt>
                <c:pt idx="3">
                  <c:v>94</c:v>
                </c:pt>
                <c:pt idx="4">
                  <c:v>101</c:v>
                </c:pt>
                <c:pt idx="5">
                  <c:v>104</c:v>
                </c:pt>
                <c:pt idx="6">
                  <c:v>114</c:v>
                </c:pt>
                <c:pt idx="7">
                  <c:v>116</c:v>
                </c:pt>
              </c:numCache>
            </c:numRef>
          </c:val>
          <c:extLst>
            <c:ext xmlns:c16="http://schemas.microsoft.com/office/drawing/2014/chart" uri="{C3380CC4-5D6E-409C-BE32-E72D297353CC}">
              <c16:uniqueId val="{00000000-D5BD-4605-8EF1-82928097330E}"/>
            </c:ext>
          </c:extLst>
        </c:ser>
        <c:ser>
          <c:idx val="1"/>
          <c:order val="1"/>
          <c:tx>
            <c:strRef>
              <c:f>'PIVOT TABLES'!$C$3:$C$4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TABLES'!$A$5:$A$13</c:f>
              <c:strCache>
                <c:ptCount val="8"/>
                <c:pt idx="0">
                  <c:v>Finance</c:v>
                </c:pt>
                <c:pt idx="1">
                  <c:v>HR</c:v>
                </c:pt>
                <c:pt idx="2">
                  <c:v>IT</c:v>
                </c:pt>
                <c:pt idx="3">
                  <c:v>Marketing</c:v>
                </c:pt>
                <c:pt idx="4">
                  <c:v>Operations</c:v>
                </c:pt>
                <c:pt idx="5">
                  <c:v>R&amp;D</c:v>
                </c:pt>
                <c:pt idx="6">
                  <c:v>Sales</c:v>
                </c:pt>
                <c:pt idx="7">
                  <c:v>Support</c:v>
                </c:pt>
              </c:strCache>
            </c:strRef>
          </c:cat>
          <c:val>
            <c:numRef>
              <c:f>'PIVOT TABLES'!$C$5:$C$13</c:f>
              <c:numCache>
                <c:formatCode>General</c:formatCode>
                <c:ptCount val="8"/>
                <c:pt idx="0">
                  <c:v>127</c:v>
                </c:pt>
                <c:pt idx="1">
                  <c:v>96</c:v>
                </c:pt>
                <c:pt idx="2">
                  <c:v>106</c:v>
                </c:pt>
                <c:pt idx="3">
                  <c:v>101</c:v>
                </c:pt>
                <c:pt idx="4">
                  <c:v>98</c:v>
                </c:pt>
                <c:pt idx="5">
                  <c:v>130</c:v>
                </c:pt>
                <c:pt idx="6">
                  <c:v>118</c:v>
                </c:pt>
                <c:pt idx="7">
                  <c:v>100</c:v>
                </c:pt>
              </c:numCache>
            </c:numRef>
          </c:val>
          <c:extLst>
            <c:ext xmlns:c16="http://schemas.microsoft.com/office/drawing/2014/chart" uri="{C3380CC4-5D6E-409C-BE32-E72D297353CC}">
              <c16:uniqueId val="{00000000-EB61-4D05-83F6-52525D950058}"/>
            </c:ext>
          </c:extLst>
        </c:ser>
        <c:dLbls>
          <c:dLblPos val="inEnd"/>
          <c:showLegendKey val="0"/>
          <c:showVal val="1"/>
          <c:showCatName val="0"/>
          <c:showSerName val="0"/>
          <c:showPercent val="0"/>
          <c:showBubbleSize val="0"/>
        </c:dLbls>
        <c:gapWidth val="65"/>
        <c:axId val="680653247"/>
        <c:axId val="680637887"/>
      </c:barChart>
      <c:catAx>
        <c:axId val="6806532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0637887"/>
        <c:crosses val="autoZero"/>
        <c:auto val="1"/>
        <c:lblAlgn val="ctr"/>
        <c:lblOffset val="100"/>
        <c:noMultiLvlLbl val="0"/>
      </c:catAx>
      <c:valAx>
        <c:axId val="6806378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80653247"/>
        <c:crosses val="autoZero"/>
        <c:crossBetween val="between"/>
      </c:valAx>
      <c:spPr>
        <a:noFill/>
        <a:ln>
          <a:noFill/>
        </a:ln>
        <a:effectLst/>
      </c:spPr>
    </c:plotArea>
    <c:legend>
      <c:legendPos val="r"/>
      <c:layout>
        <c:manualLayout>
          <c:xMode val="edge"/>
          <c:yMode val="edge"/>
          <c:x val="0.87079892643571477"/>
          <c:y val="0.76881963889773119"/>
          <c:w val="0.10308834619235399"/>
          <c:h val="0.2008884063236864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TABLES!PivotTable2</c:name>
    <c:fmtId val="4"/>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IN" u="sng"/>
              <a:t>Attrition</a:t>
            </a:r>
            <a:r>
              <a:rPr lang="en-IN" u="sng" baseline="0"/>
              <a:t> by Gender</a:t>
            </a:r>
            <a:endParaRPr lang="en-IN" u="sng"/>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TABLES'!$B$16:$B$17</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TABLES'!$A$18:$A$21</c:f>
              <c:strCache>
                <c:ptCount val="3"/>
                <c:pt idx="0">
                  <c:v>Female</c:v>
                </c:pt>
                <c:pt idx="1">
                  <c:v>Male</c:v>
                </c:pt>
                <c:pt idx="2">
                  <c:v>Other</c:v>
                </c:pt>
              </c:strCache>
            </c:strRef>
          </c:cat>
          <c:val>
            <c:numRef>
              <c:f>'PIVOT TABLES'!$B$18:$B$21</c:f>
              <c:numCache>
                <c:formatCode>General</c:formatCode>
                <c:ptCount val="3"/>
                <c:pt idx="0">
                  <c:v>271</c:v>
                </c:pt>
                <c:pt idx="1">
                  <c:v>282</c:v>
                </c:pt>
                <c:pt idx="2">
                  <c:v>271</c:v>
                </c:pt>
              </c:numCache>
            </c:numRef>
          </c:val>
          <c:extLst>
            <c:ext xmlns:c16="http://schemas.microsoft.com/office/drawing/2014/chart" uri="{C3380CC4-5D6E-409C-BE32-E72D297353CC}">
              <c16:uniqueId val="{00000000-02C5-4B6C-B3C2-E1DD0DFF28B5}"/>
            </c:ext>
          </c:extLst>
        </c:ser>
        <c:ser>
          <c:idx val="1"/>
          <c:order val="1"/>
          <c:tx>
            <c:strRef>
              <c:f>'PIVOT TABLES'!$C$16:$C$17</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TABLES'!$A$18:$A$21</c:f>
              <c:strCache>
                <c:ptCount val="3"/>
                <c:pt idx="0">
                  <c:v>Female</c:v>
                </c:pt>
                <c:pt idx="1">
                  <c:v>Male</c:v>
                </c:pt>
                <c:pt idx="2">
                  <c:v>Other</c:v>
                </c:pt>
              </c:strCache>
            </c:strRef>
          </c:cat>
          <c:val>
            <c:numRef>
              <c:f>'PIVOT TABLES'!$C$18:$C$21</c:f>
              <c:numCache>
                <c:formatCode>General</c:formatCode>
                <c:ptCount val="3"/>
                <c:pt idx="0">
                  <c:v>282</c:v>
                </c:pt>
                <c:pt idx="1">
                  <c:v>308</c:v>
                </c:pt>
                <c:pt idx="2">
                  <c:v>286</c:v>
                </c:pt>
              </c:numCache>
            </c:numRef>
          </c:val>
          <c:extLst>
            <c:ext xmlns:c16="http://schemas.microsoft.com/office/drawing/2014/chart" uri="{C3380CC4-5D6E-409C-BE32-E72D297353CC}">
              <c16:uniqueId val="{00000000-89DF-45C3-9BE7-63DFB1999583}"/>
            </c:ext>
          </c:extLst>
        </c:ser>
        <c:dLbls>
          <c:dLblPos val="inEnd"/>
          <c:showLegendKey val="0"/>
          <c:showVal val="1"/>
          <c:showCatName val="0"/>
          <c:showSerName val="0"/>
          <c:showPercent val="0"/>
          <c:showBubbleSize val="0"/>
        </c:dLbls>
        <c:gapWidth val="65"/>
        <c:axId val="815146303"/>
        <c:axId val="815150143"/>
      </c:barChart>
      <c:catAx>
        <c:axId val="8151463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5150143"/>
        <c:crosses val="autoZero"/>
        <c:auto val="1"/>
        <c:lblAlgn val="ctr"/>
        <c:lblOffset val="100"/>
        <c:noMultiLvlLbl val="0"/>
      </c:catAx>
      <c:valAx>
        <c:axId val="815150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15146303"/>
        <c:crosses val="autoZero"/>
        <c:crossBetween val="between"/>
      </c:valAx>
      <c:spPr>
        <a:noFill/>
        <a:ln>
          <a:noFill/>
        </a:ln>
        <a:effectLst/>
      </c:spPr>
    </c:plotArea>
    <c:legend>
      <c:legendPos val="r"/>
      <c:layout>
        <c:manualLayout>
          <c:xMode val="edge"/>
          <c:yMode val="edge"/>
          <c:x val="0.85"/>
          <c:y val="0.72846128608923888"/>
          <c:w val="0.10291108083687216"/>
          <c:h val="0.2009281020735324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2!PivotTable10</c:name>
    <c:fmtId val="4"/>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IN" u="sng"/>
              <a:t>Attrition by Tenures(Years)</a:t>
            </a:r>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2'!$B$35:$B$36</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2'!$A$37:$A$47</c:f>
              <c:strCache>
                <c:ptCount val="10"/>
                <c:pt idx="0">
                  <c:v>0</c:v>
                </c:pt>
                <c:pt idx="1">
                  <c:v>1</c:v>
                </c:pt>
                <c:pt idx="2">
                  <c:v>2</c:v>
                </c:pt>
                <c:pt idx="3">
                  <c:v>3</c:v>
                </c:pt>
                <c:pt idx="4">
                  <c:v>4</c:v>
                </c:pt>
                <c:pt idx="5">
                  <c:v>5</c:v>
                </c:pt>
                <c:pt idx="6">
                  <c:v>6</c:v>
                </c:pt>
                <c:pt idx="7">
                  <c:v>7</c:v>
                </c:pt>
                <c:pt idx="8">
                  <c:v>8</c:v>
                </c:pt>
                <c:pt idx="9">
                  <c:v>9</c:v>
                </c:pt>
              </c:strCache>
            </c:strRef>
          </c:cat>
          <c:val>
            <c:numRef>
              <c:f>'PIVOT TABLES 2'!$B$37:$B$47</c:f>
              <c:numCache>
                <c:formatCode>General</c:formatCode>
                <c:ptCount val="10"/>
                <c:pt idx="0">
                  <c:v>84</c:v>
                </c:pt>
                <c:pt idx="1">
                  <c:v>76</c:v>
                </c:pt>
                <c:pt idx="2">
                  <c:v>90</c:v>
                </c:pt>
                <c:pt idx="3">
                  <c:v>100</c:v>
                </c:pt>
                <c:pt idx="4">
                  <c:v>98</c:v>
                </c:pt>
                <c:pt idx="5">
                  <c:v>80</c:v>
                </c:pt>
                <c:pt idx="6">
                  <c:v>84</c:v>
                </c:pt>
                <c:pt idx="7">
                  <c:v>82</c:v>
                </c:pt>
                <c:pt idx="8">
                  <c:v>66</c:v>
                </c:pt>
                <c:pt idx="9">
                  <c:v>64</c:v>
                </c:pt>
              </c:numCache>
            </c:numRef>
          </c:val>
          <c:extLst>
            <c:ext xmlns:c16="http://schemas.microsoft.com/office/drawing/2014/chart" uri="{C3380CC4-5D6E-409C-BE32-E72D297353CC}">
              <c16:uniqueId val="{00000000-7154-4E4E-B91E-BFC00053E0FB}"/>
            </c:ext>
          </c:extLst>
        </c:ser>
        <c:ser>
          <c:idx val="1"/>
          <c:order val="1"/>
          <c:tx>
            <c:strRef>
              <c:f>'PIVOT TABLES 2'!$C$35:$C$36</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2'!$A$37:$A$47</c:f>
              <c:strCache>
                <c:ptCount val="10"/>
                <c:pt idx="0">
                  <c:v>0</c:v>
                </c:pt>
                <c:pt idx="1">
                  <c:v>1</c:v>
                </c:pt>
                <c:pt idx="2">
                  <c:v>2</c:v>
                </c:pt>
                <c:pt idx="3">
                  <c:v>3</c:v>
                </c:pt>
                <c:pt idx="4">
                  <c:v>4</c:v>
                </c:pt>
                <c:pt idx="5">
                  <c:v>5</c:v>
                </c:pt>
                <c:pt idx="6">
                  <c:v>6</c:v>
                </c:pt>
                <c:pt idx="7">
                  <c:v>7</c:v>
                </c:pt>
                <c:pt idx="8">
                  <c:v>8</c:v>
                </c:pt>
                <c:pt idx="9">
                  <c:v>9</c:v>
                </c:pt>
              </c:strCache>
            </c:strRef>
          </c:cat>
          <c:val>
            <c:numRef>
              <c:f>'PIVOT TABLES 2'!$C$37:$C$47</c:f>
              <c:numCache>
                <c:formatCode>General</c:formatCode>
                <c:ptCount val="10"/>
                <c:pt idx="0">
                  <c:v>82</c:v>
                </c:pt>
                <c:pt idx="1">
                  <c:v>92</c:v>
                </c:pt>
                <c:pt idx="2">
                  <c:v>95</c:v>
                </c:pt>
                <c:pt idx="3">
                  <c:v>82</c:v>
                </c:pt>
                <c:pt idx="4">
                  <c:v>89</c:v>
                </c:pt>
                <c:pt idx="5">
                  <c:v>89</c:v>
                </c:pt>
                <c:pt idx="6">
                  <c:v>93</c:v>
                </c:pt>
                <c:pt idx="7">
                  <c:v>104</c:v>
                </c:pt>
                <c:pt idx="8">
                  <c:v>88</c:v>
                </c:pt>
                <c:pt idx="9">
                  <c:v>62</c:v>
                </c:pt>
              </c:numCache>
            </c:numRef>
          </c:val>
          <c:extLst>
            <c:ext xmlns:c16="http://schemas.microsoft.com/office/drawing/2014/chart" uri="{C3380CC4-5D6E-409C-BE32-E72D297353CC}">
              <c16:uniqueId val="{00000000-135E-4B5C-907C-A4D9FA341B0C}"/>
            </c:ext>
          </c:extLst>
        </c:ser>
        <c:dLbls>
          <c:dLblPos val="inEnd"/>
          <c:showLegendKey val="0"/>
          <c:showVal val="1"/>
          <c:showCatName val="0"/>
          <c:showSerName val="0"/>
          <c:showPercent val="0"/>
          <c:showBubbleSize val="0"/>
        </c:dLbls>
        <c:gapWidth val="65"/>
        <c:axId val="918038815"/>
        <c:axId val="918056095"/>
      </c:barChart>
      <c:catAx>
        <c:axId val="918038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8056095"/>
        <c:crosses val="autoZero"/>
        <c:auto val="1"/>
        <c:lblAlgn val="ctr"/>
        <c:lblOffset val="100"/>
        <c:noMultiLvlLbl val="0"/>
      </c:catAx>
      <c:valAx>
        <c:axId val="9180560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18038815"/>
        <c:crosses val="autoZero"/>
        <c:crossBetween val="between"/>
      </c:valAx>
      <c:spPr>
        <a:noFill/>
        <a:ln>
          <a:noFill/>
        </a:ln>
        <a:effectLst/>
      </c:spPr>
    </c:plotArea>
    <c:legend>
      <c:legendPos val="r"/>
      <c:layout>
        <c:manualLayout>
          <c:xMode val="edge"/>
          <c:yMode val="edge"/>
          <c:x val="0.89802224969097655"/>
          <c:y val="0.8074538465162816"/>
          <c:w val="0.10197773548886874"/>
          <c:h val="0.192546151006547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2!PivotTable9</c:name>
    <c:fmtId val="3"/>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US" u="sng"/>
              <a:t>Performance</a:t>
            </a:r>
            <a:r>
              <a:rPr lang="en-US" u="sng" baseline="0"/>
              <a:t> rating Distribution</a:t>
            </a:r>
            <a:endParaRPr lang="en-US" u="sng"/>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2'!$A$6:$A$11</c:f>
              <c:strCache>
                <c:ptCount val="5"/>
                <c:pt idx="0">
                  <c:v>1</c:v>
                </c:pt>
                <c:pt idx="1">
                  <c:v>2</c:v>
                </c:pt>
                <c:pt idx="2">
                  <c:v>3</c:v>
                </c:pt>
                <c:pt idx="3">
                  <c:v>4</c:v>
                </c:pt>
                <c:pt idx="4">
                  <c:v>5</c:v>
                </c:pt>
              </c:strCache>
            </c:strRef>
          </c:cat>
          <c:val>
            <c:numRef>
              <c:f>'PIVOT TABLES 2'!$B$6:$B$11</c:f>
              <c:numCache>
                <c:formatCode>General</c:formatCode>
                <c:ptCount val="5"/>
                <c:pt idx="0">
                  <c:v>355</c:v>
                </c:pt>
                <c:pt idx="1">
                  <c:v>330</c:v>
                </c:pt>
                <c:pt idx="2">
                  <c:v>332</c:v>
                </c:pt>
                <c:pt idx="3">
                  <c:v>347</c:v>
                </c:pt>
                <c:pt idx="4">
                  <c:v>336</c:v>
                </c:pt>
              </c:numCache>
            </c:numRef>
          </c:val>
          <c:extLst>
            <c:ext xmlns:c16="http://schemas.microsoft.com/office/drawing/2014/chart" uri="{C3380CC4-5D6E-409C-BE32-E72D297353CC}">
              <c16:uniqueId val="{00000000-2A78-434D-8753-93920ED08ECE}"/>
            </c:ext>
          </c:extLst>
        </c:ser>
        <c:dLbls>
          <c:dLblPos val="inEnd"/>
          <c:showLegendKey val="0"/>
          <c:showVal val="1"/>
          <c:showCatName val="0"/>
          <c:showSerName val="0"/>
          <c:showPercent val="0"/>
          <c:showBubbleSize val="0"/>
        </c:dLbls>
        <c:gapWidth val="65"/>
        <c:axId val="815155903"/>
        <c:axId val="815148703"/>
      </c:barChart>
      <c:catAx>
        <c:axId val="8151559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5148703"/>
        <c:crosses val="autoZero"/>
        <c:auto val="1"/>
        <c:lblAlgn val="ctr"/>
        <c:lblOffset val="100"/>
        <c:noMultiLvlLbl val="0"/>
      </c:catAx>
      <c:valAx>
        <c:axId val="8151487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15155903"/>
        <c:crosses val="autoZero"/>
        <c:crossBetween val="between"/>
      </c:valAx>
      <c:spPr>
        <a:noFill/>
        <a:ln>
          <a:noFill/>
        </a:ln>
        <a:effectLst/>
      </c:spPr>
    </c:plotArea>
    <c:legend>
      <c:legendPos val="r"/>
      <c:layout>
        <c:manualLayout>
          <c:xMode val="edge"/>
          <c:yMode val="edge"/>
          <c:x val="0.83989322085877349"/>
          <c:y val="0.86238151361653048"/>
          <c:w val="0.11480629602635027"/>
          <c:h val="7.781509099442041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2!PivotTable11</c:name>
    <c:fmtId val="4"/>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US" u="sng"/>
              <a:t>Average</a:t>
            </a:r>
            <a:r>
              <a:rPr lang="en-US" u="sng" baseline="0"/>
              <a:t> Salary by Department</a:t>
            </a:r>
            <a:endParaRPr lang="en-US" u="sng"/>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2'!$B$55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2'!$A$56:$A$64</c:f>
              <c:strCache>
                <c:ptCount val="8"/>
                <c:pt idx="0">
                  <c:v>Finance</c:v>
                </c:pt>
                <c:pt idx="1">
                  <c:v>HR</c:v>
                </c:pt>
                <c:pt idx="2">
                  <c:v>IT</c:v>
                </c:pt>
                <c:pt idx="3">
                  <c:v>Marketing</c:v>
                </c:pt>
                <c:pt idx="4">
                  <c:v>Operations</c:v>
                </c:pt>
                <c:pt idx="5">
                  <c:v>R&amp;D</c:v>
                </c:pt>
                <c:pt idx="6">
                  <c:v>Sales</c:v>
                </c:pt>
                <c:pt idx="7">
                  <c:v>Support</c:v>
                </c:pt>
              </c:strCache>
            </c:strRef>
          </c:cat>
          <c:val>
            <c:numRef>
              <c:f>'PIVOT TABLES 2'!$B$56:$B$64</c:f>
              <c:numCache>
                <c:formatCode>"₹"\ #,##0.00</c:formatCode>
                <c:ptCount val="8"/>
                <c:pt idx="0">
                  <c:v>68417.868995633195</c:v>
                </c:pt>
                <c:pt idx="1">
                  <c:v>70134.702564102568</c:v>
                </c:pt>
                <c:pt idx="2">
                  <c:v>73506.875</c:v>
                </c:pt>
                <c:pt idx="3">
                  <c:v>68027.056410256409</c:v>
                </c:pt>
                <c:pt idx="4">
                  <c:v>70771.341708542706</c:v>
                </c:pt>
                <c:pt idx="5">
                  <c:v>69775.188034188031</c:v>
                </c:pt>
                <c:pt idx="6">
                  <c:v>71795.5</c:v>
                </c:pt>
                <c:pt idx="7">
                  <c:v>72114.287037037036</c:v>
                </c:pt>
              </c:numCache>
            </c:numRef>
          </c:val>
          <c:extLst>
            <c:ext xmlns:c16="http://schemas.microsoft.com/office/drawing/2014/chart" uri="{C3380CC4-5D6E-409C-BE32-E72D297353CC}">
              <c16:uniqueId val="{00000000-E500-4C76-AA26-B0A3E7776841}"/>
            </c:ext>
          </c:extLst>
        </c:ser>
        <c:dLbls>
          <c:dLblPos val="inEnd"/>
          <c:showLegendKey val="0"/>
          <c:showVal val="1"/>
          <c:showCatName val="0"/>
          <c:showSerName val="0"/>
          <c:showPercent val="0"/>
          <c:showBubbleSize val="0"/>
        </c:dLbls>
        <c:gapWidth val="65"/>
        <c:axId val="1546004015"/>
        <c:axId val="1545990095"/>
      </c:barChart>
      <c:catAx>
        <c:axId val="15460040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5990095"/>
        <c:crosses val="autoZero"/>
        <c:auto val="1"/>
        <c:lblAlgn val="ctr"/>
        <c:lblOffset val="100"/>
        <c:noMultiLvlLbl val="0"/>
      </c:catAx>
      <c:valAx>
        <c:axId val="15459900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5460040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2!PivotTable12</c:name>
    <c:fmtId val="2"/>
  </c:pivotSource>
  <c:chart>
    <c:title>
      <c:tx>
        <c:rich>
          <a:bodyPr rot="0" spcFirstLastPara="1" vertOverflow="ellipsis" vert="horz" wrap="square" anchor="ctr" anchorCtr="1"/>
          <a:lstStyle/>
          <a:p>
            <a:pPr algn="ctr">
              <a:defRPr sz="1800" b="1" i="0" u="sng" strike="noStrike" kern="1200" baseline="0">
                <a:solidFill>
                  <a:schemeClr val="dk1">
                    <a:lumMod val="75000"/>
                    <a:lumOff val="25000"/>
                  </a:schemeClr>
                </a:solidFill>
                <a:latin typeface="+mn-lt"/>
                <a:ea typeface="+mn-ea"/>
                <a:cs typeface="+mn-cs"/>
              </a:defRPr>
            </a:pPr>
            <a:r>
              <a:rPr lang="en-IN" u="sng"/>
              <a:t>City-Wise Attrition</a:t>
            </a:r>
          </a:p>
        </c:rich>
      </c:tx>
      <c:overlay val="0"/>
      <c:spPr>
        <a:noFill/>
        <a:ln>
          <a:noFill/>
        </a:ln>
        <a:effectLst/>
      </c:spPr>
      <c:txPr>
        <a:bodyPr rot="0" spcFirstLastPara="1" vertOverflow="ellipsis" vert="horz" wrap="square" anchor="ctr" anchorCtr="1"/>
        <a:lstStyle/>
        <a:p>
          <a:pPr algn="ctr">
            <a:defRPr sz="1800" b="1" i="0" u="sng"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 2'!$B$76:$B$77</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2'!$A$78:$A$86</c:f>
              <c:strCache>
                <c:ptCount val="8"/>
                <c:pt idx="0">
                  <c:v>Bengaluru</c:v>
                </c:pt>
                <c:pt idx="1">
                  <c:v>Bhubaneswar</c:v>
                </c:pt>
                <c:pt idx="2">
                  <c:v>Chennai</c:v>
                </c:pt>
                <c:pt idx="3">
                  <c:v>Delhi</c:v>
                </c:pt>
                <c:pt idx="4">
                  <c:v>Hyderabad</c:v>
                </c:pt>
                <c:pt idx="5">
                  <c:v>Kolkata</c:v>
                </c:pt>
                <c:pt idx="6">
                  <c:v>Mumbai</c:v>
                </c:pt>
                <c:pt idx="7">
                  <c:v>Pune</c:v>
                </c:pt>
              </c:strCache>
            </c:strRef>
          </c:cat>
          <c:val>
            <c:numRef>
              <c:f>'PIVOT TABLES 2'!$B$78:$B$86</c:f>
              <c:numCache>
                <c:formatCode>General</c:formatCode>
                <c:ptCount val="8"/>
                <c:pt idx="0">
                  <c:v>105</c:v>
                </c:pt>
                <c:pt idx="1">
                  <c:v>102</c:v>
                </c:pt>
                <c:pt idx="2">
                  <c:v>97</c:v>
                </c:pt>
                <c:pt idx="3">
                  <c:v>108</c:v>
                </c:pt>
                <c:pt idx="4">
                  <c:v>109</c:v>
                </c:pt>
                <c:pt idx="5">
                  <c:v>105</c:v>
                </c:pt>
                <c:pt idx="6">
                  <c:v>107</c:v>
                </c:pt>
                <c:pt idx="7">
                  <c:v>91</c:v>
                </c:pt>
              </c:numCache>
            </c:numRef>
          </c:val>
          <c:extLst>
            <c:ext xmlns:c16="http://schemas.microsoft.com/office/drawing/2014/chart" uri="{C3380CC4-5D6E-409C-BE32-E72D297353CC}">
              <c16:uniqueId val="{00000000-EBAF-4BAD-B33D-8626A7EF9DE5}"/>
            </c:ext>
          </c:extLst>
        </c:ser>
        <c:ser>
          <c:idx val="1"/>
          <c:order val="1"/>
          <c:tx>
            <c:strRef>
              <c:f>'PIVOT TABLES 2'!$C$76:$C$77</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2'!$A$78:$A$86</c:f>
              <c:strCache>
                <c:ptCount val="8"/>
                <c:pt idx="0">
                  <c:v>Bengaluru</c:v>
                </c:pt>
                <c:pt idx="1">
                  <c:v>Bhubaneswar</c:v>
                </c:pt>
                <c:pt idx="2">
                  <c:v>Chennai</c:v>
                </c:pt>
                <c:pt idx="3">
                  <c:v>Delhi</c:v>
                </c:pt>
                <c:pt idx="4">
                  <c:v>Hyderabad</c:v>
                </c:pt>
                <c:pt idx="5">
                  <c:v>Kolkata</c:v>
                </c:pt>
                <c:pt idx="6">
                  <c:v>Mumbai</c:v>
                </c:pt>
                <c:pt idx="7">
                  <c:v>Pune</c:v>
                </c:pt>
              </c:strCache>
            </c:strRef>
          </c:cat>
          <c:val>
            <c:numRef>
              <c:f>'PIVOT TABLES 2'!$C$78:$C$86</c:f>
              <c:numCache>
                <c:formatCode>General</c:formatCode>
                <c:ptCount val="8"/>
                <c:pt idx="0">
                  <c:v>121</c:v>
                </c:pt>
                <c:pt idx="1">
                  <c:v>92</c:v>
                </c:pt>
                <c:pt idx="2">
                  <c:v>92</c:v>
                </c:pt>
                <c:pt idx="3">
                  <c:v>124</c:v>
                </c:pt>
                <c:pt idx="4">
                  <c:v>117</c:v>
                </c:pt>
                <c:pt idx="5">
                  <c:v>124</c:v>
                </c:pt>
                <c:pt idx="6">
                  <c:v>102</c:v>
                </c:pt>
                <c:pt idx="7">
                  <c:v>104</c:v>
                </c:pt>
              </c:numCache>
            </c:numRef>
          </c:val>
          <c:extLst>
            <c:ext xmlns:c16="http://schemas.microsoft.com/office/drawing/2014/chart" uri="{C3380CC4-5D6E-409C-BE32-E72D297353CC}">
              <c16:uniqueId val="{00000000-C33D-49CC-B29D-137A1B01FF9B}"/>
            </c:ext>
          </c:extLst>
        </c:ser>
        <c:dLbls>
          <c:dLblPos val="ctr"/>
          <c:showLegendKey val="0"/>
          <c:showVal val="1"/>
          <c:showCatName val="0"/>
          <c:showSerName val="0"/>
          <c:showPercent val="0"/>
          <c:showBubbleSize val="0"/>
        </c:dLbls>
        <c:gapWidth val="150"/>
        <c:overlap val="100"/>
        <c:axId val="1545727487"/>
        <c:axId val="1545730959"/>
      </c:barChart>
      <c:catAx>
        <c:axId val="15457274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5730959"/>
        <c:crosses val="autoZero"/>
        <c:auto val="1"/>
        <c:lblAlgn val="ctr"/>
        <c:lblOffset val="100"/>
        <c:noMultiLvlLbl val="0"/>
      </c:catAx>
      <c:valAx>
        <c:axId val="154573095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45727487"/>
        <c:crosses val="autoZero"/>
        <c:crossBetween val="between"/>
      </c:valAx>
      <c:spPr>
        <a:noFill/>
        <a:ln>
          <a:noFill/>
        </a:ln>
        <a:effectLst/>
      </c:spPr>
    </c:plotArea>
    <c:legend>
      <c:legendPos val="r"/>
      <c:layout>
        <c:manualLayout>
          <c:xMode val="edge"/>
          <c:yMode val="edge"/>
          <c:x val="0.89523260284505946"/>
          <c:y val="0.74163852451188916"/>
          <c:w val="6.7905753121279097E-2"/>
          <c:h val="0.1375385398756629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TABLES!PivotTable1</c:name>
    <c:fmtId val="10"/>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IN" u="sng"/>
              <a:t>Attrition</a:t>
            </a:r>
            <a:r>
              <a:rPr lang="en-IN" u="sng" baseline="0"/>
              <a:t> by Department</a:t>
            </a:r>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TABLES'!$A$5:$A$13</c:f>
              <c:strCache>
                <c:ptCount val="8"/>
                <c:pt idx="0">
                  <c:v>Finance</c:v>
                </c:pt>
                <c:pt idx="1">
                  <c:v>HR</c:v>
                </c:pt>
                <c:pt idx="2">
                  <c:v>IT</c:v>
                </c:pt>
                <c:pt idx="3">
                  <c:v>Marketing</c:v>
                </c:pt>
                <c:pt idx="4">
                  <c:v>Operations</c:v>
                </c:pt>
                <c:pt idx="5">
                  <c:v>R&amp;D</c:v>
                </c:pt>
                <c:pt idx="6">
                  <c:v>Sales</c:v>
                </c:pt>
                <c:pt idx="7">
                  <c:v>Support</c:v>
                </c:pt>
              </c:strCache>
            </c:strRef>
          </c:cat>
          <c:val>
            <c:numRef>
              <c:f>'PIVOT TABLES'!$B$5:$B$13</c:f>
              <c:numCache>
                <c:formatCode>General</c:formatCode>
                <c:ptCount val="8"/>
                <c:pt idx="0">
                  <c:v>102</c:v>
                </c:pt>
                <c:pt idx="1">
                  <c:v>99</c:v>
                </c:pt>
                <c:pt idx="2">
                  <c:v>94</c:v>
                </c:pt>
                <c:pt idx="3">
                  <c:v>94</c:v>
                </c:pt>
                <c:pt idx="4">
                  <c:v>101</c:v>
                </c:pt>
                <c:pt idx="5">
                  <c:v>104</c:v>
                </c:pt>
                <c:pt idx="6">
                  <c:v>114</c:v>
                </c:pt>
                <c:pt idx="7">
                  <c:v>116</c:v>
                </c:pt>
              </c:numCache>
            </c:numRef>
          </c:val>
          <c:extLst>
            <c:ext xmlns:c16="http://schemas.microsoft.com/office/drawing/2014/chart" uri="{C3380CC4-5D6E-409C-BE32-E72D297353CC}">
              <c16:uniqueId val="{00000000-D5BD-4605-8EF1-82928097330E}"/>
            </c:ext>
          </c:extLst>
        </c:ser>
        <c:ser>
          <c:idx val="1"/>
          <c:order val="1"/>
          <c:tx>
            <c:strRef>
              <c:f>'PIVOT TABLES'!$C$3:$C$4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TABLES'!$A$5:$A$13</c:f>
              <c:strCache>
                <c:ptCount val="8"/>
                <c:pt idx="0">
                  <c:v>Finance</c:v>
                </c:pt>
                <c:pt idx="1">
                  <c:v>HR</c:v>
                </c:pt>
                <c:pt idx="2">
                  <c:v>IT</c:v>
                </c:pt>
                <c:pt idx="3">
                  <c:v>Marketing</c:v>
                </c:pt>
                <c:pt idx="4">
                  <c:v>Operations</c:v>
                </c:pt>
                <c:pt idx="5">
                  <c:v>R&amp;D</c:v>
                </c:pt>
                <c:pt idx="6">
                  <c:v>Sales</c:v>
                </c:pt>
                <c:pt idx="7">
                  <c:v>Support</c:v>
                </c:pt>
              </c:strCache>
            </c:strRef>
          </c:cat>
          <c:val>
            <c:numRef>
              <c:f>'PIVOT TABLES'!$C$5:$C$13</c:f>
              <c:numCache>
                <c:formatCode>General</c:formatCode>
                <c:ptCount val="8"/>
                <c:pt idx="0">
                  <c:v>127</c:v>
                </c:pt>
                <c:pt idx="1">
                  <c:v>96</c:v>
                </c:pt>
                <c:pt idx="2">
                  <c:v>106</c:v>
                </c:pt>
                <c:pt idx="3">
                  <c:v>101</c:v>
                </c:pt>
                <c:pt idx="4">
                  <c:v>98</c:v>
                </c:pt>
                <c:pt idx="5">
                  <c:v>130</c:v>
                </c:pt>
                <c:pt idx="6">
                  <c:v>118</c:v>
                </c:pt>
                <c:pt idx="7">
                  <c:v>100</c:v>
                </c:pt>
              </c:numCache>
            </c:numRef>
          </c:val>
          <c:extLst>
            <c:ext xmlns:c16="http://schemas.microsoft.com/office/drawing/2014/chart" uri="{C3380CC4-5D6E-409C-BE32-E72D297353CC}">
              <c16:uniqueId val="{00000000-17B3-48D6-833E-CCD440E88B25}"/>
            </c:ext>
          </c:extLst>
        </c:ser>
        <c:dLbls>
          <c:dLblPos val="inEnd"/>
          <c:showLegendKey val="0"/>
          <c:showVal val="1"/>
          <c:showCatName val="0"/>
          <c:showSerName val="0"/>
          <c:showPercent val="0"/>
          <c:showBubbleSize val="0"/>
        </c:dLbls>
        <c:gapWidth val="65"/>
        <c:axId val="680653247"/>
        <c:axId val="680637887"/>
      </c:barChart>
      <c:catAx>
        <c:axId val="6806532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0637887"/>
        <c:crosses val="autoZero"/>
        <c:auto val="1"/>
        <c:lblAlgn val="ctr"/>
        <c:lblOffset val="100"/>
        <c:noMultiLvlLbl val="0"/>
      </c:catAx>
      <c:valAx>
        <c:axId val="6806378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80653247"/>
        <c:crosses val="autoZero"/>
        <c:crossBetween val="between"/>
      </c:valAx>
      <c:spPr>
        <a:noFill/>
        <a:ln>
          <a:noFill/>
        </a:ln>
        <a:effectLst/>
      </c:spPr>
    </c:plotArea>
    <c:legend>
      <c:legendPos val="r"/>
      <c:layout>
        <c:manualLayout>
          <c:xMode val="edge"/>
          <c:yMode val="edge"/>
          <c:x val="0.87079892643571477"/>
          <c:y val="0.76881963889773119"/>
          <c:w val="0.10308834619235399"/>
          <c:h val="0.200723734585694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TABLES!PivotTable2</c:name>
    <c:fmtId val="5"/>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IN" u="sng"/>
              <a:t>Attrition</a:t>
            </a:r>
            <a:r>
              <a:rPr lang="en-IN" u="sng" baseline="0"/>
              <a:t> by Gender</a:t>
            </a:r>
            <a:endParaRPr lang="en-IN" u="sng"/>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TABLES'!$B$16:$B$17</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TABLES'!$A$18:$A$21</c:f>
              <c:strCache>
                <c:ptCount val="3"/>
                <c:pt idx="0">
                  <c:v>Female</c:v>
                </c:pt>
                <c:pt idx="1">
                  <c:v>Male</c:v>
                </c:pt>
                <c:pt idx="2">
                  <c:v>Other</c:v>
                </c:pt>
              </c:strCache>
            </c:strRef>
          </c:cat>
          <c:val>
            <c:numRef>
              <c:f>'PIVOT TABLES'!$B$18:$B$21</c:f>
              <c:numCache>
                <c:formatCode>General</c:formatCode>
                <c:ptCount val="3"/>
                <c:pt idx="0">
                  <c:v>271</c:v>
                </c:pt>
                <c:pt idx="1">
                  <c:v>282</c:v>
                </c:pt>
                <c:pt idx="2">
                  <c:v>271</c:v>
                </c:pt>
              </c:numCache>
            </c:numRef>
          </c:val>
          <c:extLst>
            <c:ext xmlns:c16="http://schemas.microsoft.com/office/drawing/2014/chart" uri="{C3380CC4-5D6E-409C-BE32-E72D297353CC}">
              <c16:uniqueId val="{00000000-02C5-4B6C-B3C2-E1DD0DFF28B5}"/>
            </c:ext>
          </c:extLst>
        </c:ser>
        <c:ser>
          <c:idx val="1"/>
          <c:order val="1"/>
          <c:tx>
            <c:strRef>
              <c:f>'PIVOT TABLES'!$C$16:$C$17</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TABLES'!$A$18:$A$21</c:f>
              <c:strCache>
                <c:ptCount val="3"/>
                <c:pt idx="0">
                  <c:v>Female</c:v>
                </c:pt>
                <c:pt idx="1">
                  <c:v>Male</c:v>
                </c:pt>
                <c:pt idx="2">
                  <c:v>Other</c:v>
                </c:pt>
              </c:strCache>
            </c:strRef>
          </c:cat>
          <c:val>
            <c:numRef>
              <c:f>'PIVOT TABLES'!$C$18:$C$21</c:f>
              <c:numCache>
                <c:formatCode>General</c:formatCode>
                <c:ptCount val="3"/>
                <c:pt idx="0">
                  <c:v>282</c:v>
                </c:pt>
                <c:pt idx="1">
                  <c:v>308</c:v>
                </c:pt>
                <c:pt idx="2">
                  <c:v>286</c:v>
                </c:pt>
              </c:numCache>
            </c:numRef>
          </c:val>
          <c:extLst>
            <c:ext xmlns:c16="http://schemas.microsoft.com/office/drawing/2014/chart" uri="{C3380CC4-5D6E-409C-BE32-E72D297353CC}">
              <c16:uniqueId val="{00000000-BF8C-4129-8969-42417FF79EDC}"/>
            </c:ext>
          </c:extLst>
        </c:ser>
        <c:dLbls>
          <c:dLblPos val="inEnd"/>
          <c:showLegendKey val="0"/>
          <c:showVal val="1"/>
          <c:showCatName val="0"/>
          <c:showSerName val="0"/>
          <c:showPercent val="0"/>
          <c:showBubbleSize val="0"/>
        </c:dLbls>
        <c:gapWidth val="65"/>
        <c:axId val="815146303"/>
        <c:axId val="815150143"/>
      </c:barChart>
      <c:catAx>
        <c:axId val="8151463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5150143"/>
        <c:crosses val="autoZero"/>
        <c:auto val="1"/>
        <c:lblAlgn val="ctr"/>
        <c:lblOffset val="100"/>
        <c:noMultiLvlLbl val="0"/>
      </c:catAx>
      <c:valAx>
        <c:axId val="815150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15146303"/>
        <c:crosses val="autoZero"/>
        <c:crossBetween val="between"/>
      </c:valAx>
      <c:spPr>
        <a:noFill/>
        <a:ln>
          <a:noFill/>
        </a:ln>
        <a:effectLst/>
      </c:spPr>
    </c:plotArea>
    <c:legend>
      <c:legendPos val="r"/>
      <c:layout>
        <c:manualLayout>
          <c:xMode val="edge"/>
          <c:yMode val="edge"/>
          <c:x val="0.85"/>
          <c:y val="0.72846128608923888"/>
          <c:w val="0.10291108083687216"/>
          <c:h val="0.2007644170509598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2!PivotTable10</c:name>
    <c:fmtId val="5"/>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IN" u="sng"/>
              <a:t>Attrition by Tenures(Years)</a:t>
            </a:r>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2'!$B$35:$B$36</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2'!$A$37:$A$47</c:f>
              <c:strCache>
                <c:ptCount val="10"/>
                <c:pt idx="0">
                  <c:v>0</c:v>
                </c:pt>
                <c:pt idx="1">
                  <c:v>1</c:v>
                </c:pt>
                <c:pt idx="2">
                  <c:v>2</c:v>
                </c:pt>
                <c:pt idx="3">
                  <c:v>3</c:v>
                </c:pt>
                <c:pt idx="4">
                  <c:v>4</c:v>
                </c:pt>
                <c:pt idx="5">
                  <c:v>5</c:v>
                </c:pt>
                <c:pt idx="6">
                  <c:v>6</c:v>
                </c:pt>
                <c:pt idx="7">
                  <c:v>7</c:v>
                </c:pt>
                <c:pt idx="8">
                  <c:v>8</c:v>
                </c:pt>
                <c:pt idx="9">
                  <c:v>9</c:v>
                </c:pt>
              </c:strCache>
            </c:strRef>
          </c:cat>
          <c:val>
            <c:numRef>
              <c:f>'PIVOT TABLES 2'!$B$37:$B$47</c:f>
              <c:numCache>
                <c:formatCode>General</c:formatCode>
                <c:ptCount val="10"/>
                <c:pt idx="0">
                  <c:v>84</c:v>
                </c:pt>
                <c:pt idx="1">
                  <c:v>76</c:v>
                </c:pt>
                <c:pt idx="2">
                  <c:v>90</c:v>
                </c:pt>
                <c:pt idx="3">
                  <c:v>100</c:v>
                </c:pt>
                <c:pt idx="4">
                  <c:v>98</c:v>
                </c:pt>
                <c:pt idx="5">
                  <c:v>80</c:v>
                </c:pt>
                <c:pt idx="6">
                  <c:v>84</c:v>
                </c:pt>
                <c:pt idx="7">
                  <c:v>82</c:v>
                </c:pt>
                <c:pt idx="8">
                  <c:v>66</c:v>
                </c:pt>
                <c:pt idx="9">
                  <c:v>64</c:v>
                </c:pt>
              </c:numCache>
            </c:numRef>
          </c:val>
          <c:extLst>
            <c:ext xmlns:c16="http://schemas.microsoft.com/office/drawing/2014/chart" uri="{C3380CC4-5D6E-409C-BE32-E72D297353CC}">
              <c16:uniqueId val="{00000000-7154-4E4E-B91E-BFC00053E0FB}"/>
            </c:ext>
          </c:extLst>
        </c:ser>
        <c:ser>
          <c:idx val="1"/>
          <c:order val="1"/>
          <c:tx>
            <c:strRef>
              <c:f>'PIVOT TABLES 2'!$C$35:$C$36</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2'!$A$37:$A$47</c:f>
              <c:strCache>
                <c:ptCount val="10"/>
                <c:pt idx="0">
                  <c:v>0</c:v>
                </c:pt>
                <c:pt idx="1">
                  <c:v>1</c:v>
                </c:pt>
                <c:pt idx="2">
                  <c:v>2</c:v>
                </c:pt>
                <c:pt idx="3">
                  <c:v>3</c:v>
                </c:pt>
                <c:pt idx="4">
                  <c:v>4</c:v>
                </c:pt>
                <c:pt idx="5">
                  <c:v>5</c:v>
                </c:pt>
                <c:pt idx="6">
                  <c:v>6</c:v>
                </c:pt>
                <c:pt idx="7">
                  <c:v>7</c:v>
                </c:pt>
                <c:pt idx="8">
                  <c:v>8</c:v>
                </c:pt>
                <c:pt idx="9">
                  <c:v>9</c:v>
                </c:pt>
              </c:strCache>
            </c:strRef>
          </c:cat>
          <c:val>
            <c:numRef>
              <c:f>'PIVOT TABLES 2'!$C$37:$C$47</c:f>
              <c:numCache>
                <c:formatCode>General</c:formatCode>
                <c:ptCount val="10"/>
                <c:pt idx="0">
                  <c:v>82</c:v>
                </c:pt>
                <c:pt idx="1">
                  <c:v>92</c:v>
                </c:pt>
                <c:pt idx="2">
                  <c:v>95</c:v>
                </c:pt>
                <c:pt idx="3">
                  <c:v>82</c:v>
                </c:pt>
                <c:pt idx="4">
                  <c:v>89</c:v>
                </c:pt>
                <c:pt idx="5">
                  <c:v>89</c:v>
                </c:pt>
                <c:pt idx="6">
                  <c:v>93</c:v>
                </c:pt>
                <c:pt idx="7">
                  <c:v>104</c:v>
                </c:pt>
                <c:pt idx="8">
                  <c:v>88</c:v>
                </c:pt>
                <c:pt idx="9">
                  <c:v>62</c:v>
                </c:pt>
              </c:numCache>
            </c:numRef>
          </c:val>
          <c:extLst>
            <c:ext xmlns:c16="http://schemas.microsoft.com/office/drawing/2014/chart" uri="{C3380CC4-5D6E-409C-BE32-E72D297353CC}">
              <c16:uniqueId val="{00000000-2538-4580-801A-FE88D9A4D5D2}"/>
            </c:ext>
          </c:extLst>
        </c:ser>
        <c:dLbls>
          <c:dLblPos val="inEnd"/>
          <c:showLegendKey val="0"/>
          <c:showVal val="1"/>
          <c:showCatName val="0"/>
          <c:showSerName val="0"/>
          <c:showPercent val="0"/>
          <c:showBubbleSize val="0"/>
        </c:dLbls>
        <c:gapWidth val="65"/>
        <c:axId val="918038815"/>
        <c:axId val="918056095"/>
      </c:barChart>
      <c:catAx>
        <c:axId val="9180388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8056095"/>
        <c:crosses val="autoZero"/>
        <c:auto val="1"/>
        <c:lblAlgn val="ctr"/>
        <c:lblOffset val="100"/>
        <c:noMultiLvlLbl val="0"/>
      </c:catAx>
      <c:valAx>
        <c:axId val="9180560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18038815"/>
        <c:crosses val="autoZero"/>
        <c:crossBetween val="between"/>
      </c:valAx>
      <c:spPr>
        <a:noFill/>
        <a:ln>
          <a:noFill/>
        </a:ln>
        <a:effectLst/>
      </c:spPr>
    </c:plotArea>
    <c:legend>
      <c:legendPos val="r"/>
      <c:layout>
        <c:manualLayout>
          <c:xMode val="edge"/>
          <c:yMode val="edge"/>
          <c:x val="0.89802224969097655"/>
          <c:y val="0.8074538465162816"/>
          <c:w val="0.10197773548886874"/>
          <c:h val="0.1925463876618065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2!PivotTable9</c:name>
    <c:fmtId val="4"/>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US" u="sng"/>
              <a:t>Performance</a:t>
            </a:r>
            <a:r>
              <a:rPr lang="en-US" u="sng" baseline="0"/>
              <a:t> rating Distribution</a:t>
            </a:r>
            <a:endParaRPr lang="en-US" u="sng"/>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2'!$B$5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2'!$A$6:$A$11</c:f>
              <c:strCache>
                <c:ptCount val="5"/>
                <c:pt idx="0">
                  <c:v>1</c:v>
                </c:pt>
                <c:pt idx="1">
                  <c:v>2</c:v>
                </c:pt>
                <c:pt idx="2">
                  <c:v>3</c:v>
                </c:pt>
                <c:pt idx="3">
                  <c:v>4</c:v>
                </c:pt>
                <c:pt idx="4">
                  <c:v>5</c:v>
                </c:pt>
              </c:strCache>
            </c:strRef>
          </c:cat>
          <c:val>
            <c:numRef>
              <c:f>'PIVOT TABLES 2'!$B$6:$B$11</c:f>
              <c:numCache>
                <c:formatCode>General</c:formatCode>
                <c:ptCount val="5"/>
                <c:pt idx="0">
                  <c:v>355</c:v>
                </c:pt>
                <c:pt idx="1">
                  <c:v>330</c:v>
                </c:pt>
                <c:pt idx="2">
                  <c:v>332</c:v>
                </c:pt>
                <c:pt idx="3">
                  <c:v>347</c:v>
                </c:pt>
                <c:pt idx="4">
                  <c:v>336</c:v>
                </c:pt>
              </c:numCache>
            </c:numRef>
          </c:val>
          <c:extLst>
            <c:ext xmlns:c16="http://schemas.microsoft.com/office/drawing/2014/chart" uri="{C3380CC4-5D6E-409C-BE32-E72D297353CC}">
              <c16:uniqueId val="{00000000-2A78-434D-8753-93920ED08ECE}"/>
            </c:ext>
          </c:extLst>
        </c:ser>
        <c:dLbls>
          <c:dLblPos val="inEnd"/>
          <c:showLegendKey val="0"/>
          <c:showVal val="1"/>
          <c:showCatName val="0"/>
          <c:showSerName val="0"/>
          <c:showPercent val="0"/>
          <c:showBubbleSize val="0"/>
        </c:dLbls>
        <c:gapWidth val="65"/>
        <c:axId val="815155903"/>
        <c:axId val="815148703"/>
      </c:barChart>
      <c:catAx>
        <c:axId val="8151559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5148703"/>
        <c:crosses val="autoZero"/>
        <c:auto val="1"/>
        <c:lblAlgn val="ctr"/>
        <c:lblOffset val="100"/>
        <c:noMultiLvlLbl val="0"/>
      </c:catAx>
      <c:valAx>
        <c:axId val="8151487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15155903"/>
        <c:crosses val="autoZero"/>
        <c:crossBetween val="between"/>
      </c:valAx>
      <c:spPr>
        <a:noFill/>
        <a:ln>
          <a:noFill/>
        </a:ln>
        <a:effectLst/>
      </c:spPr>
    </c:plotArea>
    <c:legend>
      <c:legendPos val="r"/>
      <c:layout>
        <c:manualLayout>
          <c:xMode val="edge"/>
          <c:yMode val="edge"/>
          <c:x val="0.83989322085877349"/>
          <c:y val="0.86238151361653048"/>
          <c:w val="0.11480629602635027"/>
          <c:h val="7.781509099442041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2!PivotTable11</c:name>
    <c:fmtId val="5"/>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US" u="sng"/>
              <a:t>Average</a:t>
            </a:r>
            <a:r>
              <a:rPr lang="en-US" u="sng" baseline="0"/>
              <a:t> Salary by Department</a:t>
            </a:r>
            <a:endParaRPr lang="en-US" u="sng"/>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2'!$B$55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2'!$A$56:$A$64</c:f>
              <c:strCache>
                <c:ptCount val="8"/>
                <c:pt idx="0">
                  <c:v>Finance</c:v>
                </c:pt>
                <c:pt idx="1">
                  <c:v>HR</c:v>
                </c:pt>
                <c:pt idx="2">
                  <c:v>IT</c:v>
                </c:pt>
                <c:pt idx="3">
                  <c:v>Marketing</c:v>
                </c:pt>
                <c:pt idx="4">
                  <c:v>Operations</c:v>
                </c:pt>
                <c:pt idx="5">
                  <c:v>R&amp;D</c:v>
                </c:pt>
                <c:pt idx="6">
                  <c:v>Sales</c:v>
                </c:pt>
                <c:pt idx="7">
                  <c:v>Support</c:v>
                </c:pt>
              </c:strCache>
            </c:strRef>
          </c:cat>
          <c:val>
            <c:numRef>
              <c:f>'PIVOT TABLES 2'!$B$56:$B$64</c:f>
              <c:numCache>
                <c:formatCode>"₹"\ #,##0.00</c:formatCode>
                <c:ptCount val="8"/>
                <c:pt idx="0">
                  <c:v>68417.868995633195</c:v>
                </c:pt>
                <c:pt idx="1">
                  <c:v>70134.702564102568</c:v>
                </c:pt>
                <c:pt idx="2">
                  <c:v>73506.875</c:v>
                </c:pt>
                <c:pt idx="3">
                  <c:v>68027.056410256409</c:v>
                </c:pt>
                <c:pt idx="4">
                  <c:v>70771.341708542706</c:v>
                </c:pt>
                <c:pt idx="5">
                  <c:v>69775.188034188031</c:v>
                </c:pt>
                <c:pt idx="6">
                  <c:v>71795.5</c:v>
                </c:pt>
                <c:pt idx="7">
                  <c:v>72114.287037037036</c:v>
                </c:pt>
              </c:numCache>
            </c:numRef>
          </c:val>
          <c:extLst>
            <c:ext xmlns:c16="http://schemas.microsoft.com/office/drawing/2014/chart" uri="{C3380CC4-5D6E-409C-BE32-E72D297353CC}">
              <c16:uniqueId val="{00000000-E500-4C76-AA26-B0A3E7776841}"/>
            </c:ext>
          </c:extLst>
        </c:ser>
        <c:dLbls>
          <c:dLblPos val="inEnd"/>
          <c:showLegendKey val="0"/>
          <c:showVal val="1"/>
          <c:showCatName val="0"/>
          <c:showSerName val="0"/>
          <c:showPercent val="0"/>
          <c:showBubbleSize val="0"/>
        </c:dLbls>
        <c:gapWidth val="65"/>
        <c:axId val="1546004015"/>
        <c:axId val="1545990095"/>
      </c:barChart>
      <c:catAx>
        <c:axId val="15460040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5990095"/>
        <c:crosses val="autoZero"/>
        <c:auto val="1"/>
        <c:lblAlgn val="ctr"/>
        <c:lblOffset val="100"/>
        <c:noMultiLvlLbl val="0"/>
      </c:catAx>
      <c:valAx>
        <c:axId val="154599009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5460040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[HR_Analytics_1700_rows.xlsx]PIVOT TABLES 2!PivotTable13</c:name>
    <c:fmtId val="10"/>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IN" u="sng"/>
              <a:t>Attrition</a:t>
            </a:r>
            <a:r>
              <a:rPr lang="en-IN" u="sng" baseline="0"/>
              <a:t> by Age Group</a:t>
            </a:r>
            <a:endParaRPr lang="en-IN" u="sng"/>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2'!$X$44:$X$45</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2'!$W$46:$W$50</c:f>
              <c:strCache>
                <c:ptCount val="4"/>
                <c:pt idx="0">
                  <c:v>18-25</c:v>
                </c:pt>
                <c:pt idx="1">
                  <c:v>26-35</c:v>
                </c:pt>
                <c:pt idx="2">
                  <c:v>36-45</c:v>
                </c:pt>
                <c:pt idx="3">
                  <c:v>46+</c:v>
                </c:pt>
              </c:strCache>
            </c:strRef>
          </c:cat>
          <c:val>
            <c:numRef>
              <c:f>'PIVOT TABLES 2'!$X$46:$X$50</c:f>
              <c:numCache>
                <c:formatCode>General</c:formatCode>
                <c:ptCount val="4"/>
                <c:pt idx="0">
                  <c:v>130</c:v>
                </c:pt>
                <c:pt idx="1">
                  <c:v>200</c:v>
                </c:pt>
                <c:pt idx="2">
                  <c:v>213</c:v>
                </c:pt>
                <c:pt idx="3">
                  <c:v>281</c:v>
                </c:pt>
              </c:numCache>
            </c:numRef>
          </c:val>
          <c:extLst>
            <c:ext xmlns:c16="http://schemas.microsoft.com/office/drawing/2014/chart" uri="{C3380CC4-5D6E-409C-BE32-E72D297353CC}">
              <c16:uniqueId val="{00000000-9E25-4F94-B6E0-7AFE87A41CD1}"/>
            </c:ext>
          </c:extLst>
        </c:ser>
        <c:ser>
          <c:idx val="1"/>
          <c:order val="1"/>
          <c:tx>
            <c:strRef>
              <c:f>'PIVOT TABLES 2'!$Y$44:$Y$45</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2'!$W$46:$W$50</c:f>
              <c:strCache>
                <c:ptCount val="4"/>
                <c:pt idx="0">
                  <c:v>18-25</c:v>
                </c:pt>
                <c:pt idx="1">
                  <c:v>26-35</c:v>
                </c:pt>
                <c:pt idx="2">
                  <c:v>36-45</c:v>
                </c:pt>
                <c:pt idx="3">
                  <c:v>46+</c:v>
                </c:pt>
              </c:strCache>
            </c:strRef>
          </c:cat>
          <c:val>
            <c:numRef>
              <c:f>'PIVOT TABLES 2'!$Y$46:$Y$50</c:f>
              <c:numCache>
                <c:formatCode>General</c:formatCode>
                <c:ptCount val="4"/>
                <c:pt idx="0">
                  <c:v>143</c:v>
                </c:pt>
                <c:pt idx="1">
                  <c:v>227</c:v>
                </c:pt>
                <c:pt idx="2">
                  <c:v>238</c:v>
                </c:pt>
                <c:pt idx="3">
                  <c:v>268</c:v>
                </c:pt>
              </c:numCache>
            </c:numRef>
          </c:val>
          <c:extLst>
            <c:ext xmlns:c16="http://schemas.microsoft.com/office/drawing/2014/chart" uri="{C3380CC4-5D6E-409C-BE32-E72D297353CC}">
              <c16:uniqueId val="{00000001-9E25-4F94-B6E0-7AFE87A41CD1}"/>
            </c:ext>
          </c:extLst>
        </c:ser>
        <c:dLbls>
          <c:dLblPos val="inEnd"/>
          <c:showLegendKey val="0"/>
          <c:showVal val="1"/>
          <c:showCatName val="0"/>
          <c:showSerName val="0"/>
          <c:showPercent val="0"/>
          <c:showBubbleSize val="0"/>
        </c:dLbls>
        <c:gapWidth val="65"/>
        <c:axId val="1837196527"/>
        <c:axId val="1837197487"/>
      </c:barChart>
      <c:catAx>
        <c:axId val="1837196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7197487"/>
        <c:crosses val="autoZero"/>
        <c:auto val="1"/>
        <c:lblAlgn val="ctr"/>
        <c:lblOffset val="100"/>
        <c:noMultiLvlLbl val="0"/>
      </c:catAx>
      <c:valAx>
        <c:axId val="18371974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37196527"/>
        <c:crosses val="autoZero"/>
        <c:crossBetween val="between"/>
      </c:valAx>
      <c:spPr>
        <a:noFill/>
        <a:ln>
          <a:noFill/>
        </a:ln>
        <a:effectLst/>
      </c:spPr>
    </c:plotArea>
    <c:legend>
      <c:legendPos val="r"/>
      <c:layout>
        <c:manualLayout>
          <c:xMode val="edge"/>
          <c:yMode val="edge"/>
          <c:x val="0.89083026905693108"/>
          <c:y val="0.71440515691558271"/>
          <c:w val="9.8722866737990508E-2"/>
          <c:h val="0.2015950640274495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Distribution</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Salary Distribution</a:t>
          </a:r>
        </a:p>
      </cx:txPr>
    </cx:title>
    <cx:plotArea>
      <cx:plotAreaRegion>
        <cx:series layoutId="clusteredColumn" uniqueId="{597BB684-14B1-4FD7-BBB0-28B1FEFA8495}">
          <cx:tx>
            <cx:txData>
              <cx:f>_xlchart.v1.0</cx:f>
              <cx:v>Salary</cx:v>
            </cx:txData>
          </cx:tx>
          <cx:dataLabels>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Salary Distribution</cx:v>
        </cx:txData>
      </cx:tx>
      <cx:txPr>
        <a:bodyPr spcFirstLastPara="1" vertOverflow="ellipsis" horzOverflow="overflow" wrap="square" lIns="0" tIns="0" rIns="0" bIns="0" anchor="ctr" anchorCtr="1"/>
        <a:lstStyle/>
        <a:p>
          <a:pPr algn="ctr" rtl="0">
            <a:defRPr u="sng"/>
          </a:pPr>
          <a:r>
            <a:rPr lang="en-US" sz="1800" b="1" i="0" u="sng" strike="noStrike" baseline="0">
              <a:solidFill>
                <a:sysClr val="windowText" lastClr="000000">
                  <a:lumMod val="75000"/>
                  <a:lumOff val="25000"/>
                </a:sysClr>
              </a:solidFill>
              <a:latin typeface="Calibri"/>
            </a:rPr>
            <a:t>Salary Distribution</a:t>
          </a:r>
        </a:p>
      </cx:txPr>
    </cx:title>
    <cx:plotArea>
      <cx:plotAreaRegion>
        <cx:series layoutId="clusteredColumn" uniqueId="{597BB684-14B1-4FD7-BBB0-28B1FEFA8495}">
          <cx:tx>
            <cx:txData>
              <cx:f>_xlchart.v1.2</cx:f>
              <cx:v>Salary</cx:v>
            </cx:txData>
          </cx:tx>
          <cx:dataLabels>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image" Target="../media/image5.png"/><Relationship Id="rId3" Type="http://schemas.openxmlformats.org/officeDocument/2006/relationships/chart" Target="../charts/chart10.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image" Target="../media/image4.png"/><Relationship Id="rId2" Type="http://schemas.openxmlformats.org/officeDocument/2006/relationships/chart" Target="../charts/chart9.xml"/><Relationship Id="rId16" Type="http://schemas.openxmlformats.org/officeDocument/2006/relationships/image" Target="../media/image3.png"/><Relationship Id="rId1" Type="http://schemas.openxmlformats.org/officeDocument/2006/relationships/chart" Target="../charts/chart8.xml"/><Relationship Id="rId6" Type="http://schemas.microsoft.com/office/2014/relationships/chartEx" Target="../charts/chartEx2.xml"/><Relationship Id="rId11" Type="http://schemas.openxmlformats.org/officeDocument/2006/relationships/chart" Target="../charts/chart17.xml"/><Relationship Id="rId5" Type="http://schemas.openxmlformats.org/officeDocument/2006/relationships/chart" Target="../charts/chart12.xml"/><Relationship Id="rId15" Type="http://schemas.openxmlformats.org/officeDocument/2006/relationships/image" Target="../media/image2.png"/><Relationship Id="rId10" Type="http://schemas.openxmlformats.org/officeDocument/2006/relationships/chart" Target="../charts/chart16.xml"/><Relationship Id="rId19" Type="http://schemas.openxmlformats.org/officeDocument/2006/relationships/image" Target="../media/image6.png"/><Relationship Id="rId4" Type="http://schemas.openxmlformats.org/officeDocument/2006/relationships/chart" Target="../charts/chart11.xml"/><Relationship Id="rId9" Type="http://schemas.openxmlformats.org/officeDocument/2006/relationships/chart" Target="../charts/chart15.xml"/><Relationship Id="rId1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466205</xdr:colOff>
      <xdr:row>0</xdr:row>
      <xdr:rowOff>179070</xdr:rowOff>
    </xdr:from>
    <xdr:to>
      <xdr:col>25</xdr:col>
      <xdr:colOff>509847</xdr:colOff>
      <xdr:row>16</xdr:row>
      <xdr:rowOff>129540</xdr:rowOff>
    </xdr:to>
    <xdr:graphicFrame macro="">
      <xdr:nvGraphicFramePr>
        <xdr:cNvPr id="3" name="Chart 2">
          <a:extLst>
            <a:ext uri="{FF2B5EF4-FFF2-40B4-BE49-F238E27FC236}">
              <a16:creationId xmlns:a16="http://schemas.microsoft.com/office/drawing/2014/main" id="{A0415C09-91F6-DDD9-5B37-29C9465C3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25930</xdr:colOff>
      <xdr:row>22</xdr:row>
      <xdr:rowOff>42768</xdr:rowOff>
    </xdr:from>
    <xdr:to>
      <xdr:col>18</xdr:col>
      <xdr:colOff>295730</xdr:colOff>
      <xdr:row>41</xdr:row>
      <xdr:rowOff>167047</xdr:rowOff>
    </xdr:to>
    <xdr:graphicFrame macro="">
      <xdr:nvGraphicFramePr>
        <xdr:cNvPr id="4" name="Chart 3">
          <a:extLst>
            <a:ext uri="{FF2B5EF4-FFF2-40B4-BE49-F238E27FC236}">
              <a16:creationId xmlns:a16="http://schemas.microsoft.com/office/drawing/2014/main" id="{E346F8BE-EBD8-B29E-6963-A249D3891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520898</xdr:colOff>
      <xdr:row>21</xdr:row>
      <xdr:rowOff>28749</xdr:rowOff>
    </xdr:from>
    <xdr:to>
      <xdr:col>33</xdr:col>
      <xdr:colOff>581857</xdr:colOff>
      <xdr:row>40</xdr:row>
      <xdr:rowOff>47798</xdr:rowOff>
    </xdr:to>
    <xdr:graphicFrame macro="">
      <xdr:nvGraphicFramePr>
        <xdr:cNvPr id="5" name="Chart 4">
          <a:extLst>
            <a:ext uri="{FF2B5EF4-FFF2-40B4-BE49-F238E27FC236}">
              <a16:creationId xmlns:a16="http://schemas.microsoft.com/office/drawing/2014/main" id="{41996671-E249-2EC7-C910-1BE347CA0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59785</xdr:colOff>
      <xdr:row>59</xdr:row>
      <xdr:rowOff>30537</xdr:rowOff>
    </xdr:from>
    <xdr:to>
      <xdr:col>25</xdr:col>
      <xdr:colOff>85829</xdr:colOff>
      <xdr:row>78</xdr:row>
      <xdr:rowOff>11487</xdr:rowOff>
    </xdr:to>
    <xdr:graphicFrame macro="">
      <xdr:nvGraphicFramePr>
        <xdr:cNvPr id="6" name="Chart 5">
          <a:extLst>
            <a:ext uri="{FF2B5EF4-FFF2-40B4-BE49-F238E27FC236}">
              <a16:creationId xmlns:a16="http://schemas.microsoft.com/office/drawing/2014/main" id="{E8546F89-441B-1256-5796-7792EE1C8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76200</xdr:colOff>
      <xdr:row>6</xdr:row>
      <xdr:rowOff>141990</xdr:rowOff>
    </xdr:from>
    <xdr:to>
      <xdr:col>7</xdr:col>
      <xdr:colOff>69761</xdr:colOff>
      <xdr:row>20</xdr:row>
      <xdr:rowOff>54655</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29F832F7-7AD7-09AD-230F-61B7BC8DE20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443484" y="1233811"/>
              <a:ext cx="1836009" cy="2460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448936</xdr:colOff>
      <xdr:row>6</xdr:row>
      <xdr:rowOff>151219</xdr:rowOff>
    </xdr:from>
    <xdr:to>
      <xdr:col>10</xdr:col>
      <xdr:colOff>442496</xdr:colOff>
      <xdr:row>20</xdr:row>
      <xdr:rowOff>63884</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2F6F8EAE-D75F-1FD2-C5B3-0240C7AB4C3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798176" y="1248499"/>
              <a:ext cx="1822360" cy="2472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446039</xdr:colOff>
      <xdr:row>6</xdr:row>
      <xdr:rowOff>61068</xdr:rowOff>
    </xdr:from>
    <xdr:to>
      <xdr:col>14</xdr:col>
      <xdr:colOff>439599</xdr:colOff>
      <xdr:row>19</xdr:row>
      <xdr:rowOff>156184</xdr:rowOff>
    </xdr:to>
    <mc:AlternateContent xmlns:mc="http://schemas.openxmlformats.org/markup-compatibility/2006" xmlns:a14="http://schemas.microsoft.com/office/drawing/2010/main">
      <mc:Choice Requires="a14">
        <xdr:graphicFrame macro="">
          <xdr:nvGraphicFramePr>
            <xdr:cNvPr id="20" name="Education">
              <a:extLst>
                <a:ext uri="{FF2B5EF4-FFF2-40B4-BE49-F238E27FC236}">
                  <a16:creationId xmlns:a16="http://schemas.microsoft.com/office/drawing/2014/main" id="{3B67AD18-ACBC-2A65-6B57-ACA501DB1CF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112367" y="1152889"/>
              <a:ext cx="1836008" cy="2460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722183</xdr:colOff>
      <xdr:row>14</xdr:row>
      <xdr:rowOff>4508</xdr:rowOff>
    </xdr:from>
    <xdr:to>
      <xdr:col>4</xdr:col>
      <xdr:colOff>387613</xdr:colOff>
      <xdr:row>27</xdr:row>
      <xdr:rowOff>99624</xdr:rowOff>
    </xdr:to>
    <mc:AlternateContent xmlns:mc="http://schemas.openxmlformats.org/markup-compatibility/2006" xmlns:a14="http://schemas.microsoft.com/office/drawing/2010/main">
      <mc:Choice Requires="a14">
        <xdr:graphicFrame macro="">
          <xdr:nvGraphicFramePr>
            <xdr:cNvPr id="21" name="City">
              <a:extLst>
                <a:ext uri="{FF2B5EF4-FFF2-40B4-BE49-F238E27FC236}">
                  <a16:creationId xmlns:a16="http://schemas.microsoft.com/office/drawing/2014/main" id="{5A7FEC35-CA27-76E0-F01A-E192D661C7D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200690" y="2552090"/>
              <a:ext cx="1835424" cy="2460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278642</xdr:colOff>
      <xdr:row>44</xdr:row>
      <xdr:rowOff>135340</xdr:rowOff>
    </xdr:from>
    <xdr:to>
      <xdr:col>12</xdr:col>
      <xdr:colOff>551598</xdr:colOff>
      <xdr:row>59</xdr:row>
      <xdr:rowOff>148988</xdr:rowOff>
    </xdr:to>
    <xdr:graphicFrame macro="">
      <xdr:nvGraphicFramePr>
        <xdr:cNvPr id="2" name="Chart 1">
          <a:extLst>
            <a:ext uri="{FF2B5EF4-FFF2-40B4-BE49-F238E27FC236}">
              <a16:creationId xmlns:a16="http://schemas.microsoft.com/office/drawing/2014/main" id="{BE33D7D3-BCBE-27F1-C011-CAA024FAF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15239</xdr:colOff>
      <xdr:row>1</xdr:row>
      <xdr:rowOff>26671</xdr:rowOff>
    </xdr:from>
    <xdr:to>
      <xdr:col>12</xdr:col>
      <xdr:colOff>404446</xdr:colOff>
      <xdr:row>12</xdr:row>
      <xdr:rowOff>23447</xdr:rowOff>
    </xdr:to>
    <xdr:graphicFrame macro="">
      <xdr:nvGraphicFramePr>
        <xdr:cNvPr id="2" name="Chart 1">
          <a:extLst>
            <a:ext uri="{FF2B5EF4-FFF2-40B4-BE49-F238E27FC236}">
              <a16:creationId xmlns:a16="http://schemas.microsoft.com/office/drawing/2014/main" id="{81BBB265-0BBD-CAC3-E445-8BD0C1C23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8792</xdr:colOff>
      <xdr:row>14</xdr:row>
      <xdr:rowOff>146539</xdr:rowOff>
    </xdr:from>
    <xdr:to>
      <xdr:col>13</xdr:col>
      <xdr:colOff>52754</xdr:colOff>
      <xdr:row>28</xdr:row>
      <xdr:rowOff>35170</xdr:rowOff>
    </xdr:to>
    <xdr:graphicFrame macro="">
      <xdr:nvGraphicFramePr>
        <xdr:cNvPr id="3" name="Chart 2">
          <a:extLst>
            <a:ext uri="{FF2B5EF4-FFF2-40B4-BE49-F238E27FC236}">
              <a16:creationId xmlns:a16="http://schemas.microsoft.com/office/drawing/2014/main" id="{6D831A40-8F24-E717-0817-147B711F4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56658</xdr:colOff>
      <xdr:row>3</xdr:row>
      <xdr:rowOff>0</xdr:rowOff>
    </xdr:from>
    <xdr:to>
      <xdr:col>24</xdr:col>
      <xdr:colOff>592013</xdr:colOff>
      <xdr:row>20</xdr:row>
      <xdr:rowOff>117231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81DCFD7-F849-490E-B3AE-8F08BC12F4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389378" y="548640"/>
              <a:ext cx="6021755" cy="32261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100219</xdr:colOff>
      <xdr:row>18</xdr:row>
      <xdr:rowOff>20919</xdr:rowOff>
    </xdr:from>
    <xdr:to>
      <xdr:col>17</xdr:col>
      <xdr:colOff>9990</xdr:colOff>
      <xdr:row>34</xdr:row>
      <xdr:rowOff>112212</xdr:rowOff>
    </xdr:to>
    <xdr:graphicFrame macro="">
      <xdr:nvGraphicFramePr>
        <xdr:cNvPr id="2" name="Chart 1">
          <a:extLst>
            <a:ext uri="{FF2B5EF4-FFF2-40B4-BE49-F238E27FC236}">
              <a16:creationId xmlns:a16="http://schemas.microsoft.com/office/drawing/2014/main" id="{166D5F45-EFD2-4EC7-89A0-94EF9ADEA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13681</xdr:colOff>
      <xdr:row>18</xdr:row>
      <xdr:rowOff>18507</xdr:rowOff>
    </xdr:from>
    <xdr:to>
      <xdr:col>26</xdr:col>
      <xdr:colOff>543397</xdr:colOff>
      <xdr:row>34</xdr:row>
      <xdr:rowOff>109197</xdr:rowOff>
    </xdr:to>
    <xdr:graphicFrame macro="">
      <xdr:nvGraphicFramePr>
        <xdr:cNvPr id="3" name="Chart 2">
          <a:extLst>
            <a:ext uri="{FF2B5EF4-FFF2-40B4-BE49-F238E27FC236}">
              <a16:creationId xmlns:a16="http://schemas.microsoft.com/office/drawing/2014/main" id="{E561FB77-808B-4EAA-B1C0-E278056BA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98371</xdr:colOff>
      <xdr:row>34</xdr:row>
      <xdr:rowOff>108703</xdr:rowOff>
    </xdr:from>
    <xdr:to>
      <xdr:col>17</xdr:col>
      <xdr:colOff>7623</xdr:colOff>
      <xdr:row>51</xdr:row>
      <xdr:rowOff>4865</xdr:rowOff>
    </xdr:to>
    <xdr:graphicFrame macro="">
      <xdr:nvGraphicFramePr>
        <xdr:cNvPr id="6" name="Chart 5">
          <a:extLst>
            <a:ext uri="{FF2B5EF4-FFF2-40B4-BE49-F238E27FC236}">
              <a16:creationId xmlns:a16="http://schemas.microsoft.com/office/drawing/2014/main" id="{46475ABE-D1BE-421E-BB19-2DDBAA5BD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13681</xdr:colOff>
      <xdr:row>34</xdr:row>
      <xdr:rowOff>108703</xdr:rowOff>
    </xdr:from>
    <xdr:to>
      <xdr:col>26</xdr:col>
      <xdr:colOff>533160</xdr:colOff>
      <xdr:row>51</xdr:row>
      <xdr:rowOff>9354</xdr:rowOff>
    </xdr:to>
    <xdr:graphicFrame macro="">
      <xdr:nvGraphicFramePr>
        <xdr:cNvPr id="7" name="Chart 6">
          <a:extLst>
            <a:ext uri="{FF2B5EF4-FFF2-40B4-BE49-F238E27FC236}">
              <a16:creationId xmlns:a16="http://schemas.microsoft.com/office/drawing/2014/main" id="{1230966C-957C-44F7-ACA1-C9A559DF0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533161</xdr:colOff>
      <xdr:row>34</xdr:row>
      <xdr:rowOff>107896</xdr:rowOff>
    </xdr:from>
    <xdr:to>
      <xdr:col>36</xdr:col>
      <xdr:colOff>504708</xdr:colOff>
      <xdr:row>51</xdr:row>
      <xdr:rowOff>5360</xdr:rowOff>
    </xdr:to>
    <xdr:graphicFrame macro="">
      <xdr:nvGraphicFramePr>
        <xdr:cNvPr id="8" name="Chart 7">
          <a:extLst>
            <a:ext uri="{FF2B5EF4-FFF2-40B4-BE49-F238E27FC236}">
              <a16:creationId xmlns:a16="http://schemas.microsoft.com/office/drawing/2014/main" id="{7ADC3F43-C5D6-4D9E-8E5C-43851E8C2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294590</xdr:colOff>
      <xdr:row>10</xdr:row>
      <xdr:rowOff>70158</xdr:rowOff>
    </xdr:from>
    <xdr:to>
      <xdr:col>6</xdr:col>
      <xdr:colOff>365130</xdr:colOff>
      <xdr:row>68</xdr:row>
      <xdr:rowOff>77302</xdr:rowOff>
    </xdr:to>
    <xdr:grpSp>
      <xdr:nvGrpSpPr>
        <xdr:cNvPr id="13" name="Group 12">
          <a:extLst>
            <a:ext uri="{FF2B5EF4-FFF2-40B4-BE49-F238E27FC236}">
              <a16:creationId xmlns:a16="http://schemas.microsoft.com/office/drawing/2014/main" id="{C89C90ED-5A59-3372-E585-16473BB2C58B}"/>
            </a:ext>
          </a:extLst>
        </xdr:cNvPr>
        <xdr:cNvGrpSpPr/>
      </xdr:nvGrpSpPr>
      <xdr:grpSpPr>
        <a:xfrm>
          <a:off x="1513790" y="1898958"/>
          <a:ext cx="3270940" cy="10319544"/>
          <a:chOff x="1472225" y="1611468"/>
          <a:chExt cx="3284795" cy="10453471"/>
        </a:xfrm>
      </xdr:grpSpPr>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1CC12A00-70CF-49BA-8DF9-5F6D327195FA}"/>
                  </a:ext>
                </a:extLst>
              </xdr:cNvPr>
              <xdr:cNvGraphicFramePr/>
            </xdr:nvGraphicFramePr>
            <xdr:xfrm>
              <a:off x="1500611" y="1611468"/>
              <a:ext cx="3232619" cy="1825815"/>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42056" y="1975158"/>
                <a:ext cx="3218984" cy="1931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Department 1">
                <a:extLst>
                  <a:ext uri="{FF2B5EF4-FFF2-40B4-BE49-F238E27FC236}">
                    <a16:creationId xmlns:a16="http://schemas.microsoft.com/office/drawing/2014/main" id="{CF86E397-14E6-4D4D-AA32-F1345BCB3C26}"/>
                  </a:ext>
                </a:extLst>
              </xdr:cNvPr>
              <xdr:cNvGraphicFramePr/>
            </xdr:nvGraphicFramePr>
            <xdr:xfrm>
              <a:off x="1478644" y="3561246"/>
              <a:ext cx="3278376" cy="2411902"/>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20182" y="4037346"/>
                <a:ext cx="3264548" cy="2550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Education 1">
                <a:extLst>
                  <a:ext uri="{FF2B5EF4-FFF2-40B4-BE49-F238E27FC236}">
                    <a16:creationId xmlns:a16="http://schemas.microsoft.com/office/drawing/2014/main" id="{1FEF8A6E-0139-4D81-8EFC-051E246436DF}"/>
                  </a:ext>
                </a:extLst>
              </xdr:cNvPr>
              <xdr:cNvGraphicFramePr/>
            </xdr:nvGraphicFramePr>
            <xdr:xfrm>
              <a:off x="1474827" y="6099507"/>
              <a:ext cx="3278376" cy="1933458"/>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516381" y="6721945"/>
                <a:ext cx="3264548" cy="2044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City 1">
                <a:extLst>
                  <a:ext uri="{FF2B5EF4-FFF2-40B4-BE49-F238E27FC236}">
                    <a16:creationId xmlns:a16="http://schemas.microsoft.com/office/drawing/2014/main" id="{C53FBA2A-5343-47D3-955E-973BE94DFC4F}"/>
                  </a:ext>
                </a:extLst>
              </xdr:cNvPr>
              <xdr:cNvGraphicFramePr/>
            </xdr:nvGraphicFramePr>
            <xdr:xfrm>
              <a:off x="1472225" y="8150852"/>
              <a:ext cx="3279648" cy="3914087"/>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13790" y="8891557"/>
                <a:ext cx="3265815" cy="4139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88592</xdr:colOff>
      <xdr:row>18</xdr:row>
      <xdr:rowOff>17929</xdr:rowOff>
    </xdr:from>
    <xdr:to>
      <xdr:col>36</xdr:col>
      <xdr:colOff>521513</xdr:colOff>
      <xdr:row>75</xdr:row>
      <xdr:rowOff>21595</xdr:rowOff>
    </xdr:to>
    <xdr:grpSp>
      <xdr:nvGrpSpPr>
        <xdr:cNvPr id="52" name="Group 51">
          <a:extLst>
            <a:ext uri="{FF2B5EF4-FFF2-40B4-BE49-F238E27FC236}">
              <a16:creationId xmlns:a16="http://schemas.microsoft.com/office/drawing/2014/main" id="{E36853CA-14E0-6711-F709-06665F7556A9}"/>
            </a:ext>
          </a:extLst>
        </xdr:cNvPr>
        <xdr:cNvGrpSpPr/>
      </xdr:nvGrpSpPr>
      <xdr:grpSpPr>
        <a:xfrm>
          <a:off x="5117792" y="3269129"/>
          <a:ext cx="18136721" cy="10138266"/>
          <a:chOff x="5131647" y="3287602"/>
          <a:chExt cx="18125175" cy="10269884"/>
        </a:xfrm>
      </xdr:grpSpPr>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4FC1B0D-2F2A-4142-BB30-69BE8C5F29A6}"/>
                  </a:ext>
                </a:extLst>
              </xdr:cNvPr>
              <xdr:cNvGraphicFramePr/>
            </xdr:nvGraphicFramePr>
            <xdr:xfrm>
              <a:off x="14350503" y="9210715"/>
              <a:ext cx="8906319" cy="4346771"/>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350503" y="9210715"/>
                <a:ext cx="8906319" cy="43467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9" name="Chart 8">
            <a:extLst>
              <a:ext uri="{FF2B5EF4-FFF2-40B4-BE49-F238E27FC236}">
                <a16:creationId xmlns:a16="http://schemas.microsoft.com/office/drawing/2014/main" id="{7541ABC3-058A-4FA6-B385-68556CE488D2}"/>
              </a:ext>
            </a:extLst>
          </xdr:cNvPr>
          <xdr:cNvGraphicFramePr>
            <a:graphicFrameLocks/>
          </xdr:cNvGraphicFramePr>
        </xdr:nvGraphicFramePr>
        <xdr:xfrm>
          <a:off x="5133872" y="9218156"/>
          <a:ext cx="9214397" cy="433933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4" name="Chart 13">
            <a:extLst>
              <a:ext uri="{FF2B5EF4-FFF2-40B4-BE49-F238E27FC236}">
                <a16:creationId xmlns:a16="http://schemas.microsoft.com/office/drawing/2014/main" id="{5040D597-74A5-8D87-1B39-1FAAA2196E68}"/>
              </a:ext>
            </a:extLst>
          </xdr:cNvPr>
          <xdr:cNvGraphicFramePr>
            <a:graphicFrameLocks/>
          </xdr:cNvGraphicFramePr>
        </xdr:nvGraphicFramePr>
        <xdr:xfrm>
          <a:off x="5133495" y="3290596"/>
          <a:ext cx="5964207" cy="2975779"/>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9" name="Chart 18">
            <a:extLst>
              <a:ext uri="{FF2B5EF4-FFF2-40B4-BE49-F238E27FC236}">
                <a16:creationId xmlns:a16="http://schemas.microsoft.com/office/drawing/2014/main" id="{4AA3D063-2539-B6EE-9471-A331FD261603}"/>
              </a:ext>
            </a:extLst>
          </xdr:cNvPr>
          <xdr:cNvGraphicFramePr>
            <a:graphicFrameLocks/>
          </xdr:cNvGraphicFramePr>
        </xdr:nvGraphicFramePr>
        <xdr:xfrm>
          <a:off x="11101393" y="3288111"/>
          <a:ext cx="6071534" cy="297515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0" name="Chart 19">
            <a:extLst>
              <a:ext uri="{FF2B5EF4-FFF2-40B4-BE49-F238E27FC236}">
                <a16:creationId xmlns:a16="http://schemas.microsoft.com/office/drawing/2014/main" id="{7EC5B9F6-479E-006C-EC90-7A677085BC21}"/>
              </a:ext>
            </a:extLst>
          </xdr:cNvPr>
          <xdr:cNvGraphicFramePr>
            <a:graphicFrameLocks/>
          </xdr:cNvGraphicFramePr>
        </xdr:nvGraphicFramePr>
        <xdr:xfrm>
          <a:off x="5131647" y="6262760"/>
          <a:ext cx="5963688" cy="2954886"/>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4" name="Chart 23">
            <a:extLst>
              <a:ext uri="{FF2B5EF4-FFF2-40B4-BE49-F238E27FC236}">
                <a16:creationId xmlns:a16="http://schemas.microsoft.com/office/drawing/2014/main" id="{FEA49936-AE2C-58C8-7D63-B13142D58920}"/>
              </a:ext>
            </a:extLst>
          </xdr:cNvPr>
          <xdr:cNvGraphicFramePr>
            <a:graphicFrameLocks/>
          </xdr:cNvGraphicFramePr>
        </xdr:nvGraphicFramePr>
        <xdr:xfrm>
          <a:off x="11101393" y="6262760"/>
          <a:ext cx="6061297" cy="295951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25" name="Chart 24">
            <a:extLst>
              <a:ext uri="{FF2B5EF4-FFF2-40B4-BE49-F238E27FC236}">
                <a16:creationId xmlns:a16="http://schemas.microsoft.com/office/drawing/2014/main" id="{BBAAA757-58E1-C20E-64AE-8BA024B811FB}"/>
              </a:ext>
            </a:extLst>
          </xdr:cNvPr>
          <xdr:cNvGraphicFramePr>
            <a:graphicFrameLocks/>
          </xdr:cNvGraphicFramePr>
        </xdr:nvGraphicFramePr>
        <xdr:xfrm>
          <a:off x="17162691" y="6261929"/>
          <a:ext cx="6067547" cy="2956227"/>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0" name="Chart 29">
            <a:extLst>
              <a:ext uri="{FF2B5EF4-FFF2-40B4-BE49-F238E27FC236}">
                <a16:creationId xmlns:a16="http://schemas.microsoft.com/office/drawing/2014/main" id="{6DA804F8-471E-4B6F-81C2-46B9AB87357E}"/>
              </a:ext>
            </a:extLst>
          </xdr:cNvPr>
          <xdr:cNvGraphicFramePr>
            <a:graphicFrameLocks/>
          </xdr:cNvGraphicFramePr>
        </xdr:nvGraphicFramePr>
        <xdr:xfrm>
          <a:off x="17195121" y="3287602"/>
          <a:ext cx="6057359" cy="2981771"/>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7</xdr:col>
      <xdr:colOff>81843</xdr:colOff>
      <xdr:row>9</xdr:row>
      <xdr:rowOff>171369</xdr:rowOff>
    </xdr:from>
    <xdr:to>
      <xdr:col>31</xdr:col>
      <xdr:colOff>453190</xdr:colOff>
      <xdr:row>17</xdr:row>
      <xdr:rowOff>28073</xdr:rowOff>
    </xdr:to>
    <xdr:grpSp>
      <xdr:nvGrpSpPr>
        <xdr:cNvPr id="50" name="Group 49">
          <a:extLst>
            <a:ext uri="{FF2B5EF4-FFF2-40B4-BE49-F238E27FC236}">
              <a16:creationId xmlns:a16="http://schemas.microsoft.com/office/drawing/2014/main" id="{322E340E-7E05-BDB8-B8DD-E6D79673B844}"/>
            </a:ext>
          </a:extLst>
        </xdr:cNvPr>
        <xdr:cNvGrpSpPr/>
      </xdr:nvGrpSpPr>
      <xdr:grpSpPr>
        <a:xfrm>
          <a:off x="5111043" y="1822369"/>
          <a:ext cx="15027147" cy="1279104"/>
          <a:chOff x="5124898" y="1820060"/>
          <a:chExt cx="15015601" cy="1297577"/>
        </a:xfrm>
      </xdr:grpSpPr>
      <xdr:sp macro="" textlink="$J$14">
        <xdr:nvSpPr>
          <xdr:cNvPr id="23" name="Rectangle: Rounded Corners 22">
            <a:extLst>
              <a:ext uri="{FF2B5EF4-FFF2-40B4-BE49-F238E27FC236}">
                <a16:creationId xmlns:a16="http://schemas.microsoft.com/office/drawing/2014/main" id="{48D75A4C-9903-28E8-9996-57EFC8FB465E}"/>
              </a:ext>
            </a:extLst>
          </xdr:cNvPr>
          <xdr:cNvSpPr/>
        </xdr:nvSpPr>
        <xdr:spPr>
          <a:xfrm>
            <a:off x="5124898" y="1820060"/>
            <a:ext cx="2215347" cy="1291822"/>
          </a:xfrm>
          <a:prstGeom prst="roundRect">
            <a:avLst/>
          </a:prstGeom>
          <a:solidFill>
            <a:schemeClr val="bg1">
              <a:lumMod val="95000"/>
            </a:schemeClr>
          </a:solidFill>
          <a:ln>
            <a:noFill/>
          </a:ln>
          <a:effectLst>
            <a:outerShdw blurRad="63500" dist="50800" dir="5400000" sx="102000" sy="102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0000"/>
              </a:solidFill>
              <a:latin typeface="Calibri"/>
              <a:ea typeface="Calibri"/>
              <a:cs typeface="Calibri"/>
            </a:endParaRPr>
          </a:p>
          <a:p>
            <a:pPr algn="ctr"/>
            <a:endParaRPr lang="en-US" sz="1100" b="0" i="0" u="none" strike="noStrike">
              <a:solidFill>
                <a:srgbClr val="000000"/>
              </a:solidFill>
              <a:latin typeface="Calibri"/>
              <a:ea typeface="Calibri"/>
              <a:cs typeface="Calibri"/>
            </a:endParaRPr>
          </a:p>
          <a:p>
            <a:pPr algn="ctr"/>
            <a:fld id="{1D489F75-180B-448F-B0B8-BF6AEC31AC95}" type="TxLink">
              <a:rPr lang="en-US" sz="3600" b="0" i="0" u="none" strike="noStrike">
                <a:solidFill>
                  <a:srgbClr val="000000"/>
                </a:solidFill>
                <a:latin typeface="Calibri"/>
                <a:ea typeface="Calibri"/>
                <a:cs typeface="Calibri"/>
              </a:rPr>
              <a:pPr algn="ctr"/>
              <a:t>1700</a:t>
            </a:fld>
            <a:endParaRPr lang="en-IN" sz="3600"/>
          </a:p>
        </xdr:txBody>
      </xdr:sp>
      <xdr:sp macro="" textlink="$L$14">
        <xdr:nvSpPr>
          <xdr:cNvPr id="26" name="Rectangle: Rounded Corners 25">
            <a:extLst>
              <a:ext uri="{FF2B5EF4-FFF2-40B4-BE49-F238E27FC236}">
                <a16:creationId xmlns:a16="http://schemas.microsoft.com/office/drawing/2014/main" id="{9780AE28-5448-A640-9931-F6CF2DF86BF4}"/>
              </a:ext>
            </a:extLst>
          </xdr:cNvPr>
          <xdr:cNvSpPr/>
        </xdr:nvSpPr>
        <xdr:spPr>
          <a:xfrm>
            <a:off x="7555426" y="1825158"/>
            <a:ext cx="2222602" cy="1292479"/>
          </a:xfrm>
          <a:prstGeom prst="roundRect">
            <a:avLst/>
          </a:prstGeom>
          <a:solidFill>
            <a:schemeClr val="bg1">
              <a:lumMod val="95000"/>
            </a:schemeClr>
          </a:solidFill>
          <a:ln>
            <a:noFill/>
          </a:ln>
          <a:effectLst>
            <a:outerShdw blurRad="76200" dist="50800" dir="5400000" sx="102000" sy="102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419977-F877-40A7-BAAA-E2BA167A0A53}" type="TxLink">
              <a:rPr lang="en-US" sz="3600" b="0" i="0" u="none" strike="noStrike">
                <a:solidFill>
                  <a:srgbClr val="000000"/>
                </a:solidFill>
                <a:latin typeface="Calibri"/>
                <a:ea typeface="Calibri"/>
                <a:cs typeface="Calibri"/>
              </a:rPr>
              <a:pPr algn="ctr"/>
              <a:t>876</a:t>
            </a:fld>
            <a:endParaRPr lang="en-IN" sz="3600"/>
          </a:p>
        </xdr:txBody>
      </xdr:sp>
      <xdr:sp macro="" textlink="$P$15">
        <xdr:nvSpPr>
          <xdr:cNvPr id="27" name="Rectangle: Rounded Corners 26">
            <a:extLst>
              <a:ext uri="{FF2B5EF4-FFF2-40B4-BE49-F238E27FC236}">
                <a16:creationId xmlns:a16="http://schemas.microsoft.com/office/drawing/2014/main" id="{EE8C5F35-7FFD-43A3-AF6A-E148F01D2236}"/>
              </a:ext>
            </a:extLst>
          </xdr:cNvPr>
          <xdr:cNvSpPr/>
        </xdr:nvSpPr>
        <xdr:spPr>
          <a:xfrm>
            <a:off x="9962035" y="1839192"/>
            <a:ext cx="2460150" cy="1271789"/>
          </a:xfrm>
          <a:prstGeom prst="roundRect">
            <a:avLst/>
          </a:prstGeom>
          <a:solidFill>
            <a:schemeClr val="bg1">
              <a:lumMod val="95000"/>
            </a:schemeClr>
          </a:solidFill>
          <a:ln>
            <a:noFill/>
          </a:ln>
          <a:effectLst>
            <a:outerShdw blurRad="76200" dist="63500" dir="5400000" sx="102000" sy="102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1E2EF0-6F6F-4ECE-899D-4ACDB44049D8}" type="TxLink">
              <a:rPr lang="en-US" sz="3600" b="0" i="0" u="none" strike="noStrike">
                <a:solidFill>
                  <a:srgbClr val="000000"/>
                </a:solidFill>
                <a:latin typeface="Calibri"/>
                <a:ea typeface="Calibri"/>
                <a:cs typeface="Calibri"/>
              </a:rPr>
              <a:pPr algn="ctr"/>
              <a:t>51.53%</a:t>
            </a:fld>
            <a:endParaRPr lang="en-IN" sz="3600"/>
          </a:p>
        </xdr:txBody>
      </xdr:sp>
      <xdr:sp macro="" textlink="$S$15">
        <xdr:nvSpPr>
          <xdr:cNvPr id="28" name="Rectangle: Rounded Corners 27">
            <a:extLst>
              <a:ext uri="{FF2B5EF4-FFF2-40B4-BE49-F238E27FC236}">
                <a16:creationId xmlns:a16="http://schemas.microsoft.com/office/drawing/2014/main" id="{FBAAB1B3-9263-478A-B82D-AE887C21009D}"/>
              </a:ext>
            </a:extLst>
          </xdr:cNvPr>
          <xdr:cNvSpPr/>
        </xdr:nvSpPr>
        <xdr:spPr>
          <a:xfrm>
            <a:off x="12579928" y="1853046"/>
            <a:ext cx="2836024" cy="1260764"/>
          </a:xfrm>
          <a:prstGeom prst="roundRect">
            <a:avLst/>
          </a:prstGeom>
          <a:solidFill>
            <a:schemeClr val="bg1">
              <a:lumMod val="95000"/>
            </a:schemeClr>
          </a:solidFill>
          <a:ln>
            <a:noFill/>
          </a:ln>
          <a:effectLst>
            <a:outerShdw blurRad="76200" dist="50800" dir="5400000" sx="102000" sy="102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830851D-FBC1-4383-917F-8DC30BCF09C7}" type="TxLink">
              <a:rPr lang="en-US" sz="3600" b="0" i="0" u="none" strike="noStrike">
                <a:solidFill>
                  <a:srgbClr val="000000"/>
                </a:solidFill>
                <a:latin typeface="Calibri"/>
                <a:ea typeface="Calibri"/>
                <a:cs typeface="Calibri"/>
              </a:rPr>
              <a:pPr marL="0" indent="0" algn="ctr"/>
              <a:t>₹ 70,561.61</a:t>
            </a:fld>
            <a:endParaRPr lang="en-IN" sz="3600" b="0" i="0" u="none" strike="noStrike">
              <a:solidFill>
                <a:srgbClr val="000000"/>
              </a:solidFill>
              <a:latin typeface="Calibri"/>
              <a:ea typeface="Calibri"/>
              <a:cs typeface="Calibri"/>
            </a:endParaRPr>
          </a:p>
        </xdr:txBody>
      </xdr:sp>
      <xdr:sp macro="" textlink="$X$15">
        <xdr:nvSpPr>
          <xdr:cNvPr id="29" name="Rectangle: Rounded Corners 28">
            <a:extLst>
              <a:ext uri="{FF2B5EF4-FFF2-40B4-BE49-F238E27FC236}">
                <a16:creationId xmlns:a16="http://schemas.microsoft.com/office/drawing/2014/main" id="{716231DA-4355-4FFA-B4D0-752F9E474F73}"/>
              </a:ext>
            </a:extLst>
          </xdr:cNvPr>
          <xdr:cNvSpPr/>
        </xdr:nvSpPr>
        <xdr:spPr>
          <a:xfrm>
            <a:off x="15593291" y="1849582"/>
            <a:ext cx="2024587" cy="1252013"/>
          </a:xfrm>
          <a:prstGeom prst="roundRect">
            <a:avLst/>
          </a:prstGeom>
          <a:solidFill>
            <a:schemeClr val="bg1">
              <a:lumMod val="95000"/>
            </a:schemeClr>
          </a:solidFill>
          <a:ln>
            <a:noFill/>
          </a:ln>
          <a:effectLst>
            <a:outerShdw blurRad="76200" dist="50800" dir="5400000" sx="102000" sy="102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09EE78-B69C-4D96-86DE-9C91DBBF89EA}" type="TxLink">
              <a:rPr lang="en-US" sz="3600" b="0" i="0" u="none" strike="noStrike">
                <a:solidFill>
                  <a:srgbClr val="000000"/>
                </a:solidFill>
                <a:latin typeface="Calibri"/>
                <a:ea typeface="Calibri"/>
                <a:cs typeface="Calibri"/>
              </a:rPr>
              <a:pPr algn="ctr"/>
              <a:t>4.36</a:t>
            </a:fld>
            <a:endParaRPr lang="en-IN" sz="3600"/>
          </a:p>
        </xdr:txBody>
      </xdr:sp>
      <xdr:sp macro="" textlink="$AA$14">
        <xdr:nvSpPr>
          <xdr:cNvPr id="33" name="Rectangle: Rounded Corners 32">
            <a:extLst>
              <a:ext uri="{FF2B5EF4-FFF2-40B4-BE49-F238E27FC236}">
                <a16:creationId xmlns:a16="http://schemas.microsoft.com/office/drawing/2014/main" id="{DF77FF76-B4A5-45C2-860B-9B3F20EDBF72}"/>
              </a:ext>
            </a:extLst>
          </xdr:cNvPr>
          <xdr:cNvSpPr/>
        </xdr:nvSpPr>
        <xdr:spPr>
          <a:xfrm>
            <a:off x="17803030" y="1860332"/>
            <a:ext cx="2337469" cy="1250252"/>
          </a:xfrm>
          <a:prstGeom prst="roundRect">
            <a:avLst/>
          </a:prstGeom>
          <a:solidFill>
            <a:schemeClr val="bg1">
              <a:lumMod val="95000"/>
            </a:schemeClr>
          </a:solidFill>
          <a:ln>
            <a:noFill/>
          </a:ln>
          <a:effectLst>
            <a:outerShdw blurRad="76200" dist="50800" dir="5400000" sx="102000" sy="102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775303-3E96-4053-9F2C-A39F9938034C}" type="TxLink">
              <a:rPr lang="en-US" sz="3600" b="0" i="0" u="none" strike="noStrike">
                <a:solidFill>
                  <a:srgbClr val="000000"/>
                </a:solidFill>
                <a:latin typeface="Calibri"/>
                <a:ea typeface="Calibri"/>
                <a:cs typeface="Calibri"/>
              </a:rPr>
              <a:pPr algn="ctr"/>
              <a:t>2.99</a:t>
            </a:fld>
            <a:endParaRPr lang="en-IN" sz="3600"/>
          </a:p>
        </xdr:txBody>
      </xdr:sp>
    </xdr:grpSp>
    <xdr:clientData/>
  </xdr:twoCellAnchor>
  <xdr:twoCellAnchor>
    <xdr:from>
      <xdr:col>7</xdr:col>
      <xdr:colOff>313944</xdr:colOff>
      <xdr:row>9</xdr:row>
      <xdr:rowOff>174626</xdr:rowOff>
    </xdr:from>
    <xdr:to>
      <xdr:col>31</xdr:col>
      <xdr:colOff>468748</xdr:colOff>
      <xdr:row>12</xdr:row>
      <xdr:rowOff>124650</xdr:rowOff>
    </xdr:to>
    <xdr:grpSp>
      <xdr:nvGrpSpPr>
        <xdr:cNvPr id="51" name="Group 50">
          <a:extLst>
            <a:ext uri="{FF2B5EF4-FFF2-40B4-BE49-F238E27FC236}">
              <a16:creationId xmlns:a16="http://schemas.microsoft.com/office/drawing/2014/main" id="{7B6072EB-9057-6D31-CC6F-220D4D90ED00}"/>
            </a:ext>
          </a:extLst>
        </xdr:cNvPr>
        <xdr:cNvGrpSpPr/>
      </xdr:nvGrpSpPr>
      <xdr:grpSpPr>
        <a:xfrm>
          <a:off x="5343144" y="1825626"/>
          <a:ext cx="14810604" cy="483424"/>
          <a:chOff x="5356999" y="1823317"/>
          <a:chExt cx="14799058" cy="490351"/>
        </a:xfrm>
      </xdr:grpSpPr>
      <xdr:pic>
        <xdr:nvPicPr>
          <xdr:cNvPr id="36" name="Picture 35">
            <a:extLst>
              <a:ext uri="{FF2B5EF4-FFF2-40B4-BE49-F238E27FC236}">
                <a16:creationId xmlns:a16="http://schemas.microsoft.com/office/drawing/2014/main" id="{E8C1F2CD-2A7E-B78A-6E84-C8D0A2CDD3E1}"/>
              </a:ext>
            </a:extLst>
          </xdr:cNvPr>
          <xdr:cNvPicPr>
            <a:picLocks noChangeAspect="1"/>
          </xdr:cNvPicPr>
        </xdr:nvPicPr>
        <xdr:blipFill>
          <a:blip xmlns:r="http://schemas.openxmlformats.org/officeDocument/2006/relationships" r:embed="rId14"/>
          <a:stretch>
            <a:fillRect/>
          </a:stretch>
        </xdr:blipFill>
        <xdr:spPr>
          <a:xfrm>
            <a:off x="5356999" y="1823317"/>
            <a:ext cx="1738468" cy="460188"/>
          </a:xfrm>
          <a:prstGeom prst="rect">
            <a:avLst/>
          </a:prstGeom>
        </xdr:spPr>
      </xdr:pic>
      <xdr:pic>
        <xdr:nvPicPr>
          <xdr:cNvPr id="42" name="Picture 41">
            <a:extLst>
              <a:ext uri="{FF2B5EF4-FFF2-40B4-BE49-F238E27FC236}">
                <a16:creationId xmlns:a16="http://schemas.microsoft.com/office/drawing/2014/main" id="{BE4724B2-EA82-33AC-063D-39183F310595}"/>
              </a:ext>
            </a:extLst>
          </xdr:cNvPr>
          <xdr:cNvPicPr>
            <a:picLocks noChangeAspect="1"/>
          </xdr:cNvPicPr>
        </xdr:nvPicPr>
        <xdr:blipFill>
          <a:blip xmlns:r="http://schemas.openxmlformats.org/officeDocument/2006/relationships" r:embed="rId15"/>
          <a:stretch>
            <a:fillRect/>
          </a:stretch>
        </xdr:blipFill>
        <xdr:spPr>
          <a:xfrm>
            <a:off x="7784315" y="1831406"/>
            <a:ext cx="1792225" cy="446004"/>
          </a:xfrm>
          <a:prstGeom prst="rect">
            <a:avLst/>
          </a:prstGeom>
        </xdr:spPr>
      </xdr:pic>
      <xdr:pic>
        <xdr:nvPicPr>
          <xdr:cNvPr id="45" name="Picture 44">
            <a:extLst>
              <a:ext uri="{FF2B5EF4-FFF2-40B4-BE49-F238E27FC236}">
                <a16:creationId xmlns:a16="http://schemas.microsoft.com/office/drawing/2014/main" id="{6DB048A1-7BF0-F669-C62E-3A369BC823D9}"/>
              </a:ext>
            </a:extLst>
          </xdr:cNvPr>
          <xdr:cNvPicPr>
            <a:picLocks noChangeAspect="1"/>
          </xdr:cNvPicPr>
        </xdr:nvPicPr>
        <xdr:blipFill>
          <a:blip xmlns:r="http://schemas.openxmlformats.org/officeDocument/2006/relationships" r:embed="rId16"/>
          <a:stretch>
            <a:fillRect/>
          </a:stretch>
        </xdr:blipFill>
        <xdr:spPr>
          <a:xfrm>
            <a:off x="10140419" y="1828800"/>
            <a:ext cx="2048256" cy="433370"/>
          </a:xfrm>
          <a:prstGeom prst="rect">
            <a:avLst/>
          </a:prstGeom>
        </xdr:spPr>
      </xdr:pic>
      <xdr:pic>
        <xdr:nvPicPr>
          <xdr:cNvPr id="46" name="Picture 45">
            <a:extLst>
              <a:ext uri="{FF2B5EF4-FFF2-40B4-BE49-F238E27FC236}">
                <a16:creationId xmlns:a16="http://schemas.microsoft.com/office/drawing/2014/main" id="{D387D296-DBCE-96B5-1DAF-5835E321A3DB}"/>
              </a:ext>
            </a:extLst>
          </xdr:cNvPr>
          <xdr:cNvPicPr>
            <a:picLocks noChangeAspect="1"/>
          </xdr:cNvPicPr>
        </xdr:nvPicPr>
        <xdr:blipFill>
          <a:blip xmlns:r="http://schemas.openxmlformats.org/officeDocument/2006/relationships" r:embed="rId17"/>
          <a:stretch>
            <a:fillRect/>
          </a:stretch>
        </xdr:blipFill>
        <xdr:spPr>
          <a:xfrm>
            <a:off x="12952542" y="1829865"/>
            <a:ext cx="2173706" cy="483803"/>
          </a:xfrm>
          <a:prstGeom prst="rect">
            <a:avLst/>
          </a:prstGeom>
        </xdr:spPr>
      </xdr:pic>
      <xdr:pic>
        <xdr:nvPicPr>
          <xdr:cNvPr id="47" name="Picture 46">
            <a:extLst>
              <a:ext uri="{FF2B5EF4-FFF2-40B4-BE49-F238E27FC236}">
                <a16:creationId xmlns:a16="http://schemas.microsoft.com/office/drawing/2014/main" id="{09AC84F8-66CA-963D-E2D2-E7AE598E2F82}"/>
              </a:ext>
            </a:extLst>
          </xdr:cNvPr>
          <xdr:cNvPicPr>
            <a:picLocks noChangeAspect="1"/>
          </xdr:cNvPicPr>
        </xdr:nvPicPr>
        <xdr:blipFill>
          <a:blip xmlns:r="http://schemas.openxmlformats.org/officeDocument/2006/relationships" r:embed="rId18"/>
          <a:stretch>
            <a:fillRect/>
          </a:stretch>
        </xdr:blipFill>
        <xdr:spPr>
          <a:xfrm>
            <a:off x="15680794" y="1863810"/>
            <a:ext cx="1832810" cy="445523"/>
          </a:xfrm>
          <a:prstGeom prst="rect">
            <a:avLst/>
          </a:prstGeom>
        </xdr:spPr>
      </xdr:pic>
      <xdr:pic>
        <xdr:nvPicPr>
          <xdr:cNvPr id="48" name="Picture 47">
            <a:extLst>
              <a:ext uri="{FF2B5EF4-FFF2-40B4-BE49-F238E27FC236}">
                <a16:creationId xmlns:a16="http://schemas.microsoft.com/office/drawing/2014/main" id="{1821D236-E5C9-379D-9138-D023FEB0DECB}"/>
              </a:ext>
            </a:extLst>
          </xdr:cNvPr>
          <xdr:cNvPicPr>
            <a:picLocks noChangeAspect="1"/>
          </xdr:cNvPicPr>
        </xdr:nvPicPr>
        <xdr:blipFill>
          <a:blip xmlns:r="http://schemas.openxmlformats.org/officeDocument/2006/relationships" r:embed="rId19"/>
          <a:stretch>
            <a:fillRect/>
          </a:stretch>
        </xdr:blipFill>
        <xdr:spPr>
          <a:xfrm>
            <a:off x="17811481" y="1884363"/>
            <a:ext cx="2344576" cy="416949"/>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Pradhan" refreshedDate="45990.86256076389" createdVersion="8" refreshedVersion="8" minRefreshableVersion="3" recordCount="1700" xr:uid="{293A6A8E-DB15-4F1F-BFBA-63678430AA57}">
  <cacheSource type="worksheet">
    <worksheetSource ref="A1:P1701" sheet="DATA"/>
  </cacheSource>
  <cacheFields count="16">
    <cacheField name="Employee_ID" numFmtId="0">
      <sharedItems/>
    </cacheField>
    <cacheField name="Name" numFmtId="0">
      <sharedItems/>
    </cacheField>
    <cacheField name="Age" numFmtId="0">
      <sharedItems containsSemiMixedTypes="0" containsString="0" containsNumber="1" containsInteger="1" minValue="20" maxValue="58"/>
    </cacheField>
    <cacheField name="Gender" numFmtId="0">
      <sharedItems count="3">
        <s v="Male"/>
        <s v="Female"/>
        <s v="Other"/>
      </sharedItems>
    </cacheField>
    <cacheField name="Department" numFmtId="0">
      <sharedItems count="8">
        <s v="IT"/>
        <s v="R&amp;D"/>
        <s v="Marketing"/>
        <s v="Operations"/>
        <s v="Support"/>
        <s v="Finance"/>
        <s v="Sales"/>
        <s v="HR"/>
      </sharedItems>
    </cacheField>
    <cacheField name="Role" numFmtId="0">
      <sharedItems/>
    </cacheField>
    <cacheField name="Salary" numFmtId="164">
      <sharedItems containsSemiMixedTypes="0" containsString="0" containsNumber="1" containsInteger="1" minValue="18060" maxValue="119983"/>
    </cacheField>
    <cacheField name="Education" numFmtId="0">
      <sharedItems count="5">
        <s v="High School"/>
        <s v="Diploma"/>
        <s v="Masters"/>
        <s v="Bachelors"/>
        <s v="PhD"/>
      </sharedItems>
    </cacheField>
    <cacheField name="Marital_Status" numFmtId="0">
      <sharedItems/>
    </cacheField>
    <cacheField name="Join_Date" numFmtId="14">
      <sharedItems containsSemiMixedTypes="0" containsNonDate="0" containsDate="1" containsString="0" minDate="2016-03-15T00:00:00" maxDate="2025-11-28T00:00:00"/>
    </cacheField>
    <cacheField name="Tennure_Years" numFmtId="0">
      <sharedItems containsSemiMixedTypes="0" containsString="0" containsNumber="1" containsInteger="1" minValue="0" maxValue="9" count="10">
        <n v="1"/>
        <n v="7"/>
        <n v="8"/>
        <n v="2"/>
        <n v="6"/>
        <n v="3"/>
        <n v="9"/>
        <n v="5"/>
        <n v="4"/>
        <n v="0"/>
      </sharedItems>
    </cacheField>
    <cacheField name="Tennure_Months" numFmtId="0">
      <sharedItems containsSemiMixedTypes="0" containsString="0" containsNumber="1" containsInteger="1" minValue="0" maxValue="11"/>
    </cacheField>
    <cacheField name="Attrition" numFmtId="0">
      <sharedItems count="2">
        <s v="Yes"/>
        <s v="No"/>
      </sharedItems>
    </cacheField>
    <cacheField name="Performance_Rating" numFmtId="0">
      <sharedItems containsSemiMixedTypes="0" containsString="0" containsNumber="1" containsInteger="1" minValue="1" maxValue="5" count="5">
        <n v="5"/>
        <n v="2"/>
        <n v="1"/>
        <n v="4"/>
        <n v="3"/>
      </sharedItems>
    </cacheField>
    <cacheField name="City" numFmtId="0">
      <sharedItems count="8">
        <s v="Kolkata"/>
        <s v="Bhubaneswar"/>
        <s v="Delhi"/>
        <s v="Pune"/>
        <s v="Hyderabad"/>
        <s v="Bengaluru"/>
        <s v="Chennai"/>
        <s v="Mumbai"/>
      </sharedItems>
    </cacheField>
    <cacheField name="Age _Group" numFmtId="0">
      <sharedItems count="4">
        <s v="36-45"/>
        <s v="18-25"/>
        <s v="26-35"/>
        <s v="46+"/>
      </sharedItems>
    </cacheField>
  </cacheFields>
  <extLst>
    <ext xmlns:x14="http://schemas.microsoft.com/office/spreadsheetml/2009/9/main" uri="{725AE2AE-9491-48be-B2B4-4EB974FC3084}">
      <x14:pivotCacheDefinition pivotCacheId="1358880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0">
  <r>
    <s v="EMP1001"/>
    <s v="Sneha Sharma"/>
    <n v="37"/>
    <x v="0"/>
    <x v="0"/>
    <s v="Intern"/>
    <n v="36289"/>
    <x v="0"/>
    <s v="Divorced"/>
    <d v="2024-06-28T00:00:00"/>
    <x v="0"/>
    <n v="5"/>
    <x v="0"/>
    <x v="0"/>
    <x v="0"/>
    <x v="0"/>
  </r>
  <r>
    <s v="EMP1002"/>
    <s v="Rahul Sharma"/>
    <n v="25"/>
    <x v="0"/>
    <x v="0"/>
    <s v="Team Lead"/>
    <n v="84237"/>
    <x v="0"/>
    <s v="Divorced"/>
    <d v="2018-06-01T00:00:00"/>
    <x v="1"/>
    <n v="5"/>
    <x v="1"/>
    <x v="1"/>
    <x v="1"/>
    <x v="1"/>
  </r>
  <r>
    <s v="EMP1003"/>
    <s v="Kavya Patel"/>
    <n v="20"/>
    <x v="0"/>
    <x v="1"/>
    <s v="Senior Analyst"/>
    <n v="62597"/>
    <x v="1"/>
    <s v="Single"/>
    <d v="2024-09-30T00:00:00"/>
    <x v="0"/>
    <n v="1"/>
    <x v="1"/>
    <x v="2"/>
    <x v="2"/>
    <x v="1"/>
  </r>
  <r>
    <s v="EMP1004"/>
    <s v="Tarun Sharma"/>
    <n v="42"/>
    <x v="1"/>
    <x v="2"/>
    <s v="Intern"/>
    <n v="23695"/>
    <x v="2"/>
    <s v="Divorced"/>
    <d v="2017-08-02T00:00:00"/>
    <x v="2"/>
    <n v="3"/>
    <x v="1"/>
    <x v="2"/>
    <x v="3"/>
    <x v="0"/>
  </r>
  <r>
    <s v="EMP1005"/>
    <s v="Kavya Mishra"/>
    <n v="43"/>
    <x v="2"/>
    <x v="0"/>
    <s v="Manager"/>
    <n v="110349"/>
    <x v="0"/>
    <s v="Divorced"/>
    <d v="2018-09-28T00:00:00"/>
    <x v="1"/>
    <n v="2"/>
    <x v="1"/>
    <x v="2"/>
    <x v="4"/>
    <x v="0"/>
  </r>
  <r>
    <s v="EMP1006"/>
    <s v="Sneha Nanda"/>
    <n v="37"/>
    <x v="1"/>
    <x v="3"/>
    <s v="Senior Analyst"/>
    <n v="39319"/>
    <x v="3"/>
    <s v="Single"/>
    <d v="2023-09-14T00:00:00"/>
    <x v="3"/>
    <n v="2"/>
    <x v="1"/>
    <x v="2"/>
    <x v="5"/>
    <x v="0"/>
  </r>
  <r>
    <s v="EMP1007"/>
    <s v="Karan Singh"/>
    <n v="35"/>
    <x v="0"/>
    <x v="4"/>
    <s v="Senior Analyst"/>
    <n v="67735"/>
    <x v="4"/>
    <s v="Single"/>
    <d v="2023-11-12T00:00:00"/>
    <x v="3"/>
    <n v="0"/>
    <x v="1"/>
    <x v="2"/>
    <x v="4"/>
    <x v="2"/>
  </r>
  <r>
    <s v="EMP1008"/>
    <s v="Rahul Mishra"/>
    <n v="40"/>
    <x v="1"/>
    <x v="2"/>
    <s v="Executive"/>
    <n v="26675"/>
    <x v="4"/>
    <s v="Divorced"/>
    <d v="2019-09-18T00:00:00"/>
    <x v="4"/>
    <n v="2"/>
    <x v="0"/>
    <x v="3"/>
    <x v="0"/>
    <x v="0"/>
  </r>
  <r>
    <s v="EMP1009"/>
    <s v="Isha Pradhan"/>
    <n v="36"/>
    <x v="0"/>
    <x v="0"/>
    <s v="Team Lead"/>
    <n v="115647"/>
    <x v="4"/>
    <s v="Married"/>
    <d v="2024-07-24T00:00:00"/>
    <x v="0"/>
    <n v="4"/>
    <x v="1"/>
    <x v="0"/>
    <x v="0"/>
    <x v="0"/>
  </r>
  <r>
    <s v="EMP1010"/>
    <s v="Neha Pradhan"/>
    <n v="28"/>
    <x v="2"/>
    <x v="4"/>
    <s v="Associate"/>
    <n v="29915"/>
    <x v="0"/>
    <s v="Single"/>
    <d v="2017-11-25T00:00:00"/>
    <x v="2"/>
    <n v="0"/>
    <x v="0"/>
    <x v="3"/>
    <x v="2"/>
    <x v="2"/>
  </r>
  <r>
    <s v="EMP1011"/>
    <s v="Tarun Nanda"/>
    <n v="58"/>
    <x v="1"/>
    <x v="2"/>
    <s v="Associate"/>
    <n v="90512"/>
    <x v="0"/>
    <s v="Divorced"/>
    <d v="2024-04-08T00:00:00"/>
    <x v="0"/>
    <n v="7"/>
    <x v="0"/>
    <x v="0"/>
    <x v="3"/>
    <x v="3"/>
  </r>
  <r>
    <s v="EMP1012"/>
    <s v="Neha Sharma"/>
    <n v="38"/>
    <x v="1"/>
    <x v="5"/>
    <s v="Manager"/>
    <n v="77470"/>
    <x v="3"/>
    <s v="Divorced"/>
    <d v="2024-09-23T00:00:00"/>
    <x v="0"/>
    <n v="2"/>
    <x v="0"/>
    <x v="0"/>
    <x v="2"/>
    <x v="0"/>
  </r>
  <r>
    <s v="EMP1013"/>
    <s v="Rohit Mishra"/>
    <n v="52"/>
    <x v="2"/>
    <x v="0"/>
    <s v="Senior Analyst"/>
    <n v="38032"/>
    <x v="1"/>
    <s v="Divorced"/>
    <d v="2024-12-01T00:00:00"/>
    <x v="0"/>
    <n v="11"/>
    <x v="0"/>
    <x v="0"/>
    <x v="6"/>
    <x v="3"/>
  </r>
  <r>
    <s v="EMP1014"/>
    <s v="Isha Sharma"/>
    <n v="27"/>
    <x v="1"/>
    <x v="2"/>
    <s v="Manager"/>
    <n v="49385"/>
    <x v="1"/>
    <s v="Divorced"/>
    <d v="2017-01-25T00:00:00"/>
    <x v="2"/>
    <n v="10"/>
    <x v="0"/>
    <x v="3"/>
    <x v="2"/>
    <x v="2"/>
  </r>
  <r>
    <s v="EMP1015"/>
    <s v="Karan Mishra"/>
    <n v="28"/>
    <x v="0"/>
    <x v="4"/>
    <s v="Executive"/>
    <n v="90063"/>
    <x v="3"/>
    <s v="Divorced"/>
    <d v="2022-12-27T00:00:00"/>
    <x v="5"/>
    <n v="11"/>
    <x v="1"/>
    <x v="1"/>
    <x v="4"/>
    <x v="2"/>
  </r>
  <r>
    <s v="EMP1016"/>
    <s v="Rohit Nanda"/>
    <n v="43"/>
    <x v="1"/>
    <x v="4"/>
    <s v="Executive"/>
    <n v="33860"/>
    <x v="1"/>
    <s v="Single"/>
    <d v="2019-12-23T00:00:00"/>
    <x v="4"/>
    <n v="11"/>
    <x v="0"/>
    <x v="0"/>
    <x v="4"/>
    <x v="0"/>
  </r>
  <r>
    <s v="EMP1017"/>
    <s v="Kavya Pradhan"/>
    <n v="20"/>
    <x v="0"/>
    <x v="6"/>
    <s v="Manager"/>
    <n v="48007"/>
    <x v="0"/>
    <s v="Married"/>
    <d v="2016-12-24T00:00:00"/>
    <x v="6"/>
    <n v="11"/>
    <x v="0"/>
    <x v="4"/>
    <x v="1"/>
    <x v="1"/>
  </r>
  <r>
    <s v="EMP1018"/>
    <s v="Priya Reddy"/>
    <n v="28"/>
    <x v="2"/>
    <x v="4"/>
    <s v="Associate"/>
    <n v="49850"/>
    <x v="2"/>
    <s v="Married"/>
    <d v="2018-04-27T00:00:00"/>
    <x v="1"/>
    <n v="7"/>
    <x v="0"/>
    <x v="2"/>
    <x v="0"/>
    <x v="2"/>
  </r>
  <r>
    <s v="EMP1019"/>
    <s v="Neha Nanda"/>
    <n v="46"/>
    <x v="1"/>
    <x v="6"/>
    <s v="Intern"/>
    <n v="106259"/>
    <x v="0"/>
    <s v="Single"/>
    <d v="2020-09-13T00:00:00"/>
    <x v="7"/>
    <n v="2"/>
    <x v="1"/>
    <x v="2"/>
    <x v="4"/>
    <x v="3"/>
  </r>
  <r>
    <s v="EMP1020"/>
    <s v="Priya Pradhan"/>
    <n v="54"/>
    <x v="1"/>
    <x v="5"/>
    <s v="Executive"/>
    <n v="73296"/>
    <x v="3"/>
    <s v="Married"/>
    <d v="2018-12-27T00:00:00"/>
    <x v="1"/>
    <n v="11"/>
    <x v="0"/>
    <x v="3"/>
    <x v="2"/>
    <x v="3"/>
  </r>
  <r>
    <s v="EMP1021"/>
    <s v="Rahul Singh"/>
    <n v="54"/>
    <x v="0"/>
    <x v="7"/>
    <s v="Associate"/>
    <n v="116771"/>
    <x v="1"/>
    <s v="Single"/>
    <d v="2020-09-28T00:00:00"/>
    <x v="7"/>
    <n v="2"/>
    <x v="1"/>
    <x v="3"/>
    <x v="4"/>
    <x v="3"/>
  </r>
  <r>
    <s v="EMP1022"/>
    <s v="Tarun Sharma"/>
    <n v="30"/>
    <x v="1"/>
    <x v="6"/>
    <s v="Senior Analyst"/>
    <n v="69173"/>
    <x v="2"/>
    <s v="Married"/>
    <d v="2020-12-05T00:00:00"/>
    <x v="7"/>
    <n v="11"/>
    <x v="1"/>
    <x v="1"/>
    <x v="4"/>
    <x v="2"/>
  </r>
  <r>
    <s v="EMP1023"/>
    <s v="Rohit Pradhan"/>
    <n v="23"/>
    <x v="2"/>
    <x v="6"/>
    <s v="Senior Analyst"/>
    <n v="116038"/>
    <x v="0"/>
    <s v="Single"/>
    <d v="2022-09-26T00:00:00"/>
    <x v="5"/>
    <n v="2"/>
    <x v="1"/>
    <x v="0"/>
    <x v="5"/>
    <x v="1"/>
  </r>
  <r>
    <s v="EMP1024"/>
    <s v="Rahul Reddy"/>
    <n v="25"/>
    <x v="0"/>
    <x v="7"/>
    <s v="Manager"/>
    <n v="95992"/>
    <x v="1"/>
    <s v="Married"/>
    <d v="2017-07-13T00:00:00"/>
    <x v="2"/>
    <n v="4"/>
    <x v="0"/>
    <x v="0"/>
    <x v="7"/>
    <x v="1"/>
  </r>
  <r>
    <s v="EMP1025"/>
    <s v="Kavya Sharma"/>
    <n v="46"/>
    <x v="2"/>
    <x v="3"/>
    <s v="Executive"/>
    <n v="52179"/>
    <x v="3"/>
    <s v="Single"/>
    <d v="2019-03-01T00:00:00"/>
    <x v="4"/>
    <n v="8"/>
    <x v="1"/>
    <x v="1"/>
    <x v="3"/>
    <x v="3"/>
  </r>
  <r>
    <s v="EMP1026"/>
    <s v="Isha Patel"/>
    <n v="24"/>
    <x v="0"/>
    <x v="4"/>
    <s v="Team Lead"/>
    <n v="99416"/>
    <x v="0"/>
    <s v="Single"/>
    <d v="2022-03-20T00:00:00"/>
    <x v="5"/>
    <n v="8"/>
    <x v="0"/>
    <x v="0"/>
    <x v="3"/>
    <x v="1"/>
  </r>
  <r>
    <s v="EMP1027"/>
    <s v="Amit Patel"/>
    <n v="24"/>
    <x v="0"/>
    <x v="3"/>
    <s v="Executive"/>
    <n v="55353"/>
    <x v="2"/>
    <s v="Divorced"/>
    <d v="2024-01-28T00:00:00"/>
    <x v="0"/>
    <n v="10"/>
    <x v="1"/>
    <x v="0"/>
    <x v="7"/>
    <x v="1"/>
  </r>
  <r>
    <s v="EMP1028"/>
    <s v="Karan Patel"/>
    <n v="26"/>
    <x v="0"/>
    <x v="2"/>
    <s v="Manager"/>
    <n v="33129"/>
    <x v="4"/>
    <s v="Single"/>
    <d v="2019-03-29T00:00:00"/>
    <x v="4"/>
    <n v="8"/>
    <x v="1"/>
    <x v="0"/>
    <x v="4"/>
    <x v="2"/>
  </r>
  <r>
    <s v="EMP1029"/>
    <s v="Neha Pradhan"/>
    <n v="36"/>
    <x v="2"/>
    <x v="4"/>
    <s v="Associate"/>
    <n v="50914"/>
    <x v="0"/>
    <s v="Single"/>
    <d v="2023-04-20T00:00:00"/>
    <x v="3"/>
    <n v="7"/>
    <x v="1"/>
    <x v="4"/>
    <x v="7"/>
    <x v="0"/>
  </r>
  <r>
    <s v="EMP1030"/>
    <s v="Rahul Patel"/>
    <n v="28"/>
    <x v="2"/>
    <x v="2"/>
    <s v="Intern"/>
    <n v="39178"/>
    <x v="2"/>
    <s v="Divorced"/>
    <d v="2024-02-06T00:00:00"/>
    <x v="0"/>
    <n v="9"/>
    <x v="1"/>
    <x v="0"/>
    <x v="7"/>
    <x v="2"/>
  </r>
  <r>
    <s v="EMP1031"/>
    <s v="Sneha Sharma"/>
    <n v="29"/>
    <x v="2"/>
    <x v="6"/>
    <s v="Team Lead"/>
    <n v="66393"/>
    <x v="4"/>
    <s v="Single"/>
    <d v="2021-01-02T00:00:00"/>
    <x v="8"/>
    <n v="10"/>
    <x v="0"/>
    <x v="2"/>
    <x v="3"/>
    <x v="2"/>
  </r>
  <r>
    <s v="EMP1032"/>
    <s v="Neha Mishra"/>
    <n v="22"/>
    <x v="1"/>
    <x v="0"/>
    <s v="Executive"/>
    <n v="107399"/>
    <x v="0"/>
    <s v="Married"/>
    <d v="2024-12-07T00:00:00"/>
    <x v="0"/>
    <n v="11"/>
    <x v="1"/>
    <x v="0"/>
    <x v="5"/>
    <x v="1"/>
  </r>
  <r>
    <s v="EMP1033"/>
    <s v="Priya Mishra"/>
    <n v="30"/>
    <x v="0"/>
    <x v="1"/>
    <s v="Executive"/>
    <n v="21248"/>
    <x v="3"/>
    <s v="Married"/>
    <d v="2025-03-07T00:00:00"/>
    <x v="9"/>
    <n v="8"/>
    <x v="0"/>
    <x v="4"/>
    <x v="5"/>
    <x v="2"/>
  </r>
  <r>
    <s v="EMP1034"/>
    <s v="Sneha Nanda"/>
    <n v="22"/>
    <x v="1"/>
    <x v="0"/>
    <s v="Associate"/>
    <n v="44158"/>
    <x v="2"/>
    <s v="Married"/>
    <d v="2019-08-11T00:00:00"/>
    <x v="4"/>
    <n v="3"/>
    <x v="0"/>
    <x v="1"/>
    <x v="7"/>
    <x v="1"/>
  </r>
  <r>
    <s v="EMP1035"/>
    <s v="Priya Nanda"/>
    <n v="41"/>
    <x v="1"/>
    <x v="7"/>
    <s v="Senior Analyst"/>
    <n v="119361"/>
    <x v="3"/>
    <s v="Divorced"/>
    <d v="2021-11-24T00:00:00"/>
    <x v="8"/>
    <n v="0"/>
    <x v="1"/>
    <x v="0"/>
    <x v="6"/>
    <x v="0"/>
  </r>
  <r>
    <s v="EMP1036"/>
    <s v="Rahul Sharma"/>
    <n v="36"/>
    <x v="0"/>
    <x v="2"/>
    <s v="Manager"/>
    <n v="23014"/>
    <x v="4"/>
    <s v="Married"/>
    <d v="2020-01-23T00:00:00"/>
    <x v="7"/>
    <n v="10"/>
    <x v="1"/>
    <x v="3"/>
    <x v="2"/>
    <x v="0"/>
  </r>
  <r>
    <s v="EMP1037"/>
    <s v="Tarun Reddy"/>
    <n v="32"/>
    <x v="1"/>
    <x v="6"/>
    <s v="Junior Analyst"/>
    <n v="110901"/>
    <x v="0"/>
    <s v="Divorced"/>
    <d v="2025-03-25T00:00:00"/>
    <x v="9"/>
    <n v="8"/>
    <x v="0"/>
    <x v="4"/>
    <x v="0"/>
    <x v="2"/>
  </r>
  <r>
    <s v="EMP1038"/>
    <s v="Sneha Singh"/>
    <n v="41"/>
    <x v="2"/>
    <x v="3"/>
    <s v="Associate"/>
    <n v="104951"/>
    <x v="0"/>
    <s v="Divorced"/>
    <d v="2019-07-22T00:00:00"/>
    <x v="4"/>
    <n v="4"/>
    <x v="1"/>
    <x v="3"/>
    <x v="6"/>
    <x v="0"/>
  </r>
  <r>
    <s v="EMP1039"/>
    <s v="Tarun Singh"/>
    <n v="38"/>
    <x v="2"/>
    <x v="5"/>
    <s v="Junior Analyst"/>
    <n v="43144"/>
    <x v="2"/>
    <s v="Divorced"/>
    <d v="2024-07-29T00:00:00"/>
    <x v="0"/>
    <n v="4"/>
    <x v="0"/>
    <x v="0"/>
    <x v="3"/>
    <x v="0"/>
  </r>
  <r>
    <s v="EMP1040"/>
    <s v="Tarun Reddy"/>
    <n v="20"/>
    <x v="1"/>
    <x v="2"/>
    <s v="Junior Analyst"/>
    <n v="45549"/>
    <x v="4"/>
    <s v="Divorced"/>
    <d v="2023-07-12T00:00:00"/>
    <x v="3"/>
    <n v="4"/>
    <x v="1"/>
    <x v="3"/>
    <x v="1"/>
    <x v="1"/>
  </r>
  <r>
    <s v="EMP1041"/>
    <s v="Isha Singh"/>
    <n v="33"/>
    <x v="2"/>
    <x v="4"/>
    <s v="Executive"/>
    <n v="114463"/>
    <x v="0"/>
    <s v="Married"/>
    <d v="2021-12-19T00:00:00"/>
    <x v="8"/>
    <n v="11"/>
    <x v="1"/>
    <x v="2"/>
    <x v="4"/>
    <x v="2"/>
  </r>
  <r>
    <s v="EMP1042"/>
    <s v="Rohit Pradhan"/>
    <n v="32"/>
    <x v="0"/>
    <x v="6"/>
    <s v="Executive"/>
    <n v="24057"/>
    <x v="2"/>
    <s v="Divorced"/>
    <d v="2025-09-18T00:00:00"/>
    <x v="9"/>
    <n v="2"/>
    <x v="0"/>
    <x v="3"/>
    <x v="0"/>
    <x v="2"/>
  </r>
  <r>
    <s v="EMP1043"/>
    <s v="Kavya Pradhan"/>
    <n v="44"/>
    <x v="1"/>
    <x v="1"/>
    <s v="Executive"/>
    <n v="49979"/>
    <x v="0"/>
    <s v="Single"/>
    <d v="2024-11-30T00:00:00"/>
    <x v="0"/>
    <n v="11"/>
    <x v="1"/>
    <x v="1"/>
    <x v="5"/>
    <x v="0"/>
  </r>
  <r>
    <s v="EMP1044"/>
    <s v="Karan Nanda"/>
    <n v="23"/>
    <x v="2"/>
    <x v="0"/>
    <s v="Junior Analyst"/>
    <n v="33906"/>
    <x v="1"/>
    <s v="Married"/>
    <d v="2023-09-03T00:00:00"/>
    <x v="3"/>
    <n v="2"/>
    <x v="1"/>
    <x v="3"/>
    <x v="0"/>
    <x v="1"/>
  </r>
  <r>
    <s v="EMP1045"/>
    <s v="Karan Nanda"/>
    <n v="30"/>
    <x v="2"/>
    <x v="4"/>
    <s v="Senior Analyst"/>
    <n v="76991"/>
    <x v="1"/>
    <s v="Divorced"/>
    <d v="2019-04-18T00:00:00"/>
    <x v="4"/>
    <n v="7"/>
    <x v="1"/>
    <x v="1"/>
    <x v="3"/>
    <x v="2"/>
  </r>
  <r>
    <s v="EMP1046"/>
    <s v="Isha Sharma"/>
    <n v="38"/>
    <x v="0"/>
    <x v="2"/>
    <s v="Senior Analyst"/>
    <n v="62020"/>
    <x v="4"/>
    <s v="Single"/>
    <d v="2017-09-26T00:00:00"/>
    <x v="2"/>
    <n v="2"/>
    <x v="0"/>
    <x v="1"/>
    <x v="0"/>
    <x v="0"/>
  </r>
  <r>
    <s v="EMP1047"/>
    <s v="Amit Singh"/>
    <n v="33"/>
    <x v="0"/>
    <x v="1"/>
    <s v="Senior Analyst"/>
    <n v="71424"/>
    <x v="4"/>
    <s v="Married"/>
    <d v="2020-11-06T00:00:00"/>
    <x v="7"/>
    <n v="0"/>
    <x v="0"/>
    <x v="1"/>
    <x v="0"/>
    <x v="2"/>
  </r>
  <r>
    <s v="EMP1048"/>
    <s v="Tarun Mishra"/>
    <n v="57"/>
    <x v="2"/>
    <x v="6"/>
    <s v="Team Lead"/>
    <n v="118348"/>
    <x v="2"/>
    <s v="Married"/>
    <d v="2016-04-02T00:00:00"/>
    <x v="6"/>
    <n v="7"/>
    <x v="1"/>
    <x v="4"/>
    <x v="0"/>
    <x v="3"/>
  </r>
  <r>
    <s v="EMP1049"/>
    <s v="Tarun Reddy"/>
    <n v="54"/>
    <x v="2"/>
    <x v="0"/>
    <s v="Executive"/>
    <n v="81993"/>
    <x v="3"/>
    <s v="Married"/>
    <d v="2021-08-19T00:00:00"/>
    <x v="8"/>
    <n v="3"/>
    <x v="0"/>
    <x v="3"/>
    <x v="6"/>
    <x v="3"/>
  </r>
  <r>
    <s v="EMP1050"/>
    <s v="Tarun Singh"/>
    <n v="30"/>
    <x v="1"/>
    <x v="5"/>
    <s v="Team Lead"/>
    <n v="99560"/>
    <x v="0"/>
    <s v="Married"/>
    <d v="2022-10-28T00:00:00"/>
    <x v="5"/>
    <n v="1"/>
    <x v="0"/>
    <x v="2"/>
    <x v="0"/>
    <x v="2"/>
  </r>
  <r>
    <s v="EMP1051"/>
    <s v="Amit Mishra"/>
    <n v="49"/>
    <x v="0"/>
    <x v="6"/>
    <s v="Junior Analyst"/>
    <n v="52099"/>
    <x v="3"/>
    <s v="Single"/>
    <d v="2021-04-14T00:00:00"/>
    <x v="8"/>
    <n v="7"/>
    <x v="1"/>
    <x v="4"/>
    <x v="0"/>
    <x v="3"/>
  </r>
  <r>
    <s v="EMP1052"/>
    <s v="Rohit Mishra"/>
    <n v="46"/>
    <x v="1"/>
    <x v="7"/>
    <s v="Manager"/>
    <n v="79644"/>
    <x v="4"/>
    <s v="Single"/>
    <d v="2020-02-10T00:00:00"/>
    <x v="7"/>
    <n v="9"/>
    <x v="0"/>
    <x v="2"/>
    <x v="7"/>
    <x v="3"/>
  </r>
  <r>
    <s v="EMP1053"/>
    <s v="Rahul Pradhan"/>
    <n v="32"/>
    <x v="0"/>
    <x v="5"/>
    <s v="Executive"/>
    <n v="49266"/>
    <x v="2"/>
    <s v="Divorced"/>
    <d v="2017-06-20T00:00:00"/>
    <x v="2"/>
    <n v="5"/>
    <x v="0"/>
    <x v="3"/>
    <x v="3"/>
    <x v="2"/>
  </r>
  <r>
    <s v="EMP1054"/>
    <s v="Neha Pradhan"/>
    <n v="58"/>
    <x v="2"/>
    <x v="7"/>
    <s v="Associate"/>
    <n v="119946"/>
    <x v="1"/>
    <s v="Married"/>
    <d v="2017-05-25T00:00:00"/>
    <x v="2"/>
    <n v="6"/>
    <x v="0"/>
    <x v="4"/>
    <x v="0"/>
    <x v="3"/>
  </r>
  <r>
    <s v="EMP1055"/>
    <s v="Tarun Singh"/>
    <n v="32"/>
    <x v="0"/>
    <x v="0"/>
    <s v="Intern"/>
    <n v="31356"/>
    <x v="3"/>
    <s v="Divorced"/>
    <d v="2022-12-02T00:00:00"/>
    <x v="5"/>
    <n v="11"/>
    <x v="0"/>
    <x v="0"/>
    <x v="7"/>
    <x v="2"/>
  </r>
  <r>
    <s v="EMP1056"/>
    <s v="Neha Reddy"/>
    <n v="47"/>
    <x v="2"/>
    <x v="3"/>
    <s v="Team Lead"/>
    <n v="27038"/>
    <x v="3"/>
    <s v="Single"/>
    <d v="2025-09-17T00:00:00"/>
    <x v="9"/>
    <n v="2"/>
    <x v="1"/>
    <x v="3"/>
    <x v="2"/>
    <x v="3"/>
  </r>
  <r>
    <s v="EMP1057"/>
    <s v="Tarun Patel"/>
    <n v="49"/>
    <x v="2"/>
    <x v="5"/>
    <s v="Executive"/>
    <n v="75080"/>
    <x v="4"/>
    <s v="Divorced"/>
    <d v="2019-03-20T00:00:00"/>
    <x v="4"/>
    <n v="8"/>
    <x v="1"/>
    <x v="3"/>
    <x v="0"/>
    <x v="3"/>
  </r>
  <r>
    <s v="EMP1058"/>
    <s v="Kavya Patel"/>
    <n v="40"/>
    <x v="0"/>
    <x v="7"/>
    <s v="Junior Analyst"/>
    <n v="54559"/>
    <x v="1"/>
    <s v="Married"/>
    <d v="2022-07-30T00:00:00"/>
    <x v="5"/>
    <n v="3"/>
    <x v="1"/>
    <x v="4"/>
    <x v="7"/>
    <x v="0"/>
  </r>
  <r>
    <s v="EMP1059"/>
    <s v="Isha Mishra"/>
    <n v="40"/>
    <x v="0"/>
    <x v="4"/>
    <s v="Senior Analyst"/>
    <n v="45802"/>
    <x v="3"/>
    <s v="Married"/>
    <d v="2019-04-28T00:00:00"/>
    <x v="4"/>
    <n v="7"/>
    <x v="1"/>
    <x v="0"/>
    <x v="7"/>
    <x v="0"/>
  </r>
  <r>
    <s v="EMP1060"/>
    <s v="Karan Pradhan"/>
    <n v="25"/>
    <x v="0"/>
    <x v="1"/>
    <s v="Team Lead"/>
    <n v="82038"/>
    <x v="1"/>
    <s v="Divorced"/>
    <d v="2021-07-11T00:00:00"/>
    <x v="8"/>
    <n v="4"/>
    <x v="1"/>
    <x v="3"/>
    <x v="7"/>
    <x v="1"/>
  </r>
  <r>
    <s v="EMP1061"/>
    <s v="Sneha Patel"/>
    <n v="34"/>
    <x v="1"/>
    <x v="0"/>
    <s v="Intern"/>
    <n v="58135"/>
    <x v="4"/>
    <s v="Married"/>
    <d v="2021-06-29T00:00:00"/>
    <x v="8"/>
    <n v="5"/>
    <x v="1"/>
    <x v="3"/>
    <x v="6"/>
    <x v="2"/>
  </r>
  <r>
    <s v="EMP1062"/>
    <s v="Neha Singh"/>
    <n v="49"/>
    <x v="1"/>
    <x v="2"/>
    <s v="Executive"/>
    <n v="50951"/>
    <x v="0"/>
    <s v="Divorced"/>
    <d v="2018-05-06T00:00:00"/>
    <x v="1"/>
    <n v="6"/>
    <x v="1"/>
    <x v="2"/>
    <x v="5"/>
    <x v="3"/>
  </r>
  <r>
    <s v="EMP1063"/>
    <s v="Priya Pradhan"/>
    <n v="50"/>
    <x v="1"/>
    <x v="2"/>
    <s v="Associate"/>
    <n v="31176"/>
    <x v="1"/>
    <s v="Married"/>
    <d v="2018-09-26T00:00:00"/>
    <x v="1"/>
    <n v="2"/>
    <x v="1"/>
    <x v="1"/>
    <x v="3"/>
    <x v="3"/>
  </r>
  <r>
    <s v="EMP1064"/>
    <s v="Rahul Singh"/>
    <n v="54"/>
    <x v="0"/>
    <x v="2"/>
    <s v="Manager"/>
    <n v="23965"/>
    <x v="4"/>
    <s v="Married"/>
    <d v="2024-01-03T00:00:00"/>
    <x v="0"/>
    <n v="10"/>
    <x v="0"/>
    <x v="3"/>
    <x v="2"/>
    <x v="3"/>
  </r>
  <r>
    <s v="EMP1065"/>
    <s v="Rahul Reddy"/>
    <n v="38"/>
    <x v="1"/>
    <x v="4"/>
    <s v="Senior Analyst"/>
    <n v="75733"/>
    <x v="1"/>
    <s v="Single"/>
    <d v="2019-01-07T00:00:00"/>
    <x v="4"/>
    <n v="10"/>
    <x v="1"/>
    <x v="2"/>
    <x v="2"/>
    <x v="0"/>
  </r>
  <r>
    <s v="EMP1066"/>
    <s v="Tarun Nanda"/>
    <n v="24"/>
    <x v="2"/>
    <x v="6"/>
    <s v="Executive"/>
    <n v="37887"/>
    <x v="4"/>
    <s v="Married"/>
    <d v="2017-02-20T00:00:00"/>
    <x v="2"/>
    <n v="9"/>
    <x v="0"/>
    <x v="2"/>
    <x v="0"/>
    <x v="1"/>
  </r>
  <r>
    <s v="EMP1067"/>
    <s v="Kavya Reddy"/>
    <n v="34"/>
    <x v="2"/>
    <x v="1"/>
    <s v="Junior Analyst"/>
    <n v="77049"/>
    <x v="3"/>
    <s v="Divorced"/>
    <d v="2020-12-29T00:00:00"/>
    <x v="7"/>
    <n v="11"/>
    <x v="1"/>
    <x v="0"/>
    <x v="7"/>
    <x v="2"/>
  </r>
  <r>
    <s v="EMP1068"/>
    <s v="Kavya Singh"/>
    <n v="26"/>
    <x v="0"/>
    <x v="0"/>
    <s v="Intern"/>
    <n v="52687"/>
    <x v="0"/>
    <s v="Single"/>
    <d v="2018-11-16T00:00:00"/>
    <x v="1"/>
    <n v="0"/>
    <x v="0"/>
    <x v="0"/>
    <x v="2"/>
    <x v="2"/>
  </r>
  <r>
    <s v="EMP1069"/>
    <s v="Amit Sharma"/>
    <n v="46"/>
    <x v="1"/>
    <x v="4"/>
    <s v="Manager"/>
    <n v="56175"/>
    <x v="1"/>
    <s v="Married"/>
    <d v="2024-02-11T00:00:00"/>
    <x v="0"/>
    <n v="9"/>
    <x v="1"/>
    <x v="3"/>
    <x v="2"/>
    <x v="3"/>
  </r>
  <r>
    <s v="EMP1070"/>
    <s v="Priya Patel"/>
    <n v="57"/>
    <x v="2"/>
    <x v="0"/>
    <s v="Manager"/>
    <n v="73723"/>
    <x v="4"/>
    <s v="Single"/>
    <d v="2023-06-13T00:00:00"/>
    <x v="3"/>
    <n v="5"/>
    <x v="0"/>
    <x v="4"/>
    <x v="5"/>
    <x v="3"/>
  </r>
  <r>
    <s v="EMP1071"/>
    <s v="Sneha Sharma"/>
    <n v="30"/>
    <x v="1"/>
    <x v="2"/>
    <s v="Manager"/>
    <n v="75560"/>
    <x v="2"/>
    <s v="Divorced"/>
    <d v="2019-08-06T00:00:00"/>
    <x v="4"/>
    <n v="3"/>
    <x v="1"/>
    <x v="4"/>
    <x v="1"/>
    <x v="2"/>
  </r>
  <r>
    <s v="EMP1072"/>
    <s v="Isha Sharma"/>
    <n v="58"/>
    <x v="0"/>
    <x v="1"/>
    <s v="Senior Analyst"/>
    <n v="114276"/>
    <x v="4"/>
    <s v="Married"/>
    <d v="2016-06-22T00:00:00"/>
    <x v="6"/>
    <n v="5"/>
    <x v="0"/>
    <x v="1"/>
    <x v="7"/>
    <x v="3"/>
  </r>
  <r>
    <s v="EMP1073"/>
    <s v="Rohit Reddy"/>
    <n v="22"/>
    <x v="0"/>
    <x v="4"/>
    <s v="Intern"/>
    <n v="86021"/>
    <x v="2"/>
    <s v="Married"/>
    <d v="2018-03-22T00:00:00"/>
    <x v="1"/>
    <n v="8"/>
    <x v="1"/>
    <x v="3"/>
    <x v="2"/>
    <x v="1"/>
  </r>
  <r>
    <s v="EMP1074"/>
    <s v="Isha Patel"/>
    <n v="46"/>
    <x v="1"/>
    <x v="3"/>
    <s v="Manager"/>
    <n v="105835"/>
    <x v="1"/>
    <s v="Married"/>
    <d v="2020-10-20T00:00:00"/>
    <x v="7"/>
    <n v="1"/>
    <x v="1"/>
    <x v="4"/>
    <x v="0"/>
    <x v="3"/>
  </r>
  <r>
    <s v="EMP1075"/>
    <s v="Karan Sharma"/>
    <n v="49"/>
    <x v="0"/>
    <x v="3"/>
    <s v="Senior Analyst"/>
    <n v="51082"/>
    <x v="0"/>
    <s v="Married"/>
    <d v="2025-11-19T00:00:00"/>
    <x v="9"/>
    <n v="0"/>
    <x v="0"/>
    <x v="0"/>
    <x v="1"/>
    <x v="3"/>
  </r>
  <r>
    <s v="EMP1076"/>
    <s v="Tarun Sharma"/>
    <n v="32"/>
    <x v="2"/>
    <x v="3"/>
    <s v="Associate"/>
    <n v="99609"/>
    <x v="2"/>
    <s v="Divorced"/>
    <d v="2021-02-21T00:00:00"/>
    <x v="8"/>
    <n v="9"/>
    <x v="0"/>
    <x v="1"/>
    <x v="3"/>
    <x v="2"/>
  </r>
  <r>
    <s v="EMP1077"/>
    <s v="Karan Pradhan"/>
    <n v="38"/>
    <x v="1"/>
    <x v="4"/>
    <s v="Manager"/>
    <n v="33915"/>
    <x v="4"/>
    <s v="Single"/>
    <d v="2024-02-23T00:00:00"/>
    <x v="0"/>
    <n v="9"/>
    <x v="0"/>
    <x v="4"/>
    <x v="7"/>
    <x v="0"/>
  </r>
  <r>
    <s v="EMP1078"/>
    <s v="Karan Nanda"/>
    <n v="25"/>
    <x v="0"/>
    <x v="7"/>
    <s v="Manager"/>
    <n v="78482"/>
    <x v="1"/>
    <s v="Married"/>
    <d v="2024-03-22T00:00:00"/>
    <x v="0"/>
    <n v="8"/>
    <x v="1"/>
    <x v="0"/>
    <x v="3"/>
    <x v="1"/>
  </r>
  <r>
    <s v="EMP1079"/>
    <s v="Tarun Mishra"/>
    <n v="50"/>
    <x v="1"/>
    <x v="0"/>
    <s v="Team Lead"/>
    <n v="77871"/>
    <x v="1"/>
    <s v="Married"/>
    <d v="2018-04-28T00:00:00"/>
    <x v="1"/>
    <n v="7"/>
    <x v="0"/>
    <x v="2"/>
    <x v="3"/>
    <x v="3"/>
  </r>
  <r>
    <s v="EMP1080"/>
    <s v="Tarun Patel"/>
    <n v="52"/>
    <x v="1"/>
    <x v="6"/>
    <s v="Intern"/>
    <n v="55072"/>
    <x v="3"/>
    <s v="Divorced"/>
    <d v="2022-09-09T00:00:00"/>
    <x v="5"/>
    <n v="2"/>
    <x v="1"/>
    <x v="1"/>
    <x v="1"/>
    <x v="3"/>
  </r>
  <r>
    <s v="EMP1081"/>
    <s v="Karan Nanda"/>
    <n v="42"/>
    <x v="1"/>
    <x v="1"/>
    <s v="Senior Analyst"/>
    <n v="77682"/>
    <x v="1"/>
    <s v="Divorced"/>
    <d v="2018-11-12T00:00:00"/>
    <x v="1"/>
    <n v="0"/>
    <x v="1"/>
    <x v="1"/>
    <x v="0"/>
    <x v="0"/>
  </r>
  <r>
    <s v="EMP1082"/>
    <s v="Rahul Patel"/>
    <n v="50"/>
    <x v="2"/>
    <x v="1"/>
    <s v="Intern"/>
    <n v="68604"/>
    <x v="1"/>
    <s v="Married"/>
    <d v="2016-08-07T00:00:00"/>
    <x v="6"/>
    <n v="3"/>
    <x v="0"/>
    <x v="0"/>
    <x v="6"/>
    <x v="3"/>
  </r>
  <r>
    <s v="EMP1083"/>
    <s v="Sneha Mishra"/>
    <n v="48"/>
    <x v="0"/>
    <x v="4"/>
    <s v="Intern"/>
    <n v="20011"/>
    <x v="1"/>
    <s v="Married"/>
    <d v="2023-07-12T00:00:00"/>
    <x v="3"/>
    <n v="4"/>
    <x v="0"/>
    <x v="2"/>
    <x v="1"/>
    <x v="3"/>
  </r>
  <r>
    <s v="EMP1084"/>
    <s v="Rohit Patel"/>
    <n v="45"/>
    <x v="2"/>
    <x v="7"/>
    <s v="Associate"/>
    <n v="61065"/>
    <x v="4"/>
    <s v="Married"/>
    <d v="2019-09-27T00:00:00"/>
    <x v="4"/>
    <n v="2"/>
    <x v="1"/>
    <x v="0"/>
    <x v="7"/>
    <x v="0"/>
  </r>
  <r>
    <s v="EMP1085"/>
    <s v="Kavya Sharma"/>
    <n v="35"/>
    <x v="2"/>
    <x v="2"/>
    <s v="Intern"/>
    <n v="47817"/>
    <x v="0"/>
    <s v="Married"/>
    <d v="2017-04-16T00:00:00"/>
    <x v="2"/>
    <n v="7"/>
    <x v="0"/>
    <x v="3"/>
    <x v="5"/>
    <x v="2"/>
  </r>
  <r>
    <s v="EMP1086"/>
    <s v="Rohit Sharma"/>
    <n v="22"/>
    <x v="1"/>
    <x v="6"/>
    <s v="Senior Analyst"/>
    <n v="56452"/>
    <x v="3"/>
    <s v="Married"/>
    <d v="2017-10-26T00:00:00"/>
    <x v="2"/>
    <n v="1"/>
    <x v="0"/>
    <x v="0"/>
    <x v="0"/>
    <x v="1"/>
  </r>
  <r>
    <s v="EMP1087"/>
    <s v="Kavya Singh"/>
    <n v="31"/>
    <x v="0"/>
    <x v="5"/>
    <s v="Team Lead"/>
    <n v="28350"/>
    <x v="2"/>
    <s v="Divorced"/>
    <d v="2023-11-06T00:00:00"/>
    <x v="3"/>
    <n v="0"/>
    <x v="0"/>
    <x v="3"/>
    <x v="5"/>
    <x v="2"/>
  </r>
  <r>
    <s v="EMP1088"/>
    <s v="Priya Nanda"/>
    <n v="36"/>
    <x v="1"/>
    <x v="2"/>
    <s v="Manager"/>
    <n v="105404"/>
    <x v="2"/>
    <s v="Married"/>
    <d v="2023-10-14T00:00:00"/>
    <x v="3"/>
    <n v="1"/>
    <x v="0"/>
    <x v="2"/>
    <x v="1"/>
    <x v="0"/>
  </r>
  <r>
    <s v="EMP1089"/>
    <s v="Neha Reddy"/>
    <n v="39"/>
    <x v="2"/>
    <x v="1"/>
    <s v="Senior Analyst"/>
    <n v="108480"/>
    <x v="2"/>
    <s v="Married"/>
    <d v="2018-06-02T00:00:00"/>
    <x v="1"/>
    <n v="5"/>
    <x v="1"/>
    <x v="3"/>
    <x v="2"/>
    <x v="0"/>
  </r>
  <r>
    <s v="EMP1090"/>
    <s v="Priya Nanda"/>
    <n v="56"/>
    <x v="1"/>
    <x v="2"/>
    <s v="Senior Analyst"/>
    <n v="109655"/>
    <x v="0"/>
    <s v="Divorced"/>
    <d v="2020-08-16T00:00:00"/>
    <x v="7"/>
    <n v="3"/>
    <x v="1"/>
    <x v="2"/>
    <x v="7"/>
    <x v="3"/>
  </r>
  <r>
    <s v="EMP1091"/>
    <s v="Kavya Singh"/>
    <n v="51"/>
    <x v="1"/>
    <x v="0"/>
    <s v="Associate"/>
    <n v="97569"/>
    <x v="3"/>
    <s v="Single"/>
    <d v="2023-04-29T00:00:00"/>
    <x v="3"/>
    <n v="7"/>
    <x v="0"/>
    <x v="0"/>
    <x v="3"/>
    <x v="3"/>
  </r>
  <r>
    <s v="EMP1092"/>
    <s v="Amit Singh"/>
    <n v="26"/>
    <x v="2"/>
    <x v="6"/>
    <s v="Associate"/>
    <n v="58492"/>
    <x v="2"/>
    <s v="Single"/>
    <d v="2022-09-07T00:00:00"/>
    <x v="5"/>
    <n v="2"/>
    <x v="1"/>
    <x v="1"/>
    <x v="2"/>
    <x v="2"/>
  </r>
  <r>
    <s v="EMP1093"/>
    <s v="Rohit Patel"/>
    <n v="46"/>
    <x v="0"/>
    <x v="0"/>
    <s v="Associate"/>
    <n v="35322"/>
    <x v="4"/>
    <s v="Married"/>
    <d v="2022-02-20T00:00:00"/>
    <x v="5"/>
    <n v="9"/>
    <x v="1"/>
    <x v="1"/>
    <x v="3"/>
    <x v="3"/>
  </r>
  <r>
    <s v="EMP1094"/>
    <s v="Isha Mishra"/>
    <n v="38"/>
    <x v="2"/>
    <x v="3"/>
    <s v="Junior Analyst"/>
    <n v="33095"/>
    <x v="0"/>
    <s v="Single"/>
    <d v="2024-08-23T00:00:00"/>
    <x v="0"/>
    <n v="3"/>
    <x v="0"/>
    <x v="3"/>
    <x v="6"/>
    <x v="0"/>
  </r>
  <r>
    <s v="EMP1095"/>
    <s v="Sneha Mishra"/>
    <n v="45"/>
    <x v="0"/>
    <x v="2"/>
    <s v="Manager"/>
    <n v="88329"/>
    <x v="2"/>
    <s v="Married"/>
    <d v="2023-09-24T00:00:00"/>
    <x v="3"/>
    <n v="2"/>
    <x v="1"/>
    <x v="0"/>
    <x v="0"/>
    <x v="0"/>
  </r>
  <r>
    <s v="EMP1096"/>
    <s v="Neha Sharma"/>
    <n v="34"/>
    <x v="1"/>
    <x v="6"/>
    <s v="Team Lead"/>
    <n v="99205"/>
    <x v="3"/>
    <s v="Divorced"/>
    <d v="2018-09-01T00:00:00"/>
    <x v="1"/>
    <n v="2"/>
    <x v="0"/>
    <x v="3"/>
    <x v="3"/>
    <x v="2"/>
  </r>
  <r>
    <s v="EMP1097"/>
    <s v="Tarun Sharma"/>
    <n v="28"/>
    <x v="0"/>
    <x v="6"/>
    <s v="Junior Analyst"/>
    <n v="57893"/>
    <x v="0"/>
    <s v="Single"/>
    <d v="2018-10-26T00:00:00"/>
    <x v="1"/>
    <n v="1"/>
    <x v="0"/>
    <x v="3"/>
    <x v="1"/>
    <x v="2"/>
  </r>
  <r>
    <s v="EMP1098"/>
    <s v="Neha Singh"/>
    <n v="54"/>
    <x v="1"/>
    <x v="5"/>
    <s v="Intern"/>
    <n v="72379"/>
    <x v="0"/>
    <s v="Married"/>
    <d v="2023-02-02T00:00:00"/>
    <x v="3"/>
    <n v="9"/>
    <x v="1"/>
    <x v="4"/>
    <x v="7"/>
    <x v="3"/>
  </r>
  <r>
    <s v="EMP1099"/>
    <s v="Neha Pradhan"/>
    <n v="48"/>
    <x v="1"/>
    <x v="0"/>
    <s v="Manager"/>
    <n v="65537"/>
    <x v="3"/>
    <s v="Divorced"/>
    <d v="2023-06-02T00:00:00"/>
    <x v="3"/>
    <n v="5"/>
    <x v="1"/>
    <x v="2"/>
    <x v="0"/>
    <x v="3"/>
  </r>
  <r>
    <s v="EMP1100"/>
    <s v="Rohit Pradhan"/>
    <n v="27"/>
    <x v="1"/>
    <x v="7"/>
    <s v="Executive"/>
    <n v="104870"/>
    <x v="4"/>
    <s v="Single"/>
    <d v="2016-10-02T00:00:00"/>
    <x v="6"/>
    <n v="1"/>
    <x v="1"/>
    <x v="1"/>
    <x v="5"/>
    <x v="2"/>
  </r>
  <r>
    <s v="EMP1101"/>
    <s v="Kavya Pradhan"/>
    <n v="24"/>
    <x v="2"/>
    <x v="0"/>
    <s v="Executive"/>
    <n v="94858"/>
    <x v="1"/>
    <s v="Married"/>
    <d v="2024-11-13T00:00:00"/>
    <x v="0"/>
    <n v="0"/>
    <x v="0"/>
    <x v="0"/>
    <x v="7"/>
    <x v="1"/>
  </r>
  <r>
    <s v="EMP1102"/>
    <s v="Rohit Mishra"/>
    <n v="29"/>
    <x v="0"/>
    <x v="2"/>
    <s v="Manager"/>
    <n v="40871"/>
    <x v="0"/>
    <s v="Single"/>
    <d v="2016-05-08T00:00:00"/>
    <x v="6"/>
    <n v="6"/>
    <x v="1"/>
    <x v="1"/>
    <x v="6"/>
    <x v="2"/>
  </r>
  <r>
    <s v="EMP1103"/>
    <s v="Rahul Pradhan"/>
    <n v="36"/>
    <x v="0"/>
    <x v="5"/>
    <s v="Junior Analyst"/>
    <n v="115218"/>
    <x v="4"/>
    <s v="Single"/>
    <d v="2024-07-19T00:00:00"/>
    <x v="0"/>
    <n v="4"/>
    <x v="0"/>
    <x v="3"/>
    <x v="1"/>
    <x v="0"/>
  </r>
  <r>
    <s v="EMP1104"/>
    <s v="Neha Reddy"/>
    <n v="57"/>
    <x v="0"/>
    <x v="4"/>
    <s v="Executive"/>
    <n v="84039"/>
    <x v="4"/>
    <s v="Single"/>
    <d v="2024-05-04T00:00:00"/>
    <x v="0"/>
    <n v="6"/>
    <x v="1"/>
    <x v="3"/>
    <x v="7"/>
    <x v="3"/>
  </r>
  <r>
    <s v="EMP1105"/>
    <s v="Rahul Nanda"/>
    <n v="45"/>
    <x v="1"/>
    <x v="7"/>
    <s v="Intern"/>
    <n v="82260"/>
    <x v="2"/>
    <s v="Single"/>
    <d v="2017-02-02T00:00:00"/>
    <x v="2"/>
    <n v="9"/>
    <x v="1"/>
    <x v="0"/>
    <x v="5"/>
    <x v="0"/>
  </r>
  <r>
    <s v="EMP1106"/>
    <s v="Sneha Pradhan"/>
    <n v="37"/>
    <x v="2"/>
    <x v="3"/>
    <s v="Team Lead"/>
    <n v="67925"/>
    <x v="4"/>
    <s v="Married"/>
    <d v="2021-04-10T00:00:00"/>
    <x v="8"/>
    <n v="7"/>
    <x v="1"/>
    <x v="2"/>
    <x v="2"/>
    <x v="0"/>
  </r>
  <r>
    <s v="EMP1107"/>
    <s v="Karan Singh"/>
    <n v="33"/>
    <x v="1"/>
    <x v="4"/>
    <s v="Junior Analyst"/>
    <n v="47949"/>
    <x v="3"/>
    <s v="Married"/>
    <d v="2020-08-28T00:00:00"/>
    <x v="7"/>
    <n v="3"/>
    <x v="1"/>
    <x v="2"/>
    <x v="6"/>
    <x v="2"/>
  </r>
  <r>
    <s v="EMP1108"/>
    <s v="Tarun Patel"/>
    <n v="36"/>
    <x v="1"/>
    <x v="5"/>
    <s v="Junior Analyst"/>
    <n v="108023"/>
    <x v="0"/>
    <s v="Single"/>
    <d v="2025-07-06T00:00:00"/>
    <x v="9"/>
    <n v="4"/>
    <x v="0"/>
    <x v="2"/>
    <x v="0"/>
    <x v="0"/>
  </r>
  <r>
    <s v="EMP1109"/>
    <s v="Sneha Singh"/>
    <n v="43"/>
    <x v="0"/>
    <x v="6"/>
    <s v="Team Lead"/>
    <n v="94869"/>
    <x v="4"/>
    <s v="Married"/>
    <d v="2023-09-13T00:00:00"/>
    <x v="3"/>
    <n v="2"/>
    <x v="0"/>
    <x v="3"/>
    <x v="6"/>
    <x v="0"/>
  </r>
  <r>
    <s v="EMP1110"/>
    <s v="Tarun Mishra"/>
    <n v="23"/>
    <x v="1"/>
    <x v="2"/>
    <s v="Manager"/>
    <n v="64090"/>
    <x v="4"/>
    <s v="Divorced"/>
    <d v="2018-07-28T00:00:00"/>
    <x v="1"/>
    <n v="4"/>
    <x v="0"/>
    <x v="3"/>
    <x v="4"/>
    <x v="1"/>
  </r>
  <r>
    <s v="EMP1111"/>
    <s v="Sneha Patel"/>
    <n v="55"/>
    <x v="1"/>
    <x v="7"/>
    <s v="Senior Analyst"/>
    <n v="117956"/>
    <x v="4"/>
    <s v="Single"/>
    <d v="2025-03-28T00:00:00"/>
    <x v="9"/>
    <n v="8"/>
    <x v="1"/>
    <x v="0"/>
    <x v="7"/>
    <x v="3"/>
  </r>
  <r>
    <s v="EMP1112"/>
    <s v="Kavya Singh"/>
    <n v="37"/>
    <x v="0"/>
    <x v="5"/>
    <s v="Intern"/>
    <n v="53818"/>
    <x v="3"/>
    <s v="Married"/>
    <d v="2020-02-14T00:00:00"/>
    <x v="7"/>
    <n v="9"/>
    <x v="0"/>
    <x v="1"/>
    <x v="5"/>
    <x v="0"/>
  </r>
  <r>
    <s v="EMP1113"/>
    <s v="Kavya Singh"/>
    <n v="45"/>
    <x v="0"/>
    <x v="5"/>
    <s v="Intern"/>
    <n v="115120"/>
    <x v="0"/>
    <s v="Single"/>
    <d v="2024-07-21T00:00:00"/>
    <x v="0"/>
    <n v="4"/>
    <x v="0"/>
    <x v="3"/>
    <x v="0"/>
    <x v="0"/>
  </r>
  <r>
    <s v="EMP1114"/>
    <s v="Isha Patel"/>
    <n v="30"/>
    <x v="1"/>
    <x v="2"/>
    <s v="Senior Analyst"/>
    <n v="112581"/>
    <x v="4"/>
    <s v="Divorced"/>
    <d v="2017-02-19T00:00:00"/>
    <x v="2"/>
    <n v="9"/>
    <x v="0"/>
    <x v="1"/>
    <x v="5"/>
    <x v="2"/>
  </r>
  <r>
    <s v="EMP1115"/>
    <s v="Kavya Sharma"/>
    <n v="25"/>
    <x v="1"/>
    <x v="4"/>
    <s v="Junior Analyst"/>
    <n v="104761"/>
    <x v="2"/>
    <s v="Divorced"/>
    <d v="2021-02-21T00:00:00"/>
    <x v="8"/>
    <n v="9"/>
    <x v="1"/>
    <x v="4"/>
    <x v="4"/>
    <x v="1"/>
  </r>
  <r>
    <s v="EMP1116"/>
    <s v="Karan Sharma"/>
    <n v="42"/>
    <x v="1"/>
    <x v="7"/>
    <s v="Intern"/>
    <n v="55125"/>
    <x v="4"/>
    <s v="Married"/>
    <d v="2022-02-04T00:00:00"/>
    <x v="5"/>
    <n v="9"/>
    <x v="1"/>
    <x v="2"/>
    <x v="4"/>
    <x v="0"/>
  </r>
  <r>
    <s v="EMP1117"/>
    <s v="Tarun Reddy"/>
    <n v="23"/>
    <x v="0"/>
    <x v="0"/>
    <s v="Executive"/>
    <n v="57507"/>
    <x v="1"/>
    <s v="Married"/>
    <d v="2019-06-07T00:00:00"/>
    <x v="4"/>
    <n v="5"/>
    <x v="1"/>
    <x v="2"/>
    <x v="7"/>
    <x v="1"/>
  </r>
  <r>
    <s v="EMP1118"/>
    <s v="Isha Singh"/>
    <n v="47"/>
    <x v="0"/>
    <x v="5"/>
    <s v="Team Lead"/>
    <n v="67834"/>
    <x v="1"/>
    <s v="Divorced"/>
    <d v="2022-06-14T00:00:00"/>
    <x v="5"/>
    <n v="5"/>
    <x v="1"/>
    <x v="2"/>
    <x v="0"/>
    <x v="3"/>
  </r>
  <r>
    <s v="EMP1119"/>
    <s v="Rahul Nanda"/>
    <n v="21"/>
    <x v="1"/>
    <x v="7"/>
    <s v="Team Lead"/>
    <n v="59033"/>
    <x v="2"/>
    <s v="Divorced"/>
    <d v="2020-09-20T00:00:00"/>
    <x v="7"/>
    <n v="2"/>
    <x v="1"/>
    <x v="4"/>
    <x v="2"/>
    <x v="1"/>
  </r>
  <r>
    <s v="EMP1120"/>
    <s v="Tarun Sharma"/>
    <n v="40"/>
    <x v="0"/>
    <x v="4"/>
    <s v="Senior Analyst"/>
    <n v="108388"/>
    <x v="0"/>
    <s v="Married"/>
    <d v="2025-08-28T00:00:00"/>
    <x v="9"/>
    <n v="3"/>
    <x v="0"/>
    <x v="1"/>
    <x v="0"/>
    <x v="0"/>
  </r>
  <r>
    <s v="EMP1121"/>
    <s v="Kavya Nanda"/>
    <n v="53"/>
    <x v="0"/>
    <x v="1"/>
    <s v="Intern"/>
    <n v="58668"/>
    <x v="3"/>
    <s v="Single"/>
    <d v="2019-12-03T00:00:00"/>
    <x v="4"/>
    <n v="11"/>
    <x v="0"/>
    <x v="2"/>
    <x v="2"/>
    <x v="3"/>
  </r>
  <r>
    <s v="EMP1122"/>
    <s v="Karan Reddy"/>
    <n v="32"/>
    <x v="1"/>
    <x v="3"/>
    <s v="Associate"/>
    <n v="113339"/>
    <x v="1"/>
    <s v="Single"/>
    <d v="2017-05-04T00:00:00"/>
    <x v="2"/>
    <n v="6"/>
    <x v="0"/>
    <x v="4"/>
    <x v="4"/>
    <x v="2"/>
  </r>
  <r>
    <s v="EMP1123"/>
    <s v="Amit Reddy"/>
    <n v="29"/>
    <x v="2"/>
    <x v="7"/>
    <s v="Associate"/>
    <n v="41218"/>
    <x v="2"/>
    <s v="Married"/>
    <d v="2024-08-24T00:00:00"/>
    <x v="0"/>
    <n v="3"/>
    <x v="1"/>
    <x v="0"/>
    <x v="6"/>
    <x v="2"/>
  </r>
  <r>
    <s v="EMP1124"/>
    <s v="Neha Pradhan"/>
    <n v="48"/>
    <x v="0"/>
    <x v="4"/>
    <s v="Intern"/>
    <n v="75961"/>
    <x v="3"/>
    <s v="Married"/>
    <d v="2022-10-26T00:00:00"/>
    <x v="5"/>
    <n v="1"/>
    <x v="0"/>
    <x v="4"/>
    <x v="2"/>
    <x v="3"/>
  </r>
  <r>
    <s v="EMP1125"/>
    <s v="Rohit Nanda"/>
    <n v="48"/>
    <x v="0"/>
    <x v="6"/>
    <s v="Associate"/>
    <n v="66331"/>
    <x v="3"/>
    <s v="Single"/>
    <d v="2023-06-01T00:00:00"/>
    <x v="3"/>
    <n v="5"/>
    <x v="0"/>
    <x v="0"/>
    <x v="0"/>
    <x v="3"/>
  </r>
  <r>
    <s v="EMP1126"/>
    <s v="Isha Reddy"/>
    <n v="55"/>
    <x v="2"/>
    <x v="6"/>
    <s v="Associate"/>
    <n v="76947"/>
    <x v="4"/>
    <s v="Divorced"/>
    <d v="2018-04-19T00:00:00"/>
    <x v="1"/>
    <n v="7"/>
    <x v="1"/>
    <x v="0"/>
    <x v="1"/>
    <x v="3"/>
  </r>
  <r>
    <s v="EMP1127"/>
    <s v="Karan Pradhan"/>
    <n v="23"/>
    <x v="1"/>
    <x v="7"/>
    <s v="Intern"/>
    <n v="63015"/>
    <x v="0"/>
    <s v="Divorced"/>
    <d v="2023-06-07T00:00:00"/>
    <x v="3"/>
    <n v="5"/>
    <x v="0"/>
    <x v="2"/>
    <x v="4"/>
    <x v="1"/>
  </r>
  <r>
    <s v="EMP1128"/>
    <s v="Isha Nanda"/>
    <n v="53"/>
    <x v="2"/>
    <x v="5"/>
    <s v="Senior Analyst"/>
    <n v="65696"/>
    <x v="3"/>
    <s v="Married"/>
    <d v="2020-10-08T00:00:00"/>
    <x v="7"/>
    <n v="1"/>
    <x v="1"/>
    <x v="0"/>
    <x v="7"/>
    <x v="3"/>
  </r>
  <r>
    <s v="EMP1129"/>
    <s v="Neha Sharma"/>
    <n v="41"/>
    <x v="0"/>
    <x v="1"/>
    <s v="Senior Analyst"/>
    <n v="55243"/>
    <x v="4"/>
    <s v="Single"/>
    <d v="2019-12-04T00:00:00"/>
    <x v="4"/>
    <n v="11"/>
    <x v="0"/>
    <x v="0"/>
    <x v="5"/>
    <x v="0"/>
  </r>
  <r>
    <s v="EMP1130"/>
    <s v="Neha Patel"/>
    <n v="45"/>
    <x v="0"/>
    <x v="7"/>
    <s v="Team Lead"/>
    <n v="58577"/>
    <x v="2"/>
    <s v="Divorced"/>
    <d v="2025-01-23T00:00:00"/>
    <x v="9"/>
    <n v="10"/>
    <x v="1"/>
    <x v="1"/>
    <x v="2"/>
    <x v="0"/>
  </r>
  <r>
    <s v="EMP1131"/>
    <s v="Tarun Reddy"/>
    <n v="43"/>
    <x v="0"/>
    <x v="3"/>
    <s v="Executive"/>
    <n v="58483"/>
    <x v="1"/>
    <s v="Married"/>
    <d v="2024-10-11T00:00:00"/>
    <x v="0"/>
    <n v="1"/>
    <x v="1"/>
    <x v="1"/>
    <x v="4"/>
    <x v="0"/>
  </r>
  <r>
    <s v="EMP1132"/>
    <s v="Amit Pradhan"/>
    <n v="24"/>
    <x v="1"/>
    <x v="7"/>
    <s v="Associate"/>
    <n v="84543"/>
    <x v="4"/>
    <s v="Divorced"/>
    <d v="2022-02-02T00:00:00"/>
    <x v="5"/>
    <n v="9"/>
    <x v="0"/>
    <x v="4"/>
    <x v="5"/>
    <x v="1"/>
  </r>
  <r>
    <s v="EMP1133"/>
    <s v="Kavya Nanda"/>
    <n v="29"/>
    <x v="0"/>
    <x v="5"/>
    <s v="Associate"/>
    <n v="108812"/>
    <x v="4"/>
    <s v="Single"/>
    <d v="2024-04-09T00:00:00"/>
    <x v="0"/>
    <n v="7"/>
    <x v="1"/>
    <x v="2"/>
    <x v="0"/>
    <x v="2"/>
  </r>
  <r>
    <s v="EMP1134"/>
    <s v="Neha Singh"/>
    <n v="35"/>
    <x v="1"/>
    <x v="2"/>
    <s v="Intern"/>
    <n v="116617"/>
    <x v="2"/>
    <s v="Single"/>
    <d v="2022-03-05T00:00:00"/>
    <x v="5"/>
    <n v="8"/>
    <x v="0"/>
    <x v="4"/>
    <x v="1"/>
    <x v="2"/>
  </r>
  <r>
    <s v="EMP1135"/>
    <s v="Priya Patel"/>
    <n v="56"/>
    <x v="1"/>
    <x v="4"/>
    <s v="Senior Analyst"/>
    <n v="118851"/>
    <x v="2"/>
    <s v="Divorced"/>
    <d v="2022-02-06T00:00:00"/>
    <x v="5"/>
    <n v="9"/>
    <x v="1"/>
    <x v="1"/>
    <x v="4"/>
    <x v="3"/>
  </r>
  <r>
    <s v="EMP1136"/>
    <s v="Kavya Pradhan"/>
    <n v="36"/>
    <x v="0"/>
    <x v="4"/>
    <s v="Team Lead"/>
    <n v="66655"/>
    <x v="0"/>
    <s v="Divorced"/>
    <d v="2025-09-02T00:00:00"/>
    <x v="9"/>
    <n v="2"/>
    <x v="0"/>
    <x v="4"/>
    <x v="2"/>
    <x v="0"/>
  </r>
  <r>
    <s v="EMP1137"/>
    <s v="Amit Patel"/>
    <n v="48"/>
    <x v="2"/>
    <x v="5"/>
    <s v="Manager"/>
    <n v="75340"/>
    <x v="1"/>
    <s v="Married"/>
    <d v="2020-02-08T00:00:00"/>
    <x v="7"/>
    <n v="9"/>
    <x v="0"/>
    <x v="3"/>
    <x v="7"/>
    <x v="3"/>
  </r>
  <r>
    <s v="EMP1138"/>
    <s v="Tarun Reddy"/>
    <n v="43"/>
    <x v="0"/>
    <x v="1"/>
    <s v="Senior Analyst"/>
    <n v="28696"/>
    <x v="1"/>
    <s v="Single"/>
    <d v="2019-10-05T00:00:00"/>
    <x v="4"/>
    <n v="1"/>
    <x v="0"/>
    <x v="4"/>
    <x v="5"/>
    <x v="0"/>
  </r>
  <r>
    <s v="EMP1139"/>
    <s v="Amit Sharma"/>
    <n v="38"/>
    <x v="1"/>
    <x v="5"/>
    <s v="Intern"/>
    <n v="117462"/>
    <x v="2"/>
    <s v="Married"/>
    <d v="2023-02-01T00:00:00"/>
    <x v="3"/>
    <n v="9"/>
    <x v="0"/>
    <x v="2"/>
    <x v="7"/>
    <x v="0"/>
  </r>
  <r>
    <s v="EMP1140"/>
    <s v="Rohit Pradhan"/>
    <n v="29"/>
    <x v="2"/>
    <x v="1"/>
    <s v="Associate"/>
    <n v="32573"/>
    <x v="3"/>
    <s v="Single"/>
    <d v="2019-07-25T00:00:00"/>
    <x v="4"/>
    <n v="4"/>
    <x v="0"/>
    <x v="2"/>
    <x v="4"/>
    <x v="2"/>
  </r>
  <r>
    <s v="EMP1141"/>
    <s v="Tarun Singh"/>
    <n v="49"/>
    <x v="0"/>
    <x v="7"/>
    <s v="Team Lead"/>
    <n v="83513"/>
    <x v="4"/>
    <s v="Single"/>
    <d v="2023-04-10T00:00:00"/>
    <x v="3"/>
    <n v="7"/>
    <x v="0"/>
    <x v="1"/>
    <x v="3"/>
    <x v="3"/>
  </r>
  <r>
    <s v="EMP1142"/>
    <s v="Tarun Sharma"/>
    <n v="42"/>
    <x v="0"/>
    <x v="1"/>
    <s v="Intern"/>
    <n v="42551"/>
    <x v="0"/>
    <s v="Divorced"/>
    <d v="2020-03-25T00:00:00"/>
    <x v="7"/>
    <n v="8"/>
    <x v="0"/>
    <x v="0"/>
    <x v="7"/>
    <x v="0"/>
  </r>
  <r>
    <s v="EMP1143"/>
    <s v="Tarun Mishra"/>
    <n v="50"/>
    <x v="0"/>
    <x v="1"/>
    <s v="Senior Analyst"/>
    <n v="66929"/>
    <x v="0"/>
    <s v="Married"/>
    <d v="2025-01-10T00:00:00"/>
    <x v="9"/>
    <n v="10"/>
    <x v="0"/>
    <x v="4"/>
    <x v="4"/>
    <x v="3"/>
  </r>
  <r>
    <s v="EMP1144"/>
    <s v="Sneha Mishra"/>
    <n v="57"/>
    <x v="2"/>
    <x v="3"/>
    <s v="Manager"/>
    <n v="35486"/>
    <x v="3"/>
    <s v="Divorced"/>
    <d v="2019-12-25T00:00:00"/>
    <x v="4"/>
    <n v="11"/>
    <x v="0"/>
    <x v="3"/>
    <x v="1"/>
    <x v="3"/>
  </r>
  <r>
    <s v="EMP1145"/>
    <s v="Amit Mishra"/>
    <n v="28"/>
    <x v="0"/>
    <x v="4"/>
    <s v="Senior Analyst"/>
    <n v="22847"/>
    <x v="1"/>
    <s v="Single"/>
    <d v="2025-01-21T00:00:00"/>
    <x v="9"/>
    <n v="10"/>
    <x v="0"/>
    <x v="2"/>
    <x v="6"/>
    <x v="2"/>
  </r>
  <r>
    <s v="EMP1146"/>
    <s v="Rohit Reddy"/>
    <n v="45"/>
    <x v="2"/>
    <x v="4"/>
    <s v="Manager"/>
    <n v="51202"/>
    <x v="1"/>
    <s v="Married"/>
    <d v="2020-03-10T00:00:00"/>
    <x v="7"/>
    <n v="8"/>
    <x v="0"/>
    <x v="4"/>
    <x v="3"/>
    <x v="0"/>
  </r>
  <r>
    <s v="EMP1147"/>
    <s v="Sneha Mishra"/>
    <n v="43"/>
    <x v="1"/>
    <x v="1"/>
    <s v="Junior Analyst"/>
    <n v="115426"/>
    <x v="2"/>
    <s v="Married"/>
    <d v="2018-04-13T00:00:00"/>
    <x v="1"/>
    <n v="7"/>
    <x v="1"/>
    <x v="3"/>
    <x v="6"/>
    <x v="0"/>
  </r>
  <r>
    <s v="EMP1148"/>
    <s v="Karan Patel"/>
    <n v="25"/>
    <x v="2"/>
    <x v="1"/>
    <s v="Junior Analyst"/>
    <n v="28345"/>
    <x v="4"/>
    <s v="Single"/>
    <d v="2022-04-21T00:00:00"/>
    <x v="5"/>
    <n v="7"/>
    <x v="1"/>
    <x v="4"/>
    <x v="2"/>
    <x v="1"/>
  </r>
  <r>
    <s v="EMP1149"/>
    <s v="Sneha Patel"/>
    <n v="38"/>
    <x v="1"/>
    <x v="4"/>
    <s v="Intern"/>
    <n v="96986"/>
    <x v="2"/>
    <s v="Single"/>
    <d v="2023-12-03T00:00:00"/>
    <x v="3"/>
    <n v="11"/>
    <x v="1"/>
    <x v="4"/>
    <x v="1"/>
    <x v="0"/>
  </r>
  <r>
    <s v="EMP1150"/>
    <s v="Rahul Singh"/>
    <n v="42"/>
    <x v="2"/>
    <x v="1"/>
    <s v="Intern"/>
    <n v="53986"/>
    <x v="0"/>
    <s v="Single"/>
    <d v="2023-09-18T00:00:00"/>
    <x v="3"/>
    <n v="2"/>
    <x v="1"/>
    <x v="4"/>
    <x v="5"/>
    <x v="0"/>
  </r>
  <r>
    <s v="EMP1151"/>
    <s v="Rahul Pradhan"/>
    <n v="58"/>
    <x v="2"/>
    <x v="4"/>
    <s v="Executive"/>
    <n v="22561"/>
    <x v="0"/>
    <s v="Single"/>
    <d v="2024-11-30T00:00:00"/>
    <x v="0"/>
    <n v="11"/>
    <x v="1"/>
    <x v="4"/>
    <x v="0"/>
    <x v="3"/>
  </r>
  <r>
    <s v="EMP1152"/>
    <s v="Kavya Sharma"/>
    <n v="58"/>
    <x v="0"/>
    <x v="4"/>
    <s v="Senior Analyst"/>
    <n v="66623"/>
    <x v="2"/>
    <s v="Single"/>
    <d v="2022-08-15T00:00:00"/>
    <x v="5"/>
    <n v="3"/>
    <x v="0"/>
    <x v="0"/>
    <x v="6"/>
    <x v="3"/>
  </r>
  <r>
    <s v="EMP1153"/>
    <s v="Tarun Patel"/>
    <n v="37"/>
    <x v="0"/>
    <x v="7"/>
    <s v="Intern"/>
    <n v="21396"/>
    <x v="1"/>
    <s v="Married"/>
    <d v="2021-12-28T00:00:00"/>
    <x v="8"/>
    <n v="11"/>
    <x v="1"/>
    <x v="0"/>
    <x v="2"/>
    <x v="0"/>
  </r>
  <r>
    <s v="EMP1154"/>
    <s v="Rohit Mishra"/>
    <n v="36"/>
    <x v="2"/>
    <x v="4"/>
    <s v="Team Lead"/>
    <n v="46124"/>
    <x v="3"/>
    <s v="Divorced"/>
    <d v="2021-09-10T00:00:00"/>
    <x v="8"/>
    <n v="2"/>
    <x v="0"/>
    <x v="2"/>
    <x v="5"/>
    <x v="0"/>
  </r>
  <r>
    <s v="EMP1155"/>
    <s v="Sneha Nanda"/>
    <n v="31"/>
    <x v="2"/>
    <x v="4"/>
    <s v="Associate"/>
    <n v="29506"/>
    <x v="3"/>
    <s v="Divorced"/>
    <d v="2020-01-31T00:00:00"/>
    <x v="7"/>
    <n v="9"/>
    <x v="0"/>
    <x v="0"/>
    <x v="3"/>
    <x v="2"/>
  </r>
  <r>
    <s v="EMP1156"/>
    <s v="Rohit Mishra"/>
    <n v="30"/>
    <x v="2"/>
    <x v="5"/>
    <s v="Team Lead"/>
    <n v="65381"/>
    <x v="1"/>
    <s v="Single"/>
    <d v="2018-06-10T00:00:00"/>
    <x v="1"/>
    <n v="5"/>
    <x v="0"/>
    <x v="1"/>
    <x v="1"/>
    <x v="2"/>
  </r>
  <r>
    <s v="EMP1157"/>
    <s v="Rahul Patel"/>
    <n v="55"/>
    <x v="2"/>
    <x v="3"/>
    <s v="Associate"/>
    <n v="79263"/>
    <x v="4"/>
    <s v="Single"/>
    <d v="2023-01-18T00:00:00"/>
    <x v="3"/>
    <n v="10"/>
    <x v="0"/>
    <x v="2"/>
    <x v="3"/>
    <x v="3"/>
  </r>
  <r>
    <s v="EMP1158"/>
    <s v="Tarun Singh"/>
    <n v="50"/>
    <x v="2"/>
    <x v="1"/>
    <s v="Junior Analyst"/>
    <n v="118815"/>
    <x v="4"/>
    <s v="Single"/>
    <d v="2017-08-04T00:00:00"/>
    <x v="2"/>
    <n v="3"/>
    <x v="1"/>
    <x v="2"/>
    <x v="1"/>
    <x v="3"/>
  </r>
  <r>
    <s v="EMP1159"/>
    <s v="Isha Singh"/>
    <n v="53"/>
    <x v="1"/>
    <x v="5"/>
    <s v="Intern"/>
    <n v="90260"/>
    <x v="4"/>
    <s v="Single"/>
    <d v="2024-10-17T00:00:00"/>
    <x v="0"/>
    <n v="1"/>
    <x v="0"/>
    <x v="3"/>
    <x v="7"/>
    <x v="3"/>
  </r>
  <r>
    <s v="EMP1160"/>
    <s v="Sneha Reddy"/>
    <n v="29"/>
    <x v="1"/>
    <x v="5"/>
    <s v="Senior Analyst"/>
    <n v="39229"/>
    <x v="1"/>
    <s v="Married"/>
    <d v="2022-01-02T00:00:00"/>
    <x v="5"/>
    <n v="10"/>
    <x v="1"/>
    <x v="2"/>
    <x v="3"/>
    <x v="2"/>
  </r>
  <r>
    <s v="EMP1161"/>
    <s v="Priya Singh"/>
    <n v="55"/>
    <x v="1"/>
    <x v="5"/>
    <s v="Senior Analyst"/>
    <n v="99922"/>
    <x v="4"/>
    <s v="Divorced"/>
    <d v="2017-03-26T00:00:00"/>
    <x v="2"/>
    <n v="8"/>
    <x v="0"/>
    <x v="0"/>
    <x v="5"/>
    <x v="3"/>
  </r>
  <r>
    <s v="EMP1162"/>
    <s v="Amit Singh"/>
    <n v="58"/>
    <x v="1"/>
    <x v="6"/>
    <s v="Manager"/>
    <n v="21718"/>
    <x v="0"/>
    <s v="Divorced"/>
    <d v="2024-10-31T00:00:00"/>
    <x v="0"/>
    <n v="0"/>
    <x v="1"/>
    <x v="1"/>
    <x v="0"/>
    <x v="3"/>
  </r>
  <r>
    <s v="EMP1163"/>
    <s v="Kavya Singh"/>
    <n v="21"/>
    <x v="1"/>
    <x v="2"/>
    <s v="Senior Analyst"/>
    <n v="102136"/>
    <x v="2"/>
    <s v="Single"/>
    <d v="2025-03-18T00:00:00"/>
    <x v="9"/>
    <n v="8"/>
    <x v="1"/>
    <x v="4"/>
    <x v="1"/>
    <x v="1"/>
  </r>
  <r>
    <s v="EMP1164"/>
    <s v="Sneha Singh"/>
    <n v="23"/>
    <x v="0"/>
    <x v="4"/>
    <s v="Junior Analyst"/>
    <n v="72476"/>
    <x v="2"/>
    <s v="Single"/>
    <d v="2020-01-01T00:00:00"/>
    <x v="7"/>
    <n v="10"/>
    <x v="0"/>
    <x v="4"/>
    <x v="6"/>
    <x v="1"/>
  </r>
  <r>
    <s v="EMP1165"/>
    <s v="Neha Nanda"/>
    <n v="28"/>
    <x v="1"/>
    <x v="7"/>
    <s v="Executive"/>
    <n v="59827"/>
    <x v="2"/>
    <s v="Single"/>
    <d v="2019-03-09T00:00:00"/>
    <x v="4"/>
    <n v="8"/>
    <x v="1"/>
    <x v="1"/>
    <x v="5"/>
    <x v="2"/>
  </r>
  <r>
    <s v="EMP1166"/>
    <s v="Sneha Sharma"/>
    <n v="38"/>
    <x v="1"/>
    <x v="1"/>
    <s v="Associate"/>
    <n v="50541"/>
    <x v="1"/>
    <s v="Married"/>
    <d v="2022-08-31T00:00:00"/>
    <x v="5"/>
    <n v="2"/>
    <x v="1"/>
    <x v="1"/>
    <x v="5"/>
    <x v="0"/>
  </r>
  <r>
    <s v="EMP1167"/>
    <s v="Isha Reddy"/>
    <n v="49"/>
    <x v="1"/>
    <x v="2"/>
    <s v="Manager"/>
    <n v="83191"/>
    <x v="0"/>
    <s v="Married"/>
    <d v="2021-11-08T00:00:00"/>
    <x v="8"/>
    <n v="0"/>
    <x v="1"/>
    <x v="1"/>
    <x v="4"/>
    <x v="3"/>
  </r>
  <r>
    <s v="EMP1168"/>
    <s v="Kavya Patel"/>
    <n v="23"/>
    <x v="0"/>
    <x v="2"/>
    <s v="Team Lead"/>
    <n v="82866"/>
    <x v="2"/>
    <s v="Married"/>
    <d v="2022-03-16T00:00:00"/>
    <x v="5"/>
    <n v="8"/>
    <x v="0"/>
    <x v="2"/>
    <x v="0"/>
    <x v="1"/>
  </r>
  <r>
    <s v="EMP1169"/>
    <s v="Amit Patel"/>
    <n v="43"/>
    <x v="1"/>
    <x v="3"/>
    <s v="Junior Analyst"/>
    <n v="23930"/>
    <x v="0"/>
    <s v="Divorced"/>
    <d v="2022-06-27T00:00:00"/>
    <x v="5"/>
    <n v="5"/>
    <x v="0"/>
    <x v="4"/>
    <x v="3"/>
    <x v="0"/>
  </r>
  <r>
    <s v="EMP1170"/>
    <s v="Sneha Nanda"/>
    <n v="52"/>
    <x v="1"/>
    <x v="2"/>
    <s v="Intern"/>
    <n v="99689"/>
    <x v="4"/>
    <s v="Single"/>
    <d v="2017-08-18T00:00:00"/>
    <x v="2"/>
    <n v="3"/>
    <x v="0"/>
    <x v="3"/>
    <x v="6"/>
    <x v="3"/>
  </r>
  <r>
    <s v="EMP1171"/>
    <s v="Neha Reddy"/>
    <n v="43"/>
    <x v="0"/>
    <x v="0"/>
    <s v="Team Lead"/>
    <n v="96966"/>
    <x v="2"/>
    <s v="Divorced"/>
    <d v="2016-08-20T00:00:00"/>
    <x v="6"/>
    <n v="3"/>
    <x v="0"/>
    <x v="2"/>
    <x v="5"/>
    <x v="0"/>
  </r>
  <r>
    <s v="EMP1172"/>
    <s v="Neha Mishra"/>
    <n v="50"/>
    <x v="2"/>
    <x v="4"/>
    <s v="Team Lead"/>
    <n v="37521"/>
    <x v="4"/>
    <s v="Single"/>
    <d v="2019-11-12T00:00:00"/>
    <x v="4"/>
    <n v="0"/>
    <x v="1"/>
    <x v="1"/>
    <x v="0"/>
    <x v="3"/>
  </r>
  <r>
    <s v="EMP1173"/>
    <s v="Kavya Singh"/>
    <n v="39"/>
    <x v="2"/>
    <x v="3"/>
    <s v="Associate"/>
    <n v="84494"/>
    <x v="4"/>
    <s v="Divorced"/>
    <d v="2021-09-05T00:00:00"/>
    <x v="8"/>
    <n v="2"/>
    <x v="1"/>
    <x v="3"/>
    <x v="7"/>
    <x v="0"/>
  </r>
  <r>
    <s v="EMP1174"/>
    <s v="Neha Patel"/>
    <n v="27"/>
    <x v="1"/>
    <x v="2"/>
    <s v="Associate"/>
    <n v="113069"/>
    <x v="0"/>
    <s v="Divorced"/>
    <d v="2021-07-04T00:00:00"/>
    <x v="8"/>
    <n v="4"/>
    <x v="1"/>
    <x v="0"/>
    <x v="4"/>
    <x v="2"/>
  </r>
  <r>
    <s v="EMP1175"/>
    <s v="Rahul Reddy"/>
    <n v="50"/>
    <x v="0"/>
    <x v="1"/>
    <s v="Associate"/>
    <n v="37369"/>
    <x v="1"/>
    <s v="Single"/>
    <d v="2022-08-10T00:00:00"/>
    <x v="5"/>
    <n v="3"/>
    <x v="0"/>
    <x v="1"/>
    <x v="7"/>
    <x v="3"/>
  </r>
  <r>
    <s v="EMP1176"/>
    <s v="Isha Patel"/>
    <n v="46"/>
    <x v="0"/>
    <x v="1"/>
    <s v="Executive"/>
    <n v="108505"/>
    <x v="2"/>
    <s v="Divorced"/>
    <d v="2024-11-16T00:00:00"/>
    <x v="0"/>
    <n v="0"/>
    <x v="1"/>
    <x v="2"/>
    <x v="5"/>
    <x v="3"/>
  </r>
  <r>
    <s v="EMP1177"/>
    <s v="Karan Pradhan"/>
    <n v="55"/>
    <x v="1"/>
    <x v="4"/>
    <s v="Junior Analyst"/>
    <n v="86875"/>
    <x v="3"/>
    <s v="Single"/>
    <d v="2021-05-04T00:00:00"/>
    <x v="8"/>
    <n v="6"/>
    <x v="1"/>
    <x v="0"/>
    <x v="6"/>
    <x v="3"/>
  </r>
  <r>
    <s v="EMP1178"/>
    <s v="Rohit Reddy"/>
    <n v="50"/>
    <x v="0"/>
    <x v="0"/>
    <s v="Team Lead"/>
    <n v="54569"/>
    <x v="3"/>
    <s v="Single"/>
    <d v="2019-07-11T00:00:00"/>
    <x v="4"/>
    <n v="4"/>
    <x v="1"/>
    <x v="1"/>
    <x v="1"/>
    <x v="3"/>
  </r>
  <r>
    <s v="EMP1179"/>
    <s v="Neha Nanda"/>
    <n v="42"/>
    <x v="2"/>
    <x v="2"/>
    <s v="Manager"/>
    <n v="55721"/>
    <x v="4"/>
    <s v="Divorced"/>
    <d v="2022-04-11T00:00:00"/>
    <x v="5"/>
    <n v="7"/>
    <x v="1"/>
    <x v="3"/>
    <x v="6"/>
    <x v="0"/>
  </r>
  <r>
    <s v="EMP1180"/>
    <s v="Amit Patel"/>
    <n v="22"/>
    <x v="1"/>
    <x v="7"/>
    <s v="Junior Analyst"/>
    <n v="63398"/>
    <x v="3"/>
    <s v="Divorced"/>
    <d v="2021-07-23T00:00:00"/>
    <x v="8"/>
    <n v="4"/>
    <x v="0"/>
    <x v="1"/>
    <x v="3"/>
    <x v="1"/>
  </r>
  <r>
    <s v="EMP1181"/>
    <s v="Karan Singh"/>
    <n v="37"/>
    <x v="0"/>
    <x v="7"/>
    <s v="Intern"/>
    <n v="98698"/>
    <x v="4"/>
    <s v="Single"/>
    <d v="2018-11-27T00:00:00"/>
    <x v="1"/>
    <n v="0"/>
    <x v="0"/>
    <x v="0"/>
    <x v="4"/>
    <x v="0"/>
  </r>
  <r>
    <s v="EMP1182"/>
    <s v="Priya Sharma"/>
    <n v="26"/>
    <x v="1"/>
    <x v="3"/>
    <s v="Junior Analyst"/>
    <n v="112025"/>
    <x v="0"/>
    <s v="Divorced"/>
    <d v="2024-10-30T00:00:00"/>
    <x v="0"/>
    <n v="0"/>
    <x v="0"/>
    <x v="2"/>
    <x v="5"/>
    <x v="2"/>
  </r>
  <r>
    <s v="EMP1183"/>
    <s v="Tarun Singh"/>
    <n v="50"/>
    <x v="1"/>
    <x v="0"/>
    <s v="Senior Analyst"/>
    <n v="117078"/>
    <x v="3"/>
    <s v="Married"/>
    <d v="2023-06-06T00:00:00"/>
    <x v="3"/>
    <n v="5"/>
    <x v="0"/>
    <x v="2"/>
    <x v="4"/>
    <x v="3"/>
  </r>
  <r>
    <s v="EMP1184"/>
    <s v="Karan Singh"/>
    <n v="22"/>
    <x v="0"/>
    <x v="1"/>
    <s v="Manager"/>
    <n v="41040"/>
    <x v="2"/>
    <s v="Married"/>
    <d v="2018-04-11T00:00:00"/>
    <x v="1"/>
    <n v="7"/>
    <x v="1"/>
    <x v="2"/>
    <x v="7"/>
    <x v="1"/>
  </r>
  <r>
    <s v="EMP1185"/>
    <s v="Rohit Reddy"/>
    <n v="58"/>
    <x v="0"/>
    <x v="3"/>
    <s v="Junior Analyst"/>
    <n v="55298"/>
    <x v="4"/>
    <s v="Divorced"/>
    <d v="2021-09-22T00:00:00"/>
    <x v="8"/>
    <n v="2"/>
    <x v="0"/>
    <x v="0"/>
    <x v="1"/>
    <x v="3"/>
  </r>
  <r>
    <s v="EMP1186"/>
    <s v="Rohit Pradhan"/>
    <n v="27"/>
    <x v="1"/>
    <x v="5"/>
    <s v="Junior Analyst"/>
    <n v="113829"/>
    <x v="3"/>
    <s v="Divorced"/>
    <d v="2018-04-10T00:00:00"/>
    <x v="1"/>
    <n v="7"/>
    <x v="0"/>
    <x v="4"/>
    <x v="3"/>
    <x v="2"/>
  </r>
  <r>
    <s v="EMP1187"/>
    <s v="Kavya Singh"/>
    <n v="32"/>
    <x v="0"/>
    <x v="1"/>
    <s v="Team Lead"/>
    <n v="74059"/>
    <x v="3"/>
    <s v="Single"/>
    <d v="2020-09-05T00:00:00"/>
    <x v="7"/>
    <n v="2"/>
    <x v="0"/>
    <x v="1"/>
    <x v="5"/>
    <x v="2"/>
  </r>
  <r>
    <s v="EMP1188"/>
    <s v="Isha Patel"/>
    <n v="35"/>
    <x v="0"/>
    <x v="2"/>
    <s v="Executive"/>
    <n v="68275"/>
    <x v="2"/>
    <s v="Married"/>
    <d v="2019-11-19T00:00:00"/>
    <x v="4"/>
    <n v="0"/>
    <x v="1"/>
    <x v="0"/>
    <x v="7"/>
    <x v="2"/>
  </r>
  <r>
    <s v="EMP1189"/>
    <s v="Rohit Singh"/>
    <n v="43"/>
    <x v="2"/>
    <x v="0"/>
    <s v="Intern"/>
    <n v="26142"/>
    <x v="0"/>
    <s v="Married"/>
    <d v="2019-08-17T00:00:00"/>
    <x v="4"/>
    <n v="3"/>
    <x v="0"/>
    <x v="3"/>
    <x v="3"/>
    <x v="0"/>
  </r>
  <r>
    <s v="EMP1190"/>
    <s v="Sneha Singh"/>
    <n v="38"/>
    <x v="1"/>
    <x v="0"/>
    <s v="Executive"/>
    <n v="46721"/>
    <x v="2"/>
    <s v="Single"/>
    <d v="2021-04-15T00:00:00"/>
    <x v="8"/>
    <n v="7"/>
    <x v="1"/>
    <x v="3"/>
    <x v="1"/>
    <x v="0"/>
  </r>
  <r>
    <s v="EMP1191"/>
    <s v="Karan Mishra"/>
    <n v="33"/>
    <x v="0"/>
    <x v="7"/>
    <s v="Junior Analyst"/>
    <n v="86879"/>
    <x v="4"/>
    <s v="Divorced"/>
    <d v="2020-03-29T00:00:00"/>
    <x v="7"/>
    <n v="8"/>
    <x v="0"/>
    <x v="0"/>
    <x v="2"/>
    <x v="2"/>
  </r>
  <r>
    <s v="EMP1192"/>
    <s v="Rahul Mishra"/>
    <n v="55"/>
    <x v="2"/>
    <x v="0"/>
    <s v="Team Lead"/>
    <n v="93065"/>
    <x v="1"/>
    <s v="Single"/>
    <d v="2019-11-12T00:00:00"/>
    <x v="4"/>
    <n v="0"/>
    <x v="1"/>
    <x v="2"/>
    <x v="4"/>
    <x v="3"/>
  </r>
  <r>
    <s v="EMP1193"/>
    <s v="Kavya Nanda"/>
    <n v="25"/>
    <x v="2"/>
    <x v="4"/>
    <s v="Junior Analyst"/>
    <n v="25292"/>
    <x v="1"/>
    <s v="Divorced"/>
    <d v="2020-11-04T00:00:00"/>
    <x v="7"/>
    <n v="0"/>
    <x v="1"/>
    <x v="0"/>
    <x v="7"/>
    <x v="1"/>
  </r>
  <r>
    <s v="EMP1194"/>
    <s v="Karan Nanda"/>
    <n v="39"/>
    <x v="2"/>
    <x v="6"/>
    <s v="Senior Analyst"/>
    <n v="69897"/>
    <x v="0"/>
    <s v="Divorced"/>
    <d v="2018-08-18T00:00:00"/>
    <x v="1"/>
    <n v="3"/>
    <x v="0"/>
    <x v="2"/>
    <x v="0"/>
    <x v="0"/>
  </r>
  <r>
    <s v="EMP1195"/>
    <s v="Neha Singh"/>
    <n v="24"/>
    <x v="2"/>
    <x v="6"/>
    <s v="Junior Analyst"/>
    <n v="27046"/>
    <x v="0"/>
    <s v="Married"/>
    <d v="2020-10-08T00:00:00"/>
    <x v="7"/>
    <n v="1"/>
    <x v="0"/>
    <x v="1"/>
    <x v="0"/>
    <x v="1"/>
  </r>
  <r>
    <s v="EMP1196"/>
    <s v="Neha Nanda"/>
    <n v="48"/>
    <x v="1"/>
    <x v="1"/>
    <s v="Intern"/>
    <n v="28518"/>
    <x v="4"/>
    <s v="Single"/>
    <d v="2023-07-07T00:00:00"/>
    <x v="3"/>
    <n v="4"/>
    <x v="1"/>
    <x v="2"/>
    <x v="5"/>
    <x v="3"/>
  </r>
  <r>
    <s v="EMP1197"/>
    <s v="Karan Nanda"/>
    <n v="53"/>
    <x v="0"/>
    <x v="0"/>
    <s v="Associate"/>
    <n v="18455"/>
    <x v="0"/>
    <s v="Married"/>
    <d v="2021-05-18T00:00:00"/>
    <x v="8"/>
    <n v="6"/>
    <x v="1"/>
    <x v="0"/>
    <x v="0"/>
    <x v="3"/>
  </r>
  <r>
    <s v="EMP1198"/>
    <s v="Priya Pradhan"/>
    <n v="49"/>
    <x v="1"/>
    <x v="5"/>
    <s v="Executive"/>
    <n v="54129"/>
    <x v="0"/>
    <s v="Single"/>
    <d v="2025-04-06T00:00:00"/>
    <x v="9"/>
    <n v="7"/>
    <x v="1"/>
    <x v="0"/>
    <x v="7"/>
    <x v="3"/>
  </r>
  <r>
    <s v="EMP1199"/>
    <s v="Priya Pradhan"/>
    <n v="24"/>
    <x v="0"/>
    <x v="6"/>
    <s v="Team Lead"/>
    <n v="76515"/>
    <x v="0"/>
    <s v="Single"/>
    <d v="2024-06-28T00:00:00"/>
    <x v="0"/>
    <n v="5"/>
    <x v="0"/>
    <x v="3"/>
    <x v="1"/>
    <x v="1"/>
  </r>
  <r>
    <s v="EMP1200"/>
    <s v="Priya Reddy"/>
    <n v="33"/>
    <x v="0"/>
    <x v="5"/>
    <s v="Senior Analyst"/>
    <n v="84046"/>
    <x v="1"/>
    <s v="Divorced"/>
    <d v="2022-08-24T00:00:00"/>
    <x v="5"/>
    <n v="3"/>
    <x v="1"/>
    <x v="0"/>
    <x v="6"/>
    <x v="2"/>
  </r>
  <r>
    <s v="EMP1201"/>
    <s v="Priya Patel"/>
    <n v="29"/>
    <x v="2"/>
    <x v="0"/>
    <s v="Senior Analyst"/>
    <n v="72206"/>
    <x v="3"/>
    <s v="Single"/>
    <d v="2022-06-06T00:00:00"/>
    <x v="5"/>
    <n v="5"/>
    <x v="0"/>
    <x v="3"/>
    <x v="1"/>
    <x v="2"/>
  </r>
  <r>
    <s v="EMP1202"/>
    <s v="Rahul Patel"/>
    <n v="44"/>
    <x v="2"/>
    <x v="3"/>
    <s v="Junior Analyst"/>
    <n v="109266"/>
    <x v="2"/>
    <s v="Single"/>
    <d v="2019-07-20T00:00:00"/>
    <x v="4"/>
    <n v="4"/>
    <x v="1"/>
    <x v="1"/>
    <x v="1"/>
    <x v="0"/>
  </r>
  <r>
    <s v="EMP1203"/>
    <s v="Priya Mishra"/>
    <n v="34"/>
    <x v="1"/>
    <x v="5"/>
    <s v="Manager"/>
    <n v="78689"/>
    <x v="4"/>
    <s v="Married"/>
    <d v="2020-11-09T00:00:00"/>
    <x v="7"/>
    <n v="0"/>
    <x v="0"/>
    <x v="3"/>
    <x v="4"/>
    <x v="2"/>
  </r>
  <r>
    <s v="EMP1204"/>
    <s v="Rohit Pradhan"/>
    <n v="41"/>
    <x v="2"/>
    <x v="7"/>
    <s v="Associate"/>
    <n v="76954"/>
    <x v="3"/>
    <s v="Single"/>
    <d v="2022-03-11T00:00:00"/>
    <x v="5"/>
    <n v="8"/>
    <x v="0"/>
    <x v="2"/>
    <x v="3"/>
    <x v="0"/>
  </r>
  <r>
    <s v="EMP1205"/>
    <s v="Tarun Singh"/>
    <n v="58"/>
    <x v="2"/>
    <x v="6"/>
    <s v="Executive"/>
    <n v="27539"/>
    <x v="4"/>
    <s v="Divorced"/>
    <d v="2023-09-19T00:00:00"/>
    <x v="3"/>
    <n v="2"/>
    <x v="0"/>
    <x v="3"/>
    <x v="4"/>
    <x v="3"/>
  </r>
  <r>
    <s v="EMP1206"/>
    <s v="Neha Patel"/>
    <n v="20"/>
    <x v="0"/>
    <x v="0"/>
    <s v="Manager"/>
    <n v="115186"/>
    <x v="2"/>
    <s v="Single"/>
    <d v="2023-12-27T00:00:00"/>
    <x v="3"/>
    <n v="11"/>
    <x v="0"/>
    <x v="3"/>
    <x v="4"/>
    <x v="1"/>
  </r>
  <r>
    <s v="EMP1207"/>
    <s v="Karan Patel"/>
    <n v="38"/>
    <x v="1"/>
    <x v="4"/>
    <s v="Intern"/>
    <n v="87946"/>
    <x v="3"/>
    <s v="Married"/>
    <d v="2019-02-13T00:00:00"/>
    <x v="4"/>
    <n v="9"/>
    <x v="1"/>
    <x v="0"/>
    <x v="1"/>
    <x v="0"/>
  </r>
  <r>
    <s v="EMP1208"/>
    <s v="Isha Sharma"/>
    <n v="50"/>
    <x v="1"/>
    <x v="0"/>
    <s v="Senior Analyst"/>
    <n v="66589"/>
    <x v="2"/>
    <s v="Single"/>
    <d v="2022-06-30T00:00:00"/>
    <x v="5"/>
    <n v="4"/>
    <x v="0"/>
    <x v="1"/>
    <x v="7"/>
    <x v="3"/>
  </r>
  <r>
    <s v="EMP1209"/>
    <s v="Rohit Reddy"/>
    <n v="57"/>
    <x v="2"/>
    <x v="1"/>
    <s v="Executive"/>
    <n v="56691"/>
    <x v="1"/>
    <s v="Married"/>
    <d v="2018-10-07T00:00:00"/>
    <x v="1"/>
    <n v="1"/>
    <x v="1"/>
    <x v="0"/>
    <x v="4"/>
    <x v="3"/>
  </r>
  <r>
    <s v="EMP1210"/>
    <s v="Isha Reddy"/>
    <n v="41"/>
    <x v="1"/>
    <x v="4"/>
    <s v="Intern"/>
    <n v="112838"/>
    <x v="2"/>
    <s v="Married"/>
    <d v="2018-01-27T00:00:00"/>
    <x v="1"/>
    <n v="10"/>
    <x v="1"/>
    <x v="1"/>
    <x v="5"/>
    <x v="0"/>
  </r>
  <r>
    <s v="EMP1211"/>
    <s v="Karan Nanda"/>
    <n v="31"/>
    <x v="2"/>
    <x v="6"/>
    <s v="Manager"/>
    <n v="86674"/>
    <x v="0"/>
    <s v="Divorced"/>
    <d v="2016-09-23T00:00:00"/>
    <x v="6"/>
    <n v="2"/>
    <x v="0"/>
    <x v="3"/>
    <x v="5"/>
    <x v="2"/>
  </r>
  <r>
    <s v="EMP1212"/>
    <s v="Priya Sharma"/>
    <n v="29"/>
    <x v="0"/>
    <x v="0"/>
    <s v="Junior Analyst"/>
    <n v="84287"/>
    <x v="3"/>
    <s v="Single"/>
    <d v="2023-02-11T00:00:00"/>
    <x v="3"/>
    <n v="9"/>
    <x v="1"/>
    <x v="3"/>
    <x v="7"/>
    <x v="2"/>
  </r>
  <r>
    <s v="EMP1213"/>
    <s v="Rahul Reddy"/>
    <n v="55"/>
    <x v="1"/>
    <x v="6"/>
    <s v="Team Lead"/>
    <n v="20192"/>
    <x v="3"/>
    <s v="Divorced"/>
    <d v="2019-05-27T00:00:00"/>
    <x v="4"/>
    <n v="6"/>
    <x v="0"/>
    <x v="0"/>
    <x v="0"/>
    <x v="3"/>
  </r>
  <r>
    <s v="EMP1214"/>
    <s v="Amit Sharma"/>
    <n v="26"/>
    <x v="2"/>
    <x v="5"/>
    <s v="Executive"/>
    <n v="49584"/>
    <x v="4"/>
    <s v="Divorced"/>
    <d v="2019-01-06T00:00:00"/>
    <x v="4"/>
    <n v="10"/>
    <x v="1"/>
    <x v="4"/>
    <x v="0"/>
    <x v="2"/>
  </r>
  <r>
    <s v="EMP1215"/>
    <s v="Sneha Patel"/>
    <n v="45"/>
    <x v="1"/>
    <x v="0"/>
    <s v="Executive"/>
    <n v="109388"/>
    <x v="3"/>
    <s v="Divorced"/>
    <d v="2025-06-21T00:00:00"/>
    <x v="9"/>
    <n v="5"/>
    <x v="0"/>
    <x v="2"/>
    <x v="2"/>
    <x v="0"/>
  </r>
  <r>
    <s v="EMP1216"/>
    <s v="Tarun Nanda"/>
    <n v="44"/>
    <x v="2"/>
    <x v="4"/>
    <s v="Intern"/>
    <n v="25355"/>
    <x v="0"/>
    <s v="Divorced"/>
    <d v="2018-02-08T00:00:00"/>
    <x v="1"/>
    <n v="9"/>
    <x v="0"/>
    <x v="3"/>
    <x v="0"/>
    <x v="0"/>
  </r>
  <r>
    <s v="EMP1217"/>
    <s v="Neha Reddy"/>
    <n v="26"/>
    <x v="2"/>
    <x v="6"/>
    <s v="Executive"/>
    <n v="48115"/>
    <x v="4"/>
    <s v="Married"/>
    <d v="2019-03-24T00:00:00"/>
    <x v="4"/>
    <n v="8"/>
    <x v="0"/>
    <x v="2"/>
    <x v="3"/>
    <x v="2"/>
  </r>
  <r>
    <s v="EMP1218"/>
    <s v="Karan Reddy"/>
    <n v="22"/>
    <x v="0"/>
    <x v="3"/>
    <s v="Executive"/>
    <n v="20052"/>
    <x v="4"/>
    <s v="Single"/>
    <d v="2024-08-15T00:00:00"/>
    <x v="0"/>
    <n v="3"/>
    <x v="1"/>
    <x v="2"/>
    <x v="3"/>
    <x v="1"/>
  </r>
  <r>
    <s v="EMP1219"/>
    <s v="Amit Reddy"/>
    <n v="35"/>
    <x v="2"/>
    <x v="1"/>
    <s v="Team Lead"/>
    <n v="106740"/>
    <x v="3"/>
    <s v="Married"/>
    <d v="2024-08-28T00:00:00"/>
    <x v="0"/>
    <n v="3"/>
    <x v="0"/>
    <x v="2"/>
    <x v="6"/>
    <x v="2"/>
  </r>
  <r>
    <s v="EMP1220"/>
    <s v="Rahul Sharma"/>
    <n v="47"/>
    <x v="0"/>
    <x v="7"/>
    <s v="Team Lead"/>
    <n v="62642"/>
    <x v="4"/>
    <s v="Divorced"/>
    <d v="2020-08-19T00:00:00"/>
    <x v="7"/>
    <n v="3"/>
    <x v="1"/>
    <x v="2"/>
    <x v="3"/>
    <x v="3"/>
  </r>
  <r>
    <s v="EMP1221"/>
    <s v="Isha Nanda"/>
    <n v="34"/>
    <x v="1"/>
    <x v="1"/>
    <s v="Executive"/>
    <n v="74603"/>
    <x v="4"/>
    <s v="Divorced"/>
    <d v="2020-06-12T00:00:00"/>
    <x v="7"/>
    <n v="5"/>
    <x v="0"/>
    <x v="0"/>
    <x v="3"/>
    <x v="2"/>
  </r>
  <r>
    <s v="EMP1222"/>
    <s v="Priya Singh"/>
    <n v="24"/>
    <x v="0"/>
    <x v="2"/>
    <s v="Junior Analyst"/>
    <n v="38214"/>
    <x v="1"/>
    <s v="Divorced"/>
    <d v="2020-07-21T00:00:00"/>
    <x v="7"/>
    <n v="4"/>
    <x v="1"/>
    <x v="4"/>
    <x v="2"/>
    <x v="1"/>
  </r>
  <r>
    <s v="EMP1223"/>
    <s v="Sneha Sharma"/>
    <n v="39"/>
    <x v="1"/>
    <x v="3"/>
    <s v="Senior Analyst"/>
    <n v="117791"/>
    <x v="0"/>
    <s v="Single"/>
    <d v="2017-03-01T00:00:00"/>
    <x v="2"/>
    <n v="8"/>
    <x v="0"/>
    <x v="3"/>
    <x v="1"/>
    <x v="0"/>
  </r>
  <r>
    <s v="EMP1224"/>
    <s v="Karan Reddy"/>
    <n v="52"/>
    <x v="1"/>
    <x v="7"/>
    <s v="Manager"/>
    <n v="21442"/>
    <x v="3"/>
    <s v="Divorced"/>
    <d v="2017-03-25T00:00:00"/>
    <x v="2"/>
    <n v="8"/>
    <x v="1"/>
    <x v="3"/>
    <x v="7"/>
    <x v="3"/>
  </r>
  <r>
    <s v="EMP1225"/>
    <s v="Rohit Nanda"/>
    <n v="44"/>
    <x v="0"/>
    <x v="0"/>
    <s v="Team Lead"/>
    <n v="92967"/>
    <x v="1"/>
    <s v="Divorced"/>
    <d v="2020-06-15T00:00:00"/>
    <x v="7"/>
    <n v="5"/>
    <x v="0"/>
    <x v="1"/>
    <x v="3"/>
    <x v="0"/>
  </r>
  <r>
    <s v="EMP1226"/>
    <s v="Rohit Patel"/>
    <n v="51"/>
    <x v="0"/>
    <x v="7"/>
    <s v="Junior Analyst"/>
    <n v="39916"/>
    <x v="3"/>
    <s v="Married"/>
    <d v="2019-07-19T00:00:00"/>
    <x v="4"/>
    <n v="4"/>
    <x v="1"/>
    <x v="2"/>
    <x v="6"/>
    <x v="3"/>
  </r>
  <r>
    <s v="EMP1227"/>
    <s v="Rohit Pradhan"/>
    <n v="51"/>
    <x v="2"/>
    <x v="0"/>
    <s v="Manager"/>
    <n v="78012"/>
    <x v="1"/>
    <s v="Married"/>
    <d v="2016-04-05T00:00:00"/>
    <x v="6"/>
    <n v="7"/>
    <x v="1"/>
    <x v="4"/>
    <x v="0"/>
    <x v="3"/>
  </r>
  <r>
    <s v="EMP1228"/>
    <s v="Neha Nanda"/>
    <n v="41"/>
    <x v="1"/>
    <x v="5"/>
    <s v="Senior Analyst"/>
    <n v="57378"/>
    <x v="4"/>
    <s v="Divorced"/>
    <d v="2018-06-09T00:00:00"/>
    <x v="1"/>
    <n v="5"/>
    <x v="1"/>
    <x v="4"/>
    <x v="5"/>
    <x v="0"/>
  </r>
  <r>
    <s v="EMP1229"/>
    <s v="Tarun Patel"/>
    <n v="38"/>
    <x v="2"/>
    <x v="4"/>
    <s v="Associate"/>
    <n v="93481"/>
    <x v="1"/>
    <s v="Married"/>
    <d v="2020-05-27T00:00:00"/>
    <x v="7"/>
    <n v="6"/>
    <x v="1"/>
    <x v="3"/>
    <x v="6"/>
    <x v="0"/>
  </r>
  <r>
    <s v="EMP1230"/>
    <s v="Sneha Reddy"/>
    <n v="32"/>
    <x v="2"/>
    <x v="5"/>
    <s v="Associate"/>
    <n v="107353"/>
    <x v="4"/>
    <s v="Single"/>
    <d v="2024-05-04T00:00:00"/>
    <x v="0"/>
    <n v="6"/>
    <x v="1"/>
    <x v="1"/>
    <x v="1"/>
    <x v="2"/>
  </r>
  <r>
    <s v="EMP1231"/>
    <s v="Rohit Mishra"/>
    <n v="24"/>
    <x v="1"/>
    <x v="4"/>
    <s v="Intern"/>
    <n v="36242"/>
    <x v="3"/>
    <s v="Single"/>
    <d v="2019-01-07T00:00:00"/>
    <x v="4"/>
    <n v="10"/>
    <x v="0"/>
    <x v="3"/>
    <x v="0"/>
    <x v="1"/>
  </r>
  <r>
    <s v="EMP1232"/>
    <s v="Sneha Nanda"/>
    <n v="58"/>
    <x v="1"/>
    <x v="1"/>
    <s v="Team Lead"/>
    <n v="88040"/>
    <x v="2"/>
    <s v="Divorced"/>
    <d v="2016-08-06T00:00:00"/>
    <x v="6"/>
    <n v="3"/>
    <x v="1"/>
    <x v="0"/>
    <x v="2"/>
    <x v="3"/>
  </r>
  <r>
    <s v="EMP1233"/>
    <s v="Sneha Mishra"/>
    <n v="35"/>
    <x v="2"/>
    <x v="3"/>
    <s v="Intern"/>
    <n v="39802"/>
    <x v="4"/>
    <s v="Single"/>
    <d v="2022-07-02T00:00:00"/>
    <x v="5"/>
    <n v="4"/>
    <x v="1"/>
    <x v="4"/>
    <x v="0"/>
    <x v="2"/>
  </r>
  <r>
    <s v="EMP1234"/>
    <s v="Sneha Sharma"/>
    <n v="26"/>
    <x v="1"/>
    <x v="0"/>
    <s v="Intern"/>
    <n v="84935"/>
    <x v="4"/>
    <s v="Divorced"/>
    <d v="2022-09-11T00:00:00"/>
    <x v="5"/>
    <n v="2"/>
    <x v="0"/>
    <x v="3"/>
    <x v="6"/>
    <x v="2"/>
  </r>
  <r>
    <s v="EMP1235"/>
    <s v="Tarun Nanda"/>
    <n v="57"/>
    <x v="2"/>
    <x v="5"/>
    <s v="Manager"/>
    <n v="63215"/>
    <x v="2"/>
    <s v="Single"/>
    <d v="2019-07-02T00:00:00"/>
    <x v="4"/>
    <n v="4"/>
    <x v="1"/>
    <x v="2"/>
    <x v="2"/>
    <x v="3"/>
  </r>
  <r>
    <s v="EMP1236"/>
    <s v="Amit Patel"/>
    <n v="39"/>
    <x v="1"/>
    <x v="4"/>
    <s v="Team Lead"/>
    <n v="45114"/>
    <x v="2"/>
    <s v="Married"/>
    <d v="2021-07-11T00:00:00"/>
    <x v="8"/>
    <n v="4"/>
    <x v="0"/>
    <x v="3"/>
    <x v="1"/>
    <x v="0"/>
  </r>
  <r>
    <s v="EMP1237"/>
    <s v="Neha Sharma"/>
    <n v="39"/>
    <x v="0"/>
    <x v="7"/>
    <s v="Associate"/>
    <n v="20960"/>
    <x v="3"/>
    <s v="Divorced"/>
    <d v="2017-05-30T00:00:00"/>
    <x v="2"/>
    <n v="5"/>
    <x v="0"/>
    <x v="1"/>
    <x v="5"/>
    <x v="0"/>
  </r>
  <r>
    <s v="EMP1238"/>
    <s v="Karan Pradhan"/>
    <n v="41"/>
    <x v="2"/>
    <x v="1"/>
    <s v="Executive"/>
    <n v="78562"/>
    <x v="2"/>
    <s v="Divorced"/>
    <d v="2018-04-03T00:00:00"/>
    <x v="1"/>
    <n v="7"/>
    <x v="0"/>
    <x v="3"/>
    <x v="0"/>
    <x v="0"/>
  </r>
  <r>
    <s v="EMP1239"/>
    <s v="Rahul Singh"/>
    <n v="32"/>
    <x v="1"/>
    <x v="1"/>
    <s v="Manager"/>
    <n v="68965"/>
    <x v="1"/>
    <s v="Single"/>
    <d v="2019-04-23T00:00:00"/>
    <x v="4"/>
    <n v="7"/>
    <x v="0"/>
    <x v="0"/>
    <x v="2"/>
    <x v="2"/>
  </r>
  <r>
    <s v="EMP1240"/>
    <s v="Karan Pradhan"/>
    <n v="43"/>
    <x v="1"/>
    <x v="0"/>
    <s v="Manager"/>
    <n v="77972"/>
    <x v="3"/>
    <s v="Divorced"/>
    <d v="2025-11-10T00:00:00"/>
    <x v="9"/>
    <n v="0"/>
    <x v="1"/>
    <x v="0"/>
    <x v="6"/>
    <x v="0"/>
  </r>
  <r>
    <s v="EMP1241"/>
    <s v="Kavya Nanda"/>
    <n v="45"/>
    <x v="2"/>
    <x v="7"/>
    <s v="Senior Analyst"/>
    <n v="63603"/>
    <x v="2"/>
    <s v="Divorced"/>
    <d v="2018-02-13T00:00:00"/>
    <x v="1"/>
    <n v="9"/>
    <x v="1"/>
    <x v="0"/>
    <x v="2"/>
    <x v="0"/>
  </r>
  <r>
    <s v="EMP1242"/>
    <s v="Amit Patel"/>
    <n v="27"/>
    <x v="0"/>
    <x v="2"/>
    <s v="Executive"/>
    <n v="33328"/>
    <x v="3"/>
    <s v="Divorced"/>
    <d v="2017-10-09T00:00:00"/>
    <x v="2"/>
    <n v="1"/>
    <x v="1"/>
    <x v="3"/>
    <x v="5"/>
    <x v="2"/>
  </r>
  <r>
    <s v="EMP1243"/>
    <s v="Kavya Nanda"/>
    <n v="47"/>
    <x v="0"/>
    <x v="4"/>
    <s v="Team Lead"/>
    <n v="101296"/>
    <x v="1"/>
    <s v="Divorced"/>
    <d v="2018-01-21T00:00:00"/>
    <x v="1"/>
    <n v="10"/>
    <x v="1"/>
    <x v="4"/>
    <x v="5"/>
    <x v="3"/>
  </r>
  <r>
    <s v="EMP1244"/>
    <s v="Amit Patel"/>
    <n v="48"/>
    <x v="2"/>
    <x v="6"/>
    <s v="Manager"/>
    <n v="65059"/>
    <x v="2"/>
    <s v="Single"/>
    <d v="2018-05-17T00:00:00"/>
    <x v="1"/>
    <n v="6"/>
    <x v="1"/>
    <x v="0"/>
    <x v="1"/>
    <x v="3"/>
  </r>
  <r>
    <s v="EMP1245"/>
    <s v="Tarun Singh"/>
    <n v="51"/>
    <x v="1"/>
    <x v="4"/>
    <s v="Executive"/>
    <n v="82054"/>
    <x v="0"/>
    <s v="Divorced"/>
    <d v="2016-07-13T00:00:00"/>
    <x v="6"/>
    <n v="4"/>
    <x v="0"/>
    <x v="4"/>
    <x v="7"/>
    <x v="3"/>
  </r>
  <r>
    <s v="EMP1246"/>
    <s v="Rohit Pradhan"/>
    <n v="54"/>
    <x v="1"/>
    <x v="5"/>
    <s v="Team Lead"/>
    <n v="77942"/>
    <x v="2"/>
    <s v="Divorced"/>
    <d v="2021-11-30T00:00:00"/>
    <x v="8"/>
    <n v="11"/>
    <x v="0"/>
    <x v="0"/>
    <x v="2"/>
    <x v="3"/>
  </r>
  <r>
    <s v="EMP1247"/>
    <s v="Rohit Mishra"/>
    <n v="54"/>
    <x v="1"/>
    <x v="6"/>
    <s v="Intern"/>
    <n v="117615"/>
    <x v="2"/>
    <s v="Divorced"/>
    <d v="2018-08-21T00:00:00"/>
    <x v="1"/>
    <n v="3"/>
    <x v="1"/>
    <x v="2"/>
    <x v="4"/>
    <x v="3"/>
  </r>
  <r>
    <s v="EMP1248"/>
    <s v="Rohit Mishra"/>
    <n v="22"/>
    <x v="1"/>
    <x v="2"/>
    <s v="Associate"/>
    <n v="63688"/>
    <x v="0"/>
    <s v="Married"/>
    <d v="2025-11-21T00:00:00"/>
    <x v="9"/>
    <n v="0"/>
    <x v="0"/>
    <x v="1"/>
    <x v="4"/>
    <x v="1"/>
  </r>
  <r>
    <s v="EMP1249"/>
    <s v="Kavya Singh"/>
    <n v="42"/>
    <x v="2"/>
    <x v="1"/>
    <s v="Team Lead"/>
    <n v="39755"/>
    <x v="1"/>
    <s v="Single"/>
    <d v="2025-04-23T00:00:00"/>
    <x v="9"/>
    <n v="7"/>
    <x v="0"/>
    <x v="2"/>
    <x v="6"/>
    <x v="0"/>
  </r>
  <r>
    <s v="EMP1250"/>
    <s v="Karan Patel"/>
    <n v="58"/>
    <x v="2"/>
    <x v="5"/>
    <s v="Intern"/>
    <n v="60421"/>
    <x v="3"/>
    <s v="Married"/>
    <d v="2022-08-10T00:00:00"/>
    <x v="5"/>
    <n v="3"/>
    <x v="1"/>
    <x v="0"/>
    <x v="2"/>
    <x v="3"/>
  </r>
  <r>
    <s v="EMP1251"/>
    <s v="Amit Mishra"/>
    <n v="46"/>
    <x v="0"/>
    <x v="2"/>
    <s v="Executive"/>
    <n v="103969"/>
    <x v="1"/>
    <s v="Single"/>
    <d v="2017-10-29T00:00:00"/>
    <x v="2"/>
    <n v="1"/>
    <x v="1"/>
    <x v="1"/>
    <x v="0"/>
    <x v="3"/>
  </r>
  <r>
    <s v="EMP1252"/>
    <s v="Isha Pradhan"/>
    <n v="56"/>
    <x v="2"/>
    <x v="2"/>
    <s v="Junior Analyst"/>
    <n v="100288"/>
    <x v="2"/>
    <s v="Married"/>
    <d v="2017-01-12T00:00:00"/>
    <x v="2"/>
    <n v="10"/>
    <x v="0"/>
    <x v="3"/>
    <x v="3"/>
    <x v="3"/>
  </r>
  <r>
    <s v="EMP1253"/>
    <s v="Neha Nanda"/>
    <n v="51"/>
    <x v="1"/>
    <x v="6"/>
    <s v="Associate"/>
    <n v="119467"/>
    <x v="0"/>
    <s v="Divorced"/>
    <d v="2021-04-29T00:00:00"/>
    <x v="8"/>
    <n v="7"/>
    <x v="1"/>
    <x v="2"/>
    <x v="0"/>
    <x v="3"/>
  </r>
  <r>
    <s v="EMP1254"/>
    <s v="Priya Nanda"/>
    <n v="33"/>
    <x v="1"/>
    <x v="2"/>
    <s v="Associate"/>
    <n v="60318"/>
    <x v="3"/>
    <s v="Married"/>
    <d v="2022-04-28T00:00:00"/>
    <x v="5"/>
    <n v="7"/>
    <x v="0"/>
    <x v="0"/>
    <x v="1"/>
    <x v="2"/>
  </r>
  <r>
    <s v="EMP1255"/>
    <s v="Neha Singh"/>
    <n v="23"/>
    <x v="0"/>
    <x v="7"/>
    <s v="Associate"/>
    <n v="100074"/>
    <x v="2"/>
    <s v="Single"/>
    <d v="2017-07-30T00:00:00"/>
    <x v="2"/>
    <n v="3"/>
    <x v="0"/>
    <x v="3"/>
    <x v="1"/>
    <x v="1"/>
  </r>
  <r>
    <s v="EMP1256"/>
    <s v="Rahul Nanda"/>
    <n v="32"/>
    <x v="2"/>
    <x v="5"/>
    <s v="Senior Analyst"/>
    <n v="103196"/>
    <x v="1"/>
    <s v="Married"/>
    <d v="2017-03-26T00:00:00"/>
    <x v="2"/>
    <n v="8"/>
    <x v="1"/>
    <x v="4"/>
    <x v="2"/>
    <x v="2"/>
  </r>
  <r>
    <s v="EMP1257"/>
    <s v="Neha Singh"/>
    <n v="30"/>
    <x v="0"/>
    <x v="1"/>
    <s v="Senior Analyst"/>
    <n v="99999"/>
    <x v="1"/>
    <s v="Married"/>
    <d v="2023-07-15T00:00:00"/>
    <x v="3"/>
    <n v="4"/>
    <x v="0"/>
    <x v="2"/>
    <x v="7"/>
    <x v="2"/>
  </r>
  <r>
    <s v="EMP1258"/>
    <s v="Priya Nanda"/>
    <n v="24"/>
    <x v="0"/>
    <x v="0"/>
    <s v="Intern"/>
    <n v="86084"/>
    <x v="2"/>
    <s v="Single"/>
    <d v="2016-04-11T00:00:00"/>
    <x v="6"/>
    <n v="7"/>
    <x v="1"/>
    <x v="2"/>
    <x v="0"/>
    <x v="1"/>
  </r>
  <r>
    <s v="EMP1259"/>
    <s v="Amit Nanda"/>
    <n v="24"/>
    <x v="0"/>
    <x v="1"/>
    <s v="Intern"/>
    <n v="29708"/>
    <x v="0"/>
    <s v="Single"/>
    <d v="2019-09-13T00:00:00"/>
    <x v="4"/>
    <n v="2"/>
    <x v="1"/>
    <x v="4"/>
    <x v="5"/>
    <x v="1"/>
  </r>
  <r>
    <s v="EMP1260"/>
    <s v="Tarun Mishra"/>
    <n v="28"/>
    <x v="2"/>
    <x v="5"/>
    <s v="Team Lead"/>
    <n v="26966"/>
    <x v="4"/>
    <s v="Single"/>
    <d v="2023-01-11T00:00:00"/>
    <x v="3"/>
    <n v="10"/>
    <x v="0"/>
    <x v="3"/>
    <x v="6"/>
    <x v="2"/>
  </r>
  <r>
    <s v="EMP1261"/>
    <s v="Priya Singh"/>
    <n v="29"/>
    <x v="1"/>
    <x v="4"/>
    <s v="Manager"/>
    <n v="46474"/>
    <x v="0"/>
    <s v="Single"/>
    <d v="2024-08-16T00:00:00"/>
    <x v="0"/>
    <n v="3"/>
    <x v="0"/>
    <x v="0"/>
    <x v="0"/>
    <x v="2"/>
  </r>
  <r>
    <s v="EMP1262"/>
    <s v="Neha Nanda"/>
    <n v="40"/>
    <x v="0"/>
    <x v="0"/>
    <s v="Intern"/>
    <n v="54302"/>
    <x v="0"/>
    <s v="Single"/>
    <d v="2022-05-23T00:00:00"/>
    <x v="5"/>
    <n v="6"/>
    <x v="1"/>
    <x v="2"/>
    <x v="3"/>
    <x v="0"/>
  </r>
  <r>
    <s v="EMP1263"/>
    <s v="Priya Reddy"/>
    <n v="58"/>
    <x v="2"/>
    <x v="0"/>
    <s v="Junior Analyst"/>
    <n v="116021"/>
    <x v="3"/>
    <s v="Divorced"/>
    <d v="2016-10-18T00:00:00"/>
    <x v="6"/>
    <n v="1"/>
    <x v="0"/>
    <x v="3"/>
    <x v="0"/>
    <x v="3"/>
  </r>
  <r>
    <s v="EMP1264"/>
    <s v="Sneha Pradhan"/>
    <n v="51"/>
    <x v="2"/>
    <x v="7"/>
    <s v="Manager"/>
    <n v="87243"/>
    <x v="3"/>
    <s v="Married"/>
    <d v="2017-08-31T00:00:00"/>
    <x v="2"/>
    <n v="2"/>
    <x v="1"/>
    <x v="0"/>
    <x v="0"/>
    <x v="3"/>
  </r>
  <r>
    <s v="EMP1265"/>
    <s v="Neha Reddy"/>
    <n v="31"/>
    <x v="1"/>
    <x v="7"/>
    <s v="Team Lead"/>
    <n v="20187"/>
    <x v="0"/>
    <s v="Single"/>
    <d v="2019-02-15T00:00:00"/>
    <x v="4"/>
    <n v="9"/>
    <x v="0"/>
    <x v="2"/>
    <x v="7"/>
    <x v="2"/>
  </r>
  <r>
    <s v="EMP1266"/>
    <s v="Tarun Reddy"/>
    <n v="38"/>
    <x v="2"/>
    <x v="1"/>
    <s v="Intern"/>
    <n v="73518"/>
    <x v="2"/>
    <s v="Single"/>
    <d v="2023-05-15T00:00:00"/>
    <x v="3"/>
    <n v="6"/>
    <x v="0"/>
    <x v="4"/>
    <x v="2"/>
    <x v="0"/>
  </r>
  <r>
    <s v="EMP1267"/>
    <s v="Rohit Sharma"/>
    <n v="52"/>
    <x v="0"/>
    <x v="5"/>
    <s v="Senior Analyst"/>
    <n v="88305"/>
    <x v="2"/>
    <s v="Divorced"/>
    <d v="2023-04-20T00:00:00"/>
    <x v="3"/>
    <n v="7"/>
    <x v="0"/>
    <x v="4"/>
    <x v="0"/>
    <x v="3"/>
  </r>
  <r>
    <s v="EMP1268"/>
    <s v="Priya Sharma"/>
    <n v="35"/>
    <x v="0"/>
    <x v="1"/>
    <s v="Junior Analyst"/>
    <n v="33202"/>
    <x v="4"/>
    <s v="Divorced"/>
    <d v="2016-10-20T00:00:00"/>
    <x v="6"/>
    <n v="1"/>
    <x v="1"/>
    <x v="1"/>
    <x v="2"/>
    <x v="2"/>
  </r>
  <r>
    <s v="EMP1269"/>
    <s v="Rahul Singh"/>
    <n v="28"/>
    <x v="2"/>
    <x v="6"/>
    <s v="Junior Analyst"/>
    <n v="39473"/>
    <x v="3"/>
    <s v="Divorced"/>
    <d v="2021-12-26T00:00:00"/>
    <x v="8"/>
    <n v="11"/>
    <x v="1"/>
    <x v="1"/>
    <x v="6"/>
    <x v="2"/>
  </r>
  <r>
    <s v="EMP1270"/>
    <s v="Amit Singh"/>
    <n v="37"/>
    <x v="2"/>
    <x v="7"/>
    <s v="Manager"/>
    <n v="119112"/>
    <x v="3"/>
    <s v="Married"/>
    <d v="2019-03-28T00:00:00"/>
    <x v="4"/>
    <n v="8"/>
    <x v="0"/>
    <x v="4"/>
    <x v="2"/>
    <x v="0"/>
  </r>
  <r>
    <s v="EMP1271"/>
    <s v="Isha Nanda"/>
    <n v="52"/>
    <x v="1"/>
    <x v="6"/>
    <s v="Associate"/>
    <n v="83484"/>
    <x v="4"/>
    <s v="Single"/>
    <d v="2020-04-23T00:00:00"/>
    <x v="7"/>
    <n v="7"/>
    <x v="0"/>
    <x v="4"/>
    <x v="2"/>
    <x v="3"/>
  </r>
  <r>
    <s v="EMP1272"/>
    <s v="Kavya Singh"/>
    <n v="27"/>
    <x v="0"/>
    <x v="6"/>
    <s v="Associate"/>
    <n v="23772"/>
    <x v="0"/>
    <s v="Single"/>
    <d v="2016-09-13T00:00:00"/>
    <x v="6"/>
    <n v="2"/>
    <x v="1"/>
    <x v="4"/>
    <x v="0"/>
    <x v="2"/>
  </r>
  <r>
    <s v="EMP1273"/>
    <s v="Amit Pradhan"/>
    <n v="22"/>
    <x v="2"/>
    <x v="1"/>
    <s v="Senior Analyst"/>
    <n v="47427"/>
    <x v="1"/>
    <s v="Married"/>
    <d v="2024-04-06T00:00:00"/>
    <x v="0"/>
    <n v="7"/>
    <x v="1"/>
    <x v="4"/>
    <x v="2"/>
    <x v="1"/>
  </r>
  <r>
    <s v="EMP1274"/>
    <s v="Kavya Patel"/>
    <n v="27"/>
    <x v="2"/>
    <x v="6"/>
    <s v="Executive"/>
    <n v="41507"/>
    <x v="4"/>
    <s v="Single"/>
    <d v="2020-09-06T00:00:00"/>
    <x v="7"/>
    <n v="2"/>
    <x v="0"/>
    <x v="3"/>
    <x v="3"/>
    <x v="2"/>
  </r>
  <r>
    <s v="EMP1275"/>
    <s v="Rohit Patel"/>
    <n v="25"/>
    <x v="2"/>
    <x v="4"/>
    <s v="Senior Analyst"/>
    <n v="19044"/>
    <x v="1"/>
    <s v="Married"/>
    <d v="2022-07-05T00:00:00"/>
    <x v="5"/>
    <n v="4"/>
    <x v="1"/>
    <x v="0"/>
    <x v="4"/>
    <x v="1"/>
  </r>
  <r>
    <s v="EMP1276"/>
    <s v="Isha Patel"/>
    <n v="57"/>
    <x v="1"/>
    <x v="0"/>
    <s v="Team Lead"/>
    <n v="114005"/>
    <x v="1"/>
    <s v="Single"/>
    <d v="2016-04-04T00:00:00"/>
    <x v="6"/>
    <n v="7"/>
    <x v="1"/>
    <x v="2"/>
    <x v="4"/>
    <x v="3"/>
  </r>
  <r>
    <s v="EMP1277"/>
    <s v="Karan Patel"/>
    <n v="20"/>
    <x v="1"/>
    <x v="6"/>
    <s v="Intern"/>
    <n v="117474"/>
    <x v="2"/>
    <s v="Divorced"/>
    <d v="2024-05-04T00:00:00"/>
    <x v="0"/>
    <n v="6"/>
    <x v="1"/>
    <x v="2"/>
    <x v="4"/>
    <x v="1"/>
  </r>
  <r>
    <s v="EMP1278"/>
    <s v="Karan Pradhan"/>
    <n v="46"/>
    <x v="1"/>
    <x v="6"/>
    <s v="Intern"/>
    <n v="36661"/>
    <x v="3"/>
    <s v="Single"/>
    <d v="2016-09-04T00:00:00"/>
    <x v="6"/>
    <n v="2"/>
    <x v="0"/>
    <x v="0"/>
    <x v="0"/>
    <x v="3"/>
  </r>
  <r>
    <s v="EMP1279"/>
    <s v="Neha Nanda"/>
    <n v="25"/>
    <x v="2"/>
    <x v="7"/>
    <s v="Executive"/>
    <n v="84247"/>
    <x v="2"/>
    <s v="Single"/>
    <d v="2022-10-28T00:00:00"/>
    <x v="5"/>
    <n v="1"/>
    <x v="0"/>
    <x v="3"/>
    <x v="5"/>
    <x v="1"/>
  </r>
  <r>
    <s v="EMP1280"/>
    <s v="Priya Patel"/>
    <n v="36"/>
    <x v="1"/>
    <x v="1"/>
    <s v="Associate"/>
    <n v="109845"/>
    <x v="3"/>
    <s v="Married"/>
    <d v="2021-04-06T00:00:00"/>
    <x v="8"/>
    <n v="7"/>
    <x v="1"/>
    <x v="1"/>
    <x v="2"/>
    <x v="0"/>
  </r>
  <r>
    <s v="EMP1281"/>
    <s v="Priya Pradhan"/>
    <n v="57"/>
    <x v="0"/>
    <x v="5"/>
    <s v="Executive"/>
    <n v="31848"/>
    <x v="2"/>
    <s v="Married"/>
    <d v="2019-09-16T00:00:00"/>
    <x v="4"/>
    <n v="2"/>
    <x v="1"/>
    <x v="2"/>
    <x v="6"/>
    <x v="3"/>
  </r>
  <r>
    <s v="EMP1282"/>
    <s v="Priya Nanda"/>
    <n v="39"/>
    <x v="1"/>
    <x v="2"/>
    <s v="Manager"/>
    <n v="33717"/>
    <x v="1"/>
    <s v="Divorced"/>
    <d v="2019-08-07T00:00:00"/>
    <x v="4"/>
    <n v="3"/>
    <x v="0"/>
    <x v="1"/>
    <x v="6"/>
    <x v="0"/>
  </r>
  <r>
    <s v="EMP1283"/>
    <s v="Amit Sharma"/>
    <n v="35"/>
    <x v="1"/>
    <x v="1"/>
    <s v="Manager"/>
    <n v="85300"/>
    <x v="3"/>
    <s v="Married"/>
    <d v="2025-05-20T00:00:00"/>
    <x v="9"/>
    <n v="6"/>
    <x v="0"/>
    <x v="2"/>
    <x v="0"/>
    <x v="2"/>
  </r>
  <r>
    <s v="EMP1284"/>
    <s v="Isha Reddy"/>
    <n v="55"/>
    <x v="0"/>
    <x v="7"/>
    <s v="Manager"/>
    <n v="78560"/>
    <x v="1"/>
    <s v="Single"/>
    <d v="2016-04-26T00:00:00"/>
    <x v="6"/>
    <n v="7"/>
    <x v="0"/>
    <x v="1"/>
    <x v="5"/>
    <x v="3"/>
  </r>
  <r>
    <s v="EMP1285"/>
    <s v="Priya Mishra"/>
    <n v="45"/>
    <x v="1"/>
    <x v="7"/>
    <s v="Team Lead"/>
    <n v="94326"/>
    <x v="3"/>
    <s v="Single"/>
    <d v="2016-06-06T00:00:00"/>
    <x v="6"/>
    <n v="5"/>
    <x v="0"/>
    <x v="1"/>
    <x v="1"/>
    <x v="0"/>
  </r>
  <r>
    <s v="EMP1286"/>
    <s v="Amit Sharma"/>
    <n v="41"/>
    <x v="0"/>
    <x v="6"/>
    <s v="Manager"/>
    <n v="78423"/>
    <x v="1"/>
    <s v="Divorced"/>
    <d v="2021-01-16T00:00:00"/>
    <x v="8"/>
    <n v="10"/>
    <x v="1"/>
    <x v="3"/>
    <x v="7"/>
    <x v="0"/>
  </r>
  <r>
    <s v="EMP1287"/>
    <s v="Tarun Singh"/>
    <n v="47"/>
    <x v="0"/>
    <x v="3"/>
    <s v="Executive"/>
    <n v="46143"/>
    <x v="3"/>
    <s v="Married"/>
    <d v="2021-03-09T00:00:00"/>
    <x v="8"/>
    <n v="8"/>
    <x v="0"/>
    <x v="2"/>
    <x v="4"/>
    <x v="3"/>
  </r>
  <r>
    <s v="EMP1288"/>
    <s v="Rohit Nanda"/>
    <n v="46"/>
    <x v="2"/>
    <x v="4"/>
    <s v="Manager"/>
    <n v="25992"/>
    <x v="3"/>
    <s v="Married"/>
    <d v="2017-09-22T00:00:00"/>
    <x v="2"/>
    <n v="2"/>
    <x v="1"/>
    <x v="1"/>
    <x v="4"/>
    <x v="3"/>
  </r>
  <r>
    <s v="EMP1289"/>
    <s v="Karan Mishra"/>
    <n v="21"/>
    <x v="1"/>
    <x v="3"/>
    <s v="Team Lead"/>
    <n v="80873"/>
    <x v="2"/>
    <s v="Married"/>
    <d v="2022-07-12T00:00:00"/>
    <x v="5"/>
    <n v="4"/>
    <x v="1"/>
    <x v="3"/>
    <x v="3"/>
    <x v="1"/>
  </r>
  <r>
    <s v="EMP1290"/>
    <s v="Amit Sharma"/>
    <n v="40"/>
    <x v="2"/>
    <x v="0"/>
    <s v="Associate"/>
    <n v="21840"/>
    <x v="3"/>
    <s v="Single"/>
    <d v="2025-04-03T00:00:00"/>
    <x v="9"/>
    <n v="7"/>
    <x v="1"/>
    <x v="0"/>
    <x v="6"/>
    <x v="0"/>
  </r>
  <r>
    <s v="EMP1291"/>
    <s v="Kavya Pradhan"/>
    <n v="30"/>
    <x v="0"/>
    <x v="0"/>
    <s v="Executive"/>
    <n v="104096"/>
    <x v="3"/>
    <s v="Divorced"/>
    <d v="2025-05-04T00:00:00"/>
    <x v="9"/>
    <n v="6"/>
    <x v="0"/>
    <x v="1"/>
    <x v="0"/>
    <x v="2"/>
  </r>
  <r>
    <s v="EMP1292"/>
    <s v="Neha Mishra"/>
    <n v="31"/>
    <x v="0"/>
    <x v="0"/>
    <s v="Senior Analyst"/>
    <n v="95662"/>
    <x v="3"/>
    <s v="Divorced"/>
    <d v="2016-07-02T00:00:00"/>
    <x v="6"/>
    <n v="4"/>
    <x v="1"/>
    <x v="0"/>
    <x v="5"/>
    <x v="2"/>
  </r>
  <r>
    <s v="EMP1293"/>
    <s v="Kavya Pradhan"/>
    <n v="51"/>
    <x v="2"/>
    <x v="2"/>
    <s v="Junior Analyst"/>
    <n v="41010"/>
    <x v="0"/>
    <s v="Single"/>
    <d v="2016-10-25T00:00:00"/>
    <x v="6"/>
    <n v="1"/>
    <x v="0"/>
    <x v="0"/>
    <x v="4"/>
    <x v="3"/>
  </r>
  <r>
    <s v="EMP1294"/>
    <s v="Rahul Reddy"/>
    <n v="50"/>
    <x v="0"/>
    <x v="3"/>
    <s v="Executive"/>
    <n v="98495"/>
    <x v="1"/>
    <s v="Married"/>
    <d v="2024-03-23T00:00:00"/>
    <x v="0"/>
    <n v="8"/>
    <x v="0"/>
    <x v="4"/>
    <x v="7"/>
    <x v="3"/>
  </r>
  <r>
    <s v="EMP1295"/>
    <s v="Rahul Pradhan"/>
    <n v="57"/>
    <x v="2"/>
    <x v="5"/>
    <s v="Manager"/>
    <n v="119497"/>
    <x v="4"/>
    <s v="Married"/>
    <d v="2016-12-31T00:00:00"/>
    <x v="6"/>
    <n v="10"/>
    <x v="1"/>
    <x v="3"/>
    <x v="2"/>
    <x v="3"/>
  </r>
  <r>
    <s v="EMP1296"/>
    <s v="Neha Patel"/>
    <n v="40"/>
    <x v="0"/>
    <x v="5"/>
    <s v="Junior Analyst"/>
    <n v="113990"/>
    <x v="2"/>
    <s v="Divorced"/>
    <d v="2019-09-29T00:00:00"/>
    <x v="4"/>
    <n v="2"/>
    <x v="0"/>
    <x v="0"/>
    <x v="6"/>
    <x v="0"/>
  </r>
  <r>
    <s v="EMP1297"/>
    <s v="Priya Singh"/>
    <n v="57"/>
    <x v="0"/>
    <x v="1"/>
    <s v="Intern"/>
    <n v="58215"/>
    <x v="3"/>
    <s v="Single"/>
    <d v="2018-03-06T00:00:00"/>
    <x v="1"/>
    <n v="8"/>
    <x v="0"/>
    <x v="0"/>
    <x v="0"/>
    <x v="3"/>
  </r>
  <r>
    <s v="EMP1298"/>
    <s v="Kavya Sharma"/>
    <n v="31"/>
    <x v="2"/>
    <x v="3"/>
    <s v="Executive"/>
    <n v="98134"/>
    <x v="4"/>
    <s v="Single"/>
    <d v="2021-10-01T00:00:00"/>
    <x v="8"/>
    <n v="1"/>
    <x v="0"/>
    <x v="4"/>
    <x v="2"/>
    <x v="2"/>
  </r>
  <r>
    <s v="EMP1299"/>
    <s v="Priya Patel"/>
    <n v="40"/>
    <x v="0"/>
    <x v="7"/>
    <s v="Intern"/>
    <n v="110925"/>
    <x v="3"/>
    <s v="Married"/>
    <d v="2016-04-24T00:00:00"/>
    <x v="6"/>
    <n v="7"/>
    <x v="1"/>
    <x v="1"/>
    <x v="4"/>
    <x v="0"/>
  </r>
  <r>
    <s v="EMP1300"/>
    <s v="Sneha Patel"/>
    <n v="36"/>
    <x v="0"/>
    <x v="6"/>
    <s v="Junior Analyst"/>
    <n v="24310"/>
    <x v="2"/>
    <s v="Divorced"/>
    <d v="2020-11-21T00:00:00"/>
    <x v="7"/>
    <n v="0"/>
    <x v="0"/>
    <x v="3"/>
    <x v="1"/>
    <x v="0"/>
  </r>
  <r>
    <s v="EMP1301"/>
    <s v="Tarun Patel"/>
    <n v="54"/>
    <x v="1"/>
    <x v="7"/>
    <s v="Associate"/>
    <n v="80847"/>
    <x v="4"/>
    <s v="Divorced"/>
    <d v="2024-09-08T00:00:00"/>
    <x v="0"/>
    <n v="2"/>
    <x v="0"/>
    <x v="1"/>
    <x v="1"/>
    <x v="3"/>
  </r>
  <r>
    <s v="EMP1302"/>
    <s v="Sneha Mishra"/>
    <n v="22"/>
    <x v="1"/>
    <x v="6"/>
    <s v="Senior Analyst"/>
    <n v="59774"/>
    <x v="0"/>
    <s v="Single"/>
    <d v="2020-01-08T00:00:00"/>
    <x v="7"/>
    <n v="10"/>
    <x v="0"/>
    <x v="3"/>
    <x v="5"/>
    <x v="1"/>
  </r>
  <r>
    <s v="EMP1303"/>
    <s v="Sneha Reddy"/>
    <n v="25"/>
    <x v="1"/>
    <x v="4"/>
    <s v="Manager"/>
    <n v="110340"/>
    <x v="2"/>
    <s v="Divorced"/>
    <d v="2018-01-13T00:00:00"/>
    <x v="1"/>
    <n v="10"/>
    <x v="1"/>
    <x v="1"/>
    <x v="7"/>
    <x v="1"/>
  </r>
  <r>
    <s v="EMP1304"/>
    <s v="Sneha Patel"/>
    <n v="33"/>
    <x v="0"/>
    <x v="1"/>
    <s v="Team Lead"/>
    <n v="109382"/>
    <x v="4"/>
    <s v="Married"/>
    <d v="2023-08-05T00:00:00"/>
    <x v="3"/>
    <n v="3"/>
    <x v="1"/>
    <x v="4"/>
    <x v="4"/>
    <x v="2"/>
  </r>
  <r>
    <s v="EMP1305"/>
    <s v="Sneha Sharma"/>
    <n v="45"/>
    <x v="2"/>
    <x v="4"/>
    <s v="Manager"/>
    <n v="38131"/>
    <x v="3"/>
    <s v="Single"/>
    <d v="2020-12-24T00:00:00"/>
    <x v="7"/>
    <n v="11"/>
    <x v="0"/>
    <x v="4"/>
    <x v="1"/>
    <x v="0"/>
  </r>
  <r>
    <s v="EMP1306"/>
    <s v="Priya Sharma"/>
    <n v="21"/>
    <x v="0"/>
    <x v="5"/>
    <s v="Senior Analyst"/>
    <n v="101648"/>
    <x v="0"/>
    <s v="Married"/>
    <d v="2025-08-25T00:00:00"/>
    <x v="9"/>
    <n v="3"/>
    <x v="0"/>
    <x v="4"/>
    <x v="0"/>
    <x v="1"/>
  </r>
  <r>
    <s v="EMP1307"/>
    <s v="Isha Nanda"/>
    <n v="36"/>
    <x v="0"/>
    <x v="1"/>
    <s v="Senior Analyst"/>
    <n v="42232"/>
    <x v="2"/>
    <s v="Married"/>
    <d v="2018-04-12T00:00:00"/>
    <x v="1"/>
    <n v="7"/>
    <x v="1"/>
    <x v="2"/>
    <x v="3"/>
    <x v="0"/>
  </r>
  <r>
    <s v="EMP1308"/>
    <s v="Isha Nanda"/>
    <n v="36"/>
    <x v="0"/>
    <x v="2"/>
    <s v="Manager"/>
    <n v="91956"/>
    <x v="1"/>
    <s v="Divorced"/>
    <d v="2023-09-02T00:00:00"/>
    <x v="3"/>
    <n v="2"/>
    <x v="0"/>
    <x v="2"/>
    <x v="6"/>
    <x v="0"/>
  </r>
  <r>
    <s v="EMP1309"/>
    <s v="Karan Nanda"/>
    <n v="57"/>
    <x v="0"/>
    <x v="6"/>
    <s v="Associate"/>
    <n v="68738"/>
    <x v="4"/>
    <s v="Married"/>
    <d v="2022-03-11T00:00:00"/>
    <x v="5"/>
    <n v="8"/>
    <x v="1"/>
    <x v="0"/>
    <x v="4"/>
    <x v="3"/>
  </r>
  <r>
    <s v="EMP1310"/>
    <s v="Isha Patel"/>
    <n v="25"/>
    <x v="1"/>
    <x v="6"/>
    <s v="Team Lead"/>
    <n v="83811"/>
    <x v="4"/>
    <s v="Divorced"/>
    <d v="2023-10-14T00:00:00"/>
    <x v="3"/>
    <n v="1"/>
    <x v="0"/>
    <x v="2"/>
    <x v="1"/>
    <x v="1"/>
  </r>
  <r>
    <s v="EMP1311"/>
    <s v="Amit Pradhan"/>
    <n v="33"/>
    <x v="0"/>
    <x v="5"/>
    <s v="Junior Analyst"/>
    <n v="23593"/>
    <x v="0"/>
    <s v="Divorced"/>
    <d v="2021-01-25T00:00:00"/>
    <x v="8"/>
    <n v="10"/>
    <x v="0"/>
    <x v="1"/>
    <x v="3"/>
    <x v="2"/>
  </r>
  <r>
    <s v="EMP1312"/>
    <s v="Neha Singh"/>
    <n v="24"/>
    <x v="0"/>
    <x v="1"/>
    <s v="Junior Analyst"/>
    <n v="90923"/>
    <x v="4"/>
    <s v="Married"/>
    <d v="2025-10-16T00:00:00"/>
    <x v="9"/>
    <n v="1"/>
    <x v="1"/>
    <x v="0"/>
    <x v="1"/>
    <x v="1"/>
  </r>
  <r>
    <s v="EMP1313"/>
    <s v="Rahul Mishra"/>
    <n v="57"/>
    <x v="2"/>
    <x v="1"/>
    <s v="Junior Analyst"/>
    <n v="32748"/>
    <x v="1"/>
    <s v="Single"/>
    <d v="2022-07-16T00:00:00"/>
    <x v="5"/>
    <n v="4"/>
    <x v="0"/>
    <x v="2"/>
    <x v="2"/>
    <x v="3"/>
  </r>
  <r>
    <s v="EMP1314"/>
    <s v="Rohit Mishra"/>
    <n v="54"/>
    <x v="1"/>
    <x v="1"/>
    <s v="Junior Analyst"/>
    <n v="52620"/>
    <x v="2"/>
    <s v="Divorced"/>
    <d v="2023-01-06T00:00:00"/>
    <x v="3"/>
    <n v="10"/>
    <x v="1"/>
    <x v="2"/>
    <x v="5"/>
    <x v="3"/>
  </r>
  <r>
    <s v="EMP1315"/>
    <s v="Rohit Nanda"/>
    <n v="29"/>
    <x v="2"/>
    <x v="1"/>
    <s v="Junior Analyst"/>
    <n v="23083"/>
    <x v="3"/>
    <s v="Divorced"/>
    <d v="2018-11-07T00:00:00"/>
    <x v="1"/>
    <n v="0"/>
    <x v="0"/>
    <x v="3"/>
    <x v="3"/>
    <x v="2"/>
  </r>
  <r>
    <s v="EMP1316"/>
    <s v="Neha Sharma"/>
    <n v="41"/>
    <x v="1"/>
    <x v="2"/>
    <s v="Associate"/>
    <n v="54745"/>
    <x v="2"/>
    <s v="Divorced"/>
    <d v="2023-11-13T00:00:00"/>
    <x v="3"/>
    <n v="0"/>
    <x v="0"/>
    <x v="1"/>
    <x v="5"/>
    <x v="0"/>
  </r>
  <r>
    <s v="EMP1317"/>
    <s v="Rohit Singh"/>
    <n v="48"/>
    <x v="1"/>
    <x v="2"/>
    <s v="Junior Analyst"/>
    <n v="113525"/>
    <x v="4"/>
    <s v="Divorced"/>
    <d v="2017-03-09T00:00:00"/>
    <x v="2"/>
    <n v="8"/>
    <x v="0"/>
    <x v="3"/>
    <x v="4"/>
    <x v="3"/>
  </r>
  <r>
    <s v="EMP1318"/>
    <s v="Tarun Singh"/>
    <n v="51"/>
    <x v="2"/>
    <x v="3"/>
    <s v="Team Lead"/>
    <n v="25367"/>
    <x v="1"/>
    <s v="Single"/>
    <d v="2019-09-04T00:00:00"/>
    <x v="4"/>
    <n v="2"/>
    <x v="1"/>
    <x v="1"/>
    <x v="7"/>
    <x v="3"/>
  </r>
  <r>
    <s v="EMP1319"/>
    <s v="Amit Pradhan"/>
    <n v="32"/>
    <x v="0"/>
    <x v="0"/>
    <s v="Junior Analyst"/>
    <n v="22334"/>
    <x v="0"/>
    <s v="Married"/>
    <d v="2024-02-02T00:00:00"/>
    <x v="0"/>
    <n v="9"/>
    <x v="0"/>
    <x v="4"/>
    <x v="6"/>
    <x v="2"/>
  </r>
  <r>
    <s v="EMP1320"/>
    <s v="Isha Reddy"/>
    <n v="45"/>
    <x v="2"/>
    <x v="7"/>
    <s v="Manager"/>
    <n v="107282"/>
    <x v="1"/>
    <s v="Married"/>
    <d v="2021-09-01T00:00:00"/>
    <x v="8"/>
    <n v="2"/>
    <x v="1"/>
    <x v="1"/>
    <x v="1"/>
    <x v="0"/>
  </r>
  <r>
    <s v="EMP1321"/>
    <s v="Kavya Reddy"/>
    <n v="42"/>
    <x v="1"/>
    <x v="5"/>
    <s v="Intern"/>
    <n v="51903"/>
    <x v="0"/>
    <s v="Married"/>
    <d v="2016-06-29T00:00:00"/>
    <x v="6"/>
    <n v="5"/>
    <x v="1"/>
    <x v="2"/>
    <x v="5"/>
    <x v="0"/>
  </r>
  <r>
    <s v="EMP1322"/>
    <s v="Kavya Mishra"/>
    <n v="33"/>
    <x v="0"/>
    <x v="0"/>
    <s v="Executive"/>
    <n v="106826"/>
    <x v="3"/>
    <s v="Divorced"/>
    <d v="2020-10-11T00:00:00"/>
    <x v="7"/>
    <n v="1"/>
    <x v="0"/>
    <x v="2"/>
    <x v="1"/>
    <x v="2"/>
  </r>
  <r>
    <s v="EMP1323"/>
    <s v="Amit Singh"/>
    <n v="31"/>
    <x v="2"/>
    <x v="6"/>
    <s v="Senior Analyst"/>
    <n v="47329"/>
    <x v="4"/>
    <s v="Married"/>
    <d v="2024-03-06T00:00:00"/>
    <x v="0"/>
    <n v="8"/>
    <x v="1"/>
    <x v="3"/>
    <x v="0"/>
    <x v="2"/>
  </r>
  <r>
    <s v="EMP1324"/>
    <s v="Neha Nanda"/>
    <n v="36"/>
    <x v="0"/>
    <x v="4"/>
    <s v="Intern"/>
    <n v="57602"/>
    <x v="4"/>
    <s v="Divorced"/>
    <d v="2020-08-21T00:00:00"/>
    <x v="7"/>
    <n v="3"/>
    <x v="0"/>
    <x v="2"/>
    <x v="6"/>
    <x v="0"/>
  </r>
  <r>
    <s v="EMP1325"/>
    <s v="Karan Singh"/>
    <n v="58"/>
    <x v="2"/>
    <x v="2"/>
    <s v="Intern"/>
    <n v="57121"/>
    <x v="0"/>
    <s v="Married"/>
    <d v="2016-11-25T00:00:00"/>
    <x v="6"/>
    <n v="0"/>
    <x v="1"/>
    <x v="4"/>
    <x v="6"/>
    <x v="3"/>
  </r>
  <r>
    <s v="EMP1326"/>
    <s v="Rohit Patel"/>
    <n v="39"/>
    <x v="0"/>
    <x v="5"/>
    <s v="Associate"/>
    <n v="85802"/>
    <x v="1"/>
    <s v="Single"/>
    <d v="2025-03-21T00:00:00"/>
    <x v="9"/>
    <n v="8"/>
    <x v="1"/>
    <x v="4"/>
    <x v="5"/>
    <x v="0"/>
  </r>
  <r>
    <s v="EMP1327"/>
    <s v="Rahul Singh"/>
    <n v="51"/>
    <x v="1"/>
    <x v="2"/>
    <s v="Junior Analyst"/>
    <n v="72862"/>
    <x v="2"/>
    <s v="Divorced"/>
    <d v="2016-07-31T00:00:00"/>
    <x v="6"/>
    <n v="3"/>
    <x v="0"/>
    <x v="4"/>
    <x v="4"/>
    <x v="3"/>
  </r>
  <r>
    <s v="EMP1328"/>
    <s v="Karan Singh"/>
    <n v="50"/>
    <x v="2"/>
    <x v="3"/>
    <s v="Senior Analyst"/>
    <n v="84494"/>
    <x v="1"/>
    <s v="Divorced"/>
    <d v="2022-06-12T00:00:00"/>
    <x v="5"/>
    <n v="5"/>
    <x v="0"/>
    <x v="4"/>
    <x v="2"/>
    <x v="3"/>
  </r>
  <r>
    <s v="EMP1329"/>
    <s v="Isha Pradhan"/>
    <n v="36"/>
    <x v="2"/>
    <x v="5"/>
    <s v="Senior Analyst"/>
    <n v="107091"/>
    <x v="0"/>
    <s v="Single"/>
    <d v="2020-03-03T00:00:00"/>
    <x v="7"/>
    <n v="8"/>
    <x v="0"/>
    <x v="4"/>
    <x v="0"/>
    <x v="0"/>
  </r>
  <r>
    <s v="EMP1330"/>
    <s v="Neha Patel"/>
    <n v="36"/>
    <x v="2"/>
    <x v="2"/>
    <s v="Associate"/>
    <n v="78786"/>
    <x v="0"/>
    <s v="Married"/>
    <d v="2016-10-14T00:00:00"/>
    <x v="6"/>
    <n v="1"/>
    <x v="0"/>
    <x v="3"/>
    <x v="4"/>
    <x v="0"/>
  </r>
  <r>
    <s v="EMP1331"/>
    <s v="Karan Sharma"/>
    <n v="44"/>
    <x v="2"/>
    <x v="2"/>
    <s v="Manager"/>
    <n v="72146"/>
    <x v="1"/>
    <s v="Single"/>
    <d v="2018-06-07T00:00:00"/>
    <x v="1"/>
    <n v="5"/>
    <x v="1"/>
    <x v="3"/>
    <x v="1"/>
    <x v="0"/>
  </r>
  <r>
    <s v="EMP1332"/>
    <s v="Amit Patel"/>
    <n v="31"/>
    <x v="0"/>
    <x v="4"/>
    <s v="Intern"/>
    <n v="61598"/>
    <x v="1"/>
    <s v="Married"/>
    <d v="2023-04-20T00:00:00"/>
    <x v="3"/>
    <n v="7"/>
    <x v="0"/>
    <x v="2"/>
    <x v="1"/>
    <x v="2"/>
  </r>
  <r>
    <s v="EMP1333"/>
    <s v="Rohit Pradhan"/>
    <n v="30"/>
    <x v="2"/>
    <x v="5"/>
    <s v="Associate"/>
    <n v="82169"/>
    <x v="0"/>
    <s v="Single"/>
    <d v="2023-01-28T00:00:00"/>
    <x v="3"/>
    <n v="10"/>
    <x v="1"/>
    <x v="3"/>
    <x v="0"/>
    <x v="2"/>
  </r>
  <r>
    <s v="EMP1334"/>
    <s v="Tarun Nanda"/>
    <n v="44"/>
    <x v="0"/>
    <x v="6"/>
    <s v="Executive"/>
    <n v="87963"/>
    <x v="3"/>
    <s v="Single"/>
    <d v="2019-10-19T00:00:00"/>
    <x v="4"/>
    <n v="1"/>
    <x v="0"/>
    <x v="2"/>
    <x v="7"/>
    <x v="0"/>
  </r>
  <r>
    <s v="EMP1335"/>
    <s v="Priya Pradhan"/>
    <n v="42"/>
    <x v="1"/>
    <x v="5"/>
    <s v="Junior Analyst"/>
    <n v="31462"/>
    <x v="4"/>
    <s v="Divorced"/>
    <d v="2019-08-14T00:00:00"/>
    <x v="4"/>
    <n v="3"/>
    <x v="0"/>
    <x v="2"/>
    <x v="7"/>
    <x v="0"/>
  </r>
  <r>
    <s v="EMP1336"/>
    <s v="Rohit Patel"/>
    <n v="49"/>
    <x v="2"/>
    <x v="3"/>
    <s v="Intern"/>
    <n v="74841"/>
    <x v="1"/>
    <s v="Married"/>
    <d v="2021-09-06T00:00:00"/>
    <x v="8"/>
    <n v="2"/>
    <x v="1"/>
    <x v="1"/>
    <x v="5"/>
    <x v="3"/>
  </r>
  <r>
    <s v="EMP1337"/>
    <s v="Tarun Sharma"/>
    <n v="34"/>
    <x v="0"/>
    <x v="5"/>
    <s v="Intern"/>
    <n v="45681"/>
    <x v="0"/>
    <s v="Divorced"/>
    <d v="2021-11-04T00:00:00"/>
    <x v="8"/>
    <n v="0"/>
    <x v="0"/>
    <x v="2"/>
    <x v="6"/>
    <x v="2"/>
  </r>
  <r>
    <s v="EMP1338"/>
    <s v="Rahul Nanda"/>
    <n v="36"/>
    <x v="2"/>
    <x v="6"/>
    <s v="Manager"/>
    <n v="95846"/>
    <x v="0"/>
    <s v="Divorced"/>
    <d v="2025-07-24T00:00:00"/>
    <x v="9"/>
    <n v="4"/>
    <x v="0"/>
    <x v="2"/>
    <x v="2"/>
    <x v="0"/>
  </r>
  <r>
    <s v="EMP1339"/>
    <s v="Tarun Nanda"/>
    <n v="44"/>
    <x v="0"/>
    <x v="2"/>
    <s v="Intern"/>
    <n v="80180"/>
    <x v="1"/>
    <s v="Single"/>
    <d v="2023-12-25T00:00:00"/>
    <x v="3"/>
    <n v="11"/>
    <x v="0"/>
    <x v="4"/>
    <x v="0"/>
    <x v="0"/>
  </r>
  <r>
    <s v="EMP1340"/>
    <s v="Sneha Singh"/>
    <n v="53"/>
    <x v="1"/>
    <x v="5"/>
    <s v="Associate"/>
    <n v="72896"/>
    <x v="0"/>
    <s v="Divorced"/>
    <d v="2024-03-31T00:00:00"/>
    <x v="0"/>
    <n v="7"/>
    <x v="0"/>
    <x v="4"/>
    <x v="2"/>
    <x v="3"/>
  </r>
  <r>
    <s v="EMP1341"/>
    <s v="Sneha Nanda"/>
    <n v="32"/>
    <x v="2"/>
    <x v="0"/>
    <s v="Senior Analyst"/>
    <n v="119968"/>
    <x v="4"/>
    <s v="Single"/>
    <d v="2020-03-14T00:00:00"/>
    <x v="7"/>
    <n v="8"/>
    <x v="1"/>
    <x v="4"/>
    <x v="5"/>
    <x v="2"/>
  </r>
  <r>
    <s v="EMP1342"/>
    <s v="Rahul Reddy"/>
    <n v="51"/>
    <x v="0"/>
    <x v="4"/>
    <s v="Executive"/>
    <n v="61332"/>
    <x v="0"/>
    <s v="Single"/>
    <d v="2023-09-20T00:00:00"/>
    <x v="3"/>
    <n v="2"/>
    <x v="0"/>
    <x v="2"/>
    <x v="1"/>
    <x v="3"/>
  </r>
  <r>
    <s v="EMP1343"/>
    <s v="Amit Sharma"/>
    <n v="52"/>
    <x v="0"/>
    <x v="7"/>
    <s v="Intern"/>
    <n v="51540"/>
    <x v="1"/>
    <s v="Married"/>
    <d v="2019-07-04T00:00:00"/>
    <x v="4"/>
    <n v="4"/>
    <x v="1"/>
    <x v="3"/>
    <x v="7"/>
    <x v="3"/>
  </r>
  <r>
    <s v="EMP1344"/>
    <s v="Sneha Mishra"/>
    <n v="31"/>
    <x v="0"/>
    <x v="2"/>
    <s v="Associate"/>
    <n v="65214"/>
    <x v="3"/>
    <s v="Married"/>
    <d v="2024-06-20T00:00:00"/>
    <x v="0"/>
    <n v="5"/>
    <x v="0"/>
    <x v="2"/>
    <x v="7"/>
    <x v="2"/>
  </r>
  <r>
    <s v="EMP1345"/>
    <s v="Rahul Mishra"/>
    <n v="28"/>
    <x v="2"/>
    <x v="5"/>
    <s v="Senior Analyst"/>
    <n v="61078"/>
    <x v="2"/>
    <s v="Divorced"/>
    <d v="2019-03-12T00:00:00"/>
    <x v="4"/>
    <n v="8"/>
    <x v="0"/>
    <x v="4"/>
    <x v="6"/>
    <x v="2"/>
  </r>
  <r>
    <s v="EMP1346"/>
    <s v="Amit Sharma"/>
    <n v="45"/>
    <x v="1"/>
    <x v="4"/>
    <s v="Associate"/>
    <n v="53629"/>
    <x v="2"/>
    <s v="Divorced"/>
    <d v="2025-09-22T00:00:00"/>
    <x v="9"/>
    <n v="2"/>
    <x v="1"/>
    <x v="3"/>
    <x v="5"/>
    <x v="0"/>
  </r>
  <r>
    <s v="EMP1347"/>
    <s v="Sneha Pradhan"/>
    <n v="23"/>
    <x v="0"/>
    <x v="7"/>
    <s v="Team Lead"/>
    <n v="72529"/>
    <x v="2"/>
    <s v="Divorced"/>
    <d v="2023-10-17T00:00:00"/>
    <x v="3"/>
    <n v="1"/>
    <x v="1"/>
    <x v="1"/>
    <x v="0"/>
    <x v="1"/>
  </r>
  <r>
    <s v="EMP1348"/>
    <s v="Neha Reddy"/>
    <n v="21"/>
    <x v="2"/>
    <x v="5"/>
    <s v="Junior Analyst"/>
    <n v="81318"/>
    <x v="0"/>
    <s v="Married"/>
    <d v="2021-02-16T00:00:00"/>
    <x v="8"/>
    <n v="9"/>
    <x v="0"/>
    <x v="2"/>
    <x v="3"/>
    <x v="1"/>
  </r>
  <r>
    <s v="EMP1349"/>
    <s v="Neha Sharma"/>
    <n v="53"/>
    <x v="2"/>
    <x v="0"/>
    <s v="Associate"/>
    <n v="105797"/>
    <x v="3"/>
    <s v="Divorced"/>
    <d v="2022-01-19T00:00:00"/>
    <x v="5"/>
    <n v="10"/>
    <x v="0"/>
    <x v="3"/>
    <x v="4"/>
    <x v="3"/>
  </r>
  <r>
    <s v="EMP1350"/>
    <s v="Isha Patel"/>
    <n v="44"/>
    <x v="0"/>
    <x v="6"/>
    <s v="Intern"/>
    <n v="19526"/>
    <x v="1"/>
    <s v="Divorced"/>
    <d v="2025-09-14T00:00:00"/>
    <x v="9"/>
    <n v="2"/>
    <x v="1"/>
    <x v="3"/>
    <x v="5"/>
    <x v="0"/>
  </r>
  <r>
    <s v="EMP1351"/>
    <s v="Sneha Mishra"/>
    <n v="51"/>
    <x v="1"/>
    <x v="0"/>
    <s v="Senior Analyst"/>
    <n v="61371"/>
    <x v="0"/>
    <s v="Divorced"/>
    <d v="2018-09-07T00:00:00"/>
    <x v="1"/>
    <n v="2"/>
    <x v="1"/>
    <x v="3"/>
    <x v="4"/>
    <x v="3"/>
  </r>
  <r>
    <s v="EMP1352"/>
    <s v="Sneha Nanda"/>
    <n v="48"/>
    <x v="2"/>
    <x v="4"/>
    <s v="Associate"/>
    <n v="29536"/>
    <x v="2"/>
    <s v="Married"/>
    <d v="2019-09-24T00:00:00"/>
    <x v="4"/>
    <n v="2"/>
    <x v="0"/>
    <x v="3"/>
    <x v="7"/>
    <x v="3"/>
  </r>
  <r>
    <s v="EMP1353"/>
    <s v="Sneha Nanda"/>
    <n v="46"/>
    <x v="0"/>
    <x v="6"/>
    <s v="Associate"/>
    <n v="29913"/>
    <x v="4"/>
    <s v="Divorced"/>
    <d v="2023-05-03T00:00:00"/>
    <x v="3"/>
    <n v="6"/>
    <x v="1"/>
    <x v="0"/>
    <x v="4"/>
    <x v="3"/>
  </r>
  <r>
    <s v="EMP1354"/>
    <s v="Isha Patel"/>
    <n v="43"/>
    <x v="0"/>
    <x v="0"/>
    <s v="Senior Analyst"/>
    <n v="77566"/>
    <x v="4"/>
    <s v="Divorced"/>
    <d v="2022-11-30T00:00:00"/>
    <x v="5"/>
    <n v="11"/>
    <x v="1"/>
    <x v="4"/>
    <x v="1"/>
    <x v="0"/>
  </r>
  <r>
    <s v="EMP1355"/>
    <s v="Sneha Sharma"/>
    <n v="34"/>
    <x v="0"/>
    <x v="3"/>
    <s v="Associate"/>
    <n v="64548"/>
    <x v="3"/>
    <s v="Divorced"/>
    <d v="2022-01-15T00:00:00"/>
    <x v="5"/>
    <n v="10"/>
    <x v="1"/>
    <x v="2"/>
    <x v="7"/>
    <x v="2"/>
  </r>
  <r>
    <s v="EMP1356"/>
    <s v="Amit Nanda"/>
    <n v="28"/>
    <x v="2"/>
    <x v="1"/>
    <s v="Senior Analyst"/>
    <n v="32019"/>
    <x v="4"/>
    <s v="Single"/>
    <d v="2018-04-16T00:00:00"/>
    <x v="1"/>
    <n v="7"/>
    <x v="0"/>
    <x v="3"/>
    <x v="4"/>
    <x v="2"/>
  </r>
  <r>
    <s v="EMP1357"/>
    <s v="Isha Mishra"/>
    <n v="32"/>
    <x v="2"/>
    <x v="3"/>
    <s v="Associate"/>
    <n v="32125"/>
    <x v="2"/>
    <s v="Single"/>
    <d v="2023-04-15T00:00:00"/>
    <x v="3"/>
    <n v="7"/>
    <x v="0"/>
    <x v="3"/>
    <x v="1"/>
    <x v="2"/>
  </r>
  <r>
    <s v="EMP1358"/>
    <s v="Kavya Reddy"/>
    <n v="28"/>
    <x v="1"/>
    <x v="6"/>
    <s v="Intern"/>
    <n v="87515"/>
    <x v="0"/>
    <s v="Divorced"/>
    <d v="2021-01-14T00:00:00"/>
    <x v="8"/>
    <n v="10"/>
    <x v="1"/>
    <x v="0"/>
    <x v="5"/>
    <x v="2"/>
  </r>
  <r>
    <s v="EMP1359"/>
    <s v="Kavya Pradhan"/>
    <n v="28"/>
    <x v="0"/>
    <x v="1"/>
    <s v="Team Lead"/>
    <n v="104182"/>
    <x v="4"/>
    <s v="Married"/>
    <d v="2021-11-02T00:00:00"/>
    <x v="8"/>
    <n v="0"/>
    <x v="1"/>
    <x v="3"/>
    <x v="4"/>
    <x v="2"/>
  </r>
  <r>
    <s v="EMP1360"/>
    <s v="Rohit Nanda"/>
    <n v="41"/>
    <x v="1"/>
    <x v="4"/>
    <s v="Executive"/>
    <n v="35481"/>
    <x v="2"/>
    <s v="Divorced"/>
    <d v="2024-01-14T00:00:00"/>
    <x v="0"/>
    <n v="10"/>
    <x v="1"/>
    <x v="0"/>
    <x v="6"/>
    <x v="0"/>
  </r>
  <r>
    <s v="EMP1361"/>
    <s v="Karan Singh"/>
    <n v="33"/>
    <x v="0"/>
    <x v="0"/>
    <s v="Intern"/>
    <n v="99810"/>
    <x v="3"/>
    <s v="Divorced"/>
    <d v="2020-01-22T00:00:00"/>
    <x v="7"/>
    <n v="10"/>
    <x v="0"/>
    <x v="1"/>
    <x v="6"/>
    <x v="2"/>
  </r>
  <r>
    <s v="EMP1362"/>
    <s v="Sneha Mishra"/>
    <n v="42"/>
    <x v="2"/>
    <x v="4"/>
    <s v="Team Lead"/>
    <n v="94389"/>
    <x v="2"/>
    <s v="Divorced"/>
    <d v="2024-07-28T00:00:00"/>
    <x v="0"/>
    <n v="4"/>
    <x v="1"/>
    <x v="3"/>
    <x v="7"/>
    <x v="0"/>
  </r>
  <r>
    <s v="EMP1363"/>
    <s v="Karan Sharma"/>
    <n v="21"/>
    <x v="1"/>
    <x v="5"/>
    <s v="Intern"/>
    <n v="24955"/>
    <x v="0"/>
    <s v="Single"/>
    <d v="2019-03-07T00:00:00"/>
    <x v="4"/>
    <n v="8"/>
    <x v="0"/>
    <x v="4"/>
    <x v="3"/>
    <x v="1"/>
  </r>
  <r>
    <s v="EMP1364"/>
    <s v="Amit Mishra"/>
    <n v="23"/>
    <x v="2"/>
    <x v="2"/>
    <s v="Associate"/>
    <n v="44738"/>
    <x v="4"/>
    <s v="Single"/>
    <d v="2020-03-17T00:00:00"/>
    <x v="7"/>
    <n v="8"/>
    <x v="1"/>
    <x v="2"/>
    <x v="4"/>
    <x v="1"/>
  </r>
  <r>
    <s v="EMP1365"/>
    <s v="Karan Nanda"/>
    <n v="35"/>
    <x v="2"/>
    <x v="2"/>
    <s v="Intern"/>
    <n v="108824"/>
    <x v="0"/>
    <s v="Married"/>
    <d v="2020-07-13T00:00:00"/>
    <x v="7"/>
    <n v="4"/>
    <x v="1"/>
    <x v="4"/>
    <x v="7"/>
    <x v="2"/>
  </r>
  <r>
    <s v="EMP1366"/>
    <s v="Rahul Singh"/>
    <n v="36"/>
    <x v="0"/>
    <x v="4"/>
    <s v="Intern"/>
    <n v="47563"/>
    <x v="3"/>
    <s v="Divorced"/>
    <d v="2022-04-25T00:00:00"/>
    <x v="5"/>
    <n v="7"/>
    <x v="0"/>
    <x v="1"/>
    <x v="3"/>
    <x v="0"/>
  </r>
  <r>
    <s v="EMP1367"/>
    <s v="Isha Pradhan"/>
    <n v="24"/>
    <x v="0"/>
    <x v="5"/>
    <s v="Team Lead"/>
    <n v="114348"/>
    <x v="0"/>
    <s v="Married"/>
    <d v="2016-08-22T00:00:00"/>
    <x v="6"/>
    <n v="3"/>
    <x v="1"/>
    <x v="4"/>
    <x v="3"/>
    <x v="1"/>
  </r>
  <r>
    <s v="EMP1368"/>
    <s v="Amit Pradhan"/>
    <n v="57"/>
    <x v="1"/>
    <x v="6"/>
    <s v="Junior Analyst"/>
    <n v="61327"/>
    <x v="1"/>
    <s v="Single"/>
    <d v="2017-11-28T00:00:00"/>
    <x v="2"/>
    <n v="0"/>
    <x v="1"/>
    <x v="0"/>
    <x v="7"/>
    <x v="3"/>
  </r>
  <r>
    <s v="EMP1369"/>
    <s v="Kavya Mishra"/>
    <n v="39"/>
    <x v="1"/>
    <x v="3"/>
    <s v="Associate"/>
    <n v="27552"/>
    <x v="3"/>
    <s v="Divorced"/>
    <d v="2018-08-26T00:00:00"/>
    <x v="1"/>
    <n v="3"/>
    <x v="0"/>
    <x v="0"/>
    <x v="2"/>
    <x v="0"/>
  </r>
  <r>
    <s v="EMP1370"/>
    <s v="Karan Pradhan"/>
    <n v="46"/>
    <x v="2"/>
    <x v="1"/>
    <s v="Senior Analyst"/>
    <n v="30051"/>
    <x v="1"/>
    <s v="Single"/>
    <d v="2023-08-17T00:00:00"/>
    <x v="3"/>
    <n v="3"/>
    <x v="1"/>
    <x v="4"/>
    <x v="6"/>
    <x v="3"/>
  </r>
  <r>
    <s v="EMP1371"/>
    <s v="Rohit Pradhan"/>
    <n v="53"/>
    <x v="1"/>
    <x v="6"/>
    <s v="Intern"/>
    <n v="33036"/>
    <x v="3"/>
    <s v="Married"/>
    <d v="2018-11-18T00:00:00"/>
    <x v="1"/>
    <n v="0"/>
    <x v="0"/>
    <x v="2"/>
    <x v="6"/>
    <x v="3"/>
  </r>
  <r>
    <s v="EMP1372"/>
    <s v="Tarun Mishra"/>
    <n v="27"/>
    <x v="1"/>
    <x v="2"/>
    <s v="Intern"/>
    <n v="88809"/>
    <x v="3"/>
    <s v="Single"/>
    <d v="2021-12-25T00:00:00"/>
    <x v="8"/>
    <n v="11"/>
    <x v="1"/>
    <x v="0"/>
    <x v="1"/>
    <x v="2"/>
  </r>
  <r>
    <s v="EMP1373"/>
    <s v="Isha Sharma"/>
    <n v="38"/>
    <x v="2"/>
    <x v="0"/>
    <s v="Team Lead"/>
    <n v="59984"/>
    <x v="0"/>
    <s v="Single"/>
    <d v="2018-01-23T00:00:00"/>
    <x v="1"/>
    <n v="10"/>
    <x v="0"/>
    <x v="2"/>
    <x v="4"/>
    <x v="0"/>
  </r>
  <r>
    <s v="EMP1374"/>
    <s v="Priya Mishra"/>
    <n v="47"/>
    <x v="0"/>
    <x v="0"/>
    <s v="Associate"/>
    <n v="88484"/>
    <x v="2"/>
    <s v="Divorced"/>
    <d v="2025-05-06T00:00:00"/>
    <x v="9"/>
    <n v="6"/>
    <x v="0"/>
    <x v="1"/>
    <x v="7"/>
    <x v="3"/>
  </r>
  <r>
    <s v="EMP1375"/>
    <s v="Isha Singh"/>
    <n v="41"/>
    <x v="0"/>
    <x v="7"/>
    <s v="Manager"/>
    <n v="27600"/>
    <x v="1"/>
    <s v="Married"/>
    <d v="2022-06-11T00:00:00"/>
    <x v="5"/>
    <n v="5"/>
    <x v="0"/>
    <x v="0"/>
    <x v="4"/>
    <x v="0"/>
  </r>
  <r>
    <s v="EMP1376"/>
    <s v="Rohit Nanda"/>
    <n v="44"/>
    <x v="1"/>
    <x v="1"/>
    <s v="Senior Analyst"/>
    <n v="74757"/>
    <x v="0"/>
    <s v="Married"/>
    <d v="2023-09-26T00:00:00"/>
    <x v="3"/>
    <n v="2"/>
    <x v="0"/>
    <x v="0"/>
    <x v="7"/>
    <x v="0"/>
  </r>
  <r>
    <s v="EMP1377"/>
    <s v="Kavya Sharma"/>
    <n v="57"/>
    <x v="0"/>
    <x v="7"/>
    <s v="Team Lead"/>
    <n v="64884"/>
    <x v="0"/>
    <s v="Married"/>
    <d v="2025-01-04T00:00:00"/>
    <x v="9"/>
    <n v="10"/>
    <x v="1"/>
    <x v="0"/>
    <x v="2"/>
    <x v="3"/>
  </r>
  <r>
    <s v="EMP1378"/>
    <s v="Rohit Mishra"/>
    <n v="48"/>
    <x v="1"/>
    <x v="1"/>
    <s v="Manager"/>
    <n v="104602"/>
    <x v="2"/>
    <s v="Single"/>
    <d v="2022-03-03T00:00:00"/>
    <x v="5"/>
    <n v="8"/>
    <x v="0"/>
    <x v="1"/>
    <x v="0"/>
    <x v="3"/>
  </r>
  <r>
    <s v="EMP1379"/>
    <s v="Karan Patel"/>
    <n v="29"/>
    <x v="1"/>
    <x v="3"/>
    <s v="Team Lead"/>
    <n v="19461"/>
    <x v="4"/>
    <s v="Single"/>
    <d v="2017-07-26T00:00:00"/>
    <x v="2"/>
    <n v="4"/>
    <x v="0"/>
    <x v="2"/>
    <x v="0"/>
    <x v="2"/>
  </r>
  <r>
    <s v="EMP1380"/>
    <s v="Karan Reddy"/>
    <n v="25"/>
    <x v="1"/>
    <x v="0"/>
    <s v="Intern"/>
    <n v="116080"/>
    <x v="3"/>
    <s v="Single"/>
    <d v="2020-10-24T00:00:00"/>
    <x v="7"/>
    <n v="1"/>
    <x v="0"/>
    <x v="1"/>
    <x v="5"/>
    <x v="1"/>
  </r>
  <r>
    <s v="EMP1381"/>
    <s v="Priya Reddy"/>
    <n v="36"/>
    <x v="0"/>
    <x v="7"/>
    <s v="Intern"/>
    <n v="41770"/>
    <x v="4"/>
    <s v="Single"/>
    <d v="2025-09-25T00:00:00"/>
    <x v="9"/>
    <n v="2"/>
    <x v="1"/>
    <x v="0"/>
    <x v="2"/>
    <x v="0"/>
  </r>
  <r>
    <s v="EMP1382"/>
    <s v="Rohit Singh"/>
    <n v="24"/>
    <x v="1"/>
    <x v="7"/>
    <s v="Intern"/>
    <n v="43875"/>
    <x v="4"/>
    <s v="Married"/>
    <d v="2019-11-24T00:00:00"/>
    <x v="4"/>
    <n v="0"/>
    <x v="1"/>
    <x v="1"/>
    <x v="4"/>
    <x v="1"/>
  </r>
  <r>
    <s v="EMP1383"/>
    <s v="Sneha Patel"/>
    <n v="24"/>
    <x v="0"/>
    <x v="3"/>
    <s v="Junior Analyst"/>
    <n v="81682"/>
    <x v="3"/>
    <s v="Divorced"/>
    <d v="2023-07-31T00:00:00"/>
    <x v="3"/>
    <n v="3"/>
    <x v="1"/>
    <x v="0"/>
    <x v="5"/>
    <x v="1"/>
  </r>
  <r>
    <s v="EMP1384"/>
    <s v="Kavya Reddy"/>
    <n v="43"/>
    <x v="1"/>
    <x v="1"/>
    <s v="Manager"/>
    <n v="40103"/>
    <x v="3"/>
    <s v="Single"/>
    <d v="2024-12-30T00:00:00"/>
    <x v="0"/>
    <n v="10"/>
    <x v="0"/>
    <x v="3"/>
    <x v="3"/>
    <x v="0"/>
  </r>
  <r>
    <s v="EMP1385"/>
    <s v="Neha Pradhan"/>
    <n v="41"/>
    <x v="1"/>
    <x v="4"/>
    <s v="Senior Analyst"/>
    <n v="76373"/>
    <x v="3"/>
    <s v="Married"/>
    <d v="2022-05-16T00:00:00"/>
    <x v="5"/>
    <n v="6"/>
    <x v="0"/>
    <x v="1"/>
    <x v="2"/>
    <x v="0"/>
  </r>
  <r>
    <s v="EMP1386"/>
    <s v="Rohit Mishra"/>
    <n v="28"/>
    <x v="2"/>
    <x v="0"/>
    <s v="Intern"/>
    <n v="52502"/>
    <x v="0"/>
    <s v="Divorced"/>
    <d v="2017-01-11T00:00:00"/>
    <x v="2"/>
    <n v="10"/>
    <x v="0"/>
    <x v="0"/>
    <x v="7"/>
    <x v="2"/>
  </r>
  <r>
    <s v="EMP1387"/>
    <s v="Kavya Reddy"/>
    <n v="45"/>
    <x v="2"/>
    <x v="0"/>
    <s v="Team Lead"/>
    <n v="22804"/>
    <x v="3"/>
    <s v="Divorced"/>
    <d v="2022-03-28T00:00:00"/>
    <x v="5"/>
    <n v="8"/>
    <x v="1"/>
    <x v="1"/>
    <x v="6"/>
    <x v="0"/>
  </r>
  <r>
    <s v="EMP1388"/>
    <s v="Tarun Pradhan"/>
    <n v="57"/>
    <x v="2"/>
    <x v="2"/>
    <s v="Junior Analyst"/>
    <n v="35548"/>
    <x v="4"/>
    <s v="Divorced"/>
    <d v="2017-03-14T00:00:00"/>
    <x v="2"/>
    <n v="8"/>
    <x v="1"/>
    <x v="4"/>
    <x v="7"/>
    <x v="3"/>
  </r>
  <r>
    <s v="EMP1389"/>
    <s v="Priya Mishra"/>
    <n v="30"/>
    <x v="2"/>
    <x v="5"/>
    <s v="Executive"/>
    <n v="76487"/>
    <x v="1"/>
    <s v="Divorced"/>
    <d v="2022-07-13T00:00:00"/>
    <x v="5"/>
    <n v="4"/>
    <x v="0"/>
    <x v="3"/>
    <x v="6"/>
    <x v="2"/>
  </r>
  <r>
    <s v="EMP1390"/>
    <s v="Rahul Pradhan"/>
    <n v="51"/>
    <x v="0"/>
    <x v="7"/>
    <s v="Senior Analyst"/>
    <n v="52649"/>
    <x v="1"/>
    <s v="Single"/>
    <d v="2023-09-07T00:00:00"/>
    <x v="3"/>
    <n v="2"/>
    <x v="0"/>
    <x v="0"/>
    <x v="6"/>
    <x v="3"/>
  </r>
  <r>
    <s v="EMP1391"/>
    <s v="Tarun Nanda"/>
    <n v="49"/>
    <x v="0"/>
    <x v="6"/>
    <s v="Senior Analyst"/>
    <n v="103003"/>
    <x v="0"/>
    <s v="Divorced"/>
    <d v="2022-01-12T00:00:00"/>
    <x v="5"/>
    <n v="10"/>
    <x v="1"/>
    <x v="4"/>
    <x v="5"/>
    <x v="3"/>
  </r>
  <r>
    <s v="EMP1392"/>
    <s v="Tarun Singh"/>
    <n v="44"/>
    <x v="1"/>
    <x v="7"/>
    <s v="Senior Analyst"/>
    <n v="85720"/>
    <x v="2"/>
    <s v="Single"/>
    <d v="2021-12-23T00:00:00"/>
    <x v="8"/>
    <n v="11"/>
    <x v="1"/>
    <x v="4"/>
    <x v="6"/>
    <x v="0"/>
  </r>
  <r>
    <s v="EMP1393"/>
    <s v="Isha Mishra"/>
    <n v="50"/>
    <x v="2"/>
    <x v="6"/>
    <s v="Executive"/>
    <n v="83776"/>
    <x v="2"/>
    <s v="Single"/>
    <d v="2018-10-07T00:00:00"/>
    <x v="1"/>
    <n v="1"/>
    <x v="0"/>
    <x v="0"/>
    <x v="3"/>
    <x v="3"/>
  </r>
  <r>
    <s v="EMP1394"/>
    <s v="Priya Pradhan"/>
    <n v="31"/>
    <x v="0"/>
    <x v="3"/>
    <s v="Intern"/>
    <n v="96908"/>
    <x v="0"/>
    <s v="Divorced"/>
    <d v="2018-10-08T00:00:00"/>
    <x v="1"/>
    <n v="1"/>
    <x v="1"/>
    <x v="4"/>
    <x v="2"/>
    <x v="2"/>
  </r>
  <r>
    <s v="EMP1395"/>
    <s v="Isha Singh"/>
    <n v="50"/>
    <x v="1"/>
    <x v="0"/>
    <s v="Executive"/>
    <n v="95436"/>
    <x v="2"/>
    <s v="Single"/>
    <d v="2018-12-02T00:00:00"/>
    <x v="1"/>
    <n v="11"/>
    <x v="0"/>
    <x v="1"/>
    <x v="5"/>
    <x v="3"/>
  </r>
  <r>
    <s v="EMP1396"/>
    <s v="Amit Singh"/>
    <n v="52"/>
    <x v="0"/>
    <x v="5"/>
    <s v="Executive"/>
    <n v="25328"/>
    <x v="3"/>
    <s v="Single"/>
    <d v="2021-12-24T00:00:00"/>
    <x v="8"/>
    <n v="11"/>
    <x v="1"/>
    <x v="0"/>
    <x v="7"/>
    <x v="3"/>
  </r>
  <r>
    <s v="EMP1397"/>
    <s v="Rohit Sharma"/>
    <n v="33"/>
    <x v="1"/>
    <x v="4"/>
    <s v="Executive"/>
    <n v="81133"/>
    <x v="1"/>
    <s v="Married"/>
    <d v="2022-12-04T00:00:00"/>
    <x v="5"/>
    <n v="11"/>
    <x v="0"/>
    <x v="0"/>
    <x v="5"/>
    <x v="2"/>
  </r>
  <r>
    <s v="EMP1398"/>
    <s v="Kavya Singh"/>
    <n v="52"/>
    <x v="1"/>
    <x v="5"/>
    <s v="Intern"/>
    <n v="112920"/>
    <x v="3"/>
    <s v="Married"/>
    <d v="2022-11-16T00:00:00"/>
    <x v="5"/>
    <n v="0"/>
    <x v="0"/>
    <x v="1"/>
    <x v="0"/>
    <x v="3"/>
  </r>
  <r>
    <s v="EMP1399"/>
    <s v="Tarun Pradhan"/>
    <n v="26"/>
    <x v="0"/>
    <x v="0"/>
    <s v="Associate"/>
    <n v="86512"/>
    <x v="4"/>
    <s v="Divorced"/>
    <d v="2020-11-22T00:00:00"/>
    <x v="7"/>
    <n v="0"/>
    <x v="0"/>
    <x v="0"/>
    <x v="2"/>
    <x v="2"/>
  </r>
  <r>
    <s v="EMP1400"/>
    <s v="Amit Nanda"/>
    <n v="58"/>
    <x v="0"/>
    <x v="7"/>
    <s v="Junior Analyst"/>
    <n v="30214"/>
    <x v="1"/>
    <s v="Divorced"/>
    <d v="2022-03-26T00:00:00"/>
    <x v="5"/>
    <n v="8"/>
    <x v="0"/>
    <x v="3"/>
    <x v="0"/>
    <x v="3"/>
  </r>
  <r>
    <s v="EMP1401"/>
    <s v="Neha Mishra"/>
    <n v="22"/>
    <x v="2"/>
    <x v="1"/>
    <s v="Associate"/>
    <n v="48079"/>
    <x v="2"/>
    <s v="Married"/>
    <d v="2020-02-12T00:00:00"/>
    <x v="7"/>
    <n v="9"/>
    <x v="0"/>
    <x v="3"/>
    <x v="5"/>
    <x v="1"/>
  </r>
  <r>
    <s v="EMP1402"/>
    <s v="Rohit Nanda"/>
    <n v="34"/>
    <x v="0"/>
    <x v="2"/>
    <s v="Team Lead"/>
    <n v="96419"/>
    <x v="2"/>
    <s v="Married"/>
    <d v="2018-04-22T00:00:00"/>
    <x v="1"/>
    <n v="7"/>
    <x v="0"/>
    <x v="2"/>
    <x v="2"/>
    <x v="2"/>
  </r>
  <r>
    <s v="EMP1403"/>
    <s v="Karan Sharma"/>
    <n v="44"/>
    <x v="2"/>
    <x v="0"/>
    <s v="Associate"/>
    <n v="108146"/>
    <x v="3"/>
    <s v="Married"/>
    <d v="2020-03-31T00:00:00"/>
    <x v="7"/>
    <n v="7"/>
    <x v="0"/>
    <x v="1"/>
    <x v="0"/>
    <x v="0"/>
  </r>
  <r>
    <s v="EMP1404"/>
    <s v="Kavya Patel"/>
    <n v="36"/>
    <x v="2"/>
    <x v="1"/>
    <s v="Senior Analyst"/>
    <n v="92012"/>
    <x v="4"/>
    <s v="Married"/>
    <d v="2023-10-26T00:00:00"/>
    <x v="3"/>
    <n v="1"/>
    <x v="1"/>
    <x v="1"/>
    <x v="0"/>
    <x v="0"/>
  </r>
  <r>
    <s v="EMP1405"/>
    <s v="Karan Mishra"/>
    <n v="55"/>
    <x v="1"/>
    <x v="5"/>
    <s v="Team Lead"/>
    <n v="66524"/>
    <x v="4"/>
    <s v="Married"/>
    <d v="2019-01-12T00:00:00"/>
    <x v="4"/>
    <n v="10"/>
    <x v="1"/>
    <x v="0"/>
    <x v="6"/>
    <x v="3"/>
  </r>
  <r>
    <s v="EMP1406"/>
    <s v="Tarun Singh"/>
    <n v="28"/>
    <x v="2"/>
    <x v="7"/>
    <s v="Executive"/>
    <n v="116017"/>
    <x v="2"/>
    <s v="Divorced"/>
    <d v="2017-12-31T00:00:00"/>
    <x v="2"/>
    <n v="10"/>
    <x v="0"/>
    <x v="1"/>
    <x v="0"/>
    <x v="2"/>
  </r>
  <r>
    <s v="EMP1407"/>
    <s v="Neha Mishra"/>
    <n v="55"/>
    <x v="2"/>
    <x v="6"/>
    <s v="Junior Analyst"/>
    <n v="39068"/>
    <x v="0"/>
    <s v="Single"/>
    <d v="2025-06-02T00:00:00"/>
    <x v="9"/>
    <n v="5"/>
    <x v="0"/>
    <x v="3"/>
    <x v="0"/>
    <x v="3"/>
  </r>
  <r>
    <s v="EMP1408"/>
    <s v="Sneha Sharma"/>
    <n v="36"/>
    <x v="0"/>
    <x v="3"/>
    <s v="Team Lead"/>
    <n v="28490"/>
    <x v="0"/>
    <s v="Divorced"/>
    <d v="2020-06-30T00:00:00"/>
    <x v="7"/>
    <n v="4"/>
    <x v="1"/>
    <x v="0"/>
    <x v="3"/>
    <x v="0"/>
  </r>
  <r>
    <s v="EMP1409"/>
    <s v="Kavya Sharma"/>
    <n v="31"/>
    <x v="2"/>
    <x v="4"/>
    <s v="Manager"/>
    <n v="75536"/>
    <x v="1"/>
    <s v="Divorced"/>
    <d v="2025-03-14T00:00:00"/>
    <x v="9"/>
    <n v="8"/>
    <x v="1"/>
    <x v="1"/>
    <x v="7"/>
    <x v="2"/>
  </r>
  <r>
    <s v="EMP1410"/>
    <s v="Kavya Reddy"/>
    <n v="53"/>
    <x v="2"/>
    <x v="0"/>
    <s v="Executive"/>
    <n v="98634"/>
    <x v="0"/>
    <s v="Married"/>
    <d v="2018-11-13T00:00:00"/>
    <x v="1"/>
    <n v="0"/>
    <x v="0"/>
    <x v="1"/>
    <x v="2"/>
    <x v="3"/>
  </r>
  <r>
    <s v="EMP1411"/>
    <s v="Rohit Mishra"/>
    <n v="45"/>
    <x v="1"/>
    <x v="1"/>
    <s v="Team Lead"/>
    <n v="71143"/>
    <x v="1"/>
    <s v="Divorced"/>
    <d v="2016-05-10T00:00:00"/>
    <x v="6"/>
    <n v="6"/>
    <x v="0"/>
    <x v="2"/>
    <x v="3"/>
    <x v="0"/>
  </r>
  <r>
    <s v="EMP1412"/>
    <s v="Karan Reddy"/>
    <n v="42"/>
    <x v="1"/>
    <x v="2"/>
    <s v="Team Lead"/>
    <n v="47661"/>
    <x v="1"/>
    <s v="Married"/>
    <d v="2020-09-18T00:00:00"/>
    <x v="7"/>
    <n v="2"/>
    <x v="0"/>
    <x v="4"/>
    <x v="5"/>
    <x v="0"/>
  </r>
  <r>
    <s v="EMP1413"/>
    <s v="Tarun Reddy"/>
    <n v="26"/>
    <x v="2"/>
    <x v="7"/>
    <s v="Senior Analyst"/>
    <n v="83951"/>
    <x v="3"/>
    <s v="Single"/>
    <d v="2025-03-10T00:00:00"/>
    <x v="9"/>
    <n v="8"/>
    <x v="1"/>
    <x v="0"/>
    <x v="3"/>
    <x v="2"/>
  </r>
  <r>
    <s v="EMP1414"/>
    <s v="Isha Nanda"/>
    <n v="56"/>
    <x v="1"/>
    <x v="0"/>
    <s v="Senior Analyst"/>
    <n v="117283"/>
    <x v="2"/>
    <s v="Divorced"/>
    <d v="2021-05-09T00:00:00"/>
    <x v="8"/>
    <n v="6"/>
    <x v="0"/>
    <x v="3"/>
    <x v="2"/>
    <x v="3"/>
  </r>
  <r>
    <s v="EMP1415"/>
    <s v="Rohit Sharma"/>
    <n v="44"/>
    <x v="2"/>
    <x v="0"/>
    <s v="Intern"/>
    <n v="106724"/>
    <x v="1"/>
    <s v="Married"/>
    <d v="2020-10-23T00:00:00"/>
    <x v="7"/>
    <n v="1"/>
    <x v="1"/>
    <x v="0"/>
    <x v="7"/>
    <x v="0"/>
  </r>
  <r>
    <s v="EMP1416"/>
    <s v="Rohit Pradhan"/>
    <n v="38"/>
    <x v="0"/>
    <x v="1"/>
    <s v="Intern"/>
    <n v="106302"/>
    <x v="3"/>
    <s v="Single"/>
    <d v="2022-05-28T00:00:00"/>
    <x v="5"/>
    <n v="6"/>
    <x v="0"/>
    <x v="3"/>
    <x v="6"/>
    <x v="0"/>
  </r>
  <r>
    <s v="EMP1417"/>
    <s v="Neha Pradhan"/>
    <n v="56"/>
    <x v="1"/>
    <x v="5"/>
    <s v="Intern"/>
    <n v="115800"/>
    <x v="1"/>
    <s v="Married"/>
    <d v="2024-06-14T00:00:00"/>
    <x v="0"/>
    <n v="5"/>
    <x v="0"/>
    <x v="1"/>
    <x v="4"/>
    <x v="3"/>
  </r>
  <r>
    <s v="EMP1418"/>
    <s v="Rohit Pradhan"/>
    <n v="34"/>
    <x v="0"/>
    <x v="0"/>
    <s v="Senior Analyst"/>
    <n v="99080"/>
    <x v="1"/>
    <s v="Single"/>
    <d v="2017-07-13T00:00:00"/>
    <x v="2"/>
    <n v="4"/>
    <x v="0"/>
    <x v="3"/>
    <x v="7"/>
    <x v="2"/>
  </r>
  <r>
    <s v="EMP1419"/>
    <s v="Karan Sharma"/>
    <n v="50"/>
    <x v="1"/>
    <x v="3"/>
    <s v="Team Lead"/>
    <n v="82532"/>
    <x v="3"/>
    <s v="Married"/>
    <d v="2018-03-28T00:00:00"/>
    <x v="1"/>
    <n v="8"/>
    <x v="1"/>
    <x v="3"/>
    <x v="4"/>
    <x v="3"/>
  </r>
  <r>
    <s v="EMP1420"/>
    <s v="Kavya Pradhan"/>
    <n v="23"/>
    <x v="2"/>
    <x v="1"/>
    <s v="Team Lead"/>
    <n v="80694"/>
    <x v="0"/>
    <s v="Divorced"/>
    <d v="2020-01-30T00:00:00"/>
    <x v="7"/>
    <n v="9"/>
    <x v="1"/>
    <x v="1"/>
    <x v="1"/>
    <x v="1"/>
  </r>
  <r>
    <s v="EMP1421"/>
    <s v="Sneha Singh"/>
    <n v="53"/>
    <x v="1"/>
    <x v="3"/>
    <s v="Manager"/>
    <n v="108336"/>
    <x v="0"/>
    <s v="Divorced"/>
    <d v="2018-07-20T00:00:00"/>
    <x v="1"/>
    <n v="4"/>
    <x v="1"/>
    <x v="0"/>
    <x v="2"/>
    <x v="3"/>
  </r>
  <r>
    <s v="EMP1422"/>
    <s v="Neha Patel"/>
    <n v="36"/>
    <x v="0"/>
    <x v="2"/>
    <s v="Senior Analyst"/>
    <n v="49082"/>
    <x v="2"/>
    <s v="Divorced"/>
    <d v="2020-01-13T00:00:00"/>
    <x v="7"/>
    <n v="10"/>
    <x v="1"/>
    <x v="1"/>
    <x v="1"/>
    <x v="0"/>
  </r>
  <r>
    <s v="EMP1423"/>
    <s v="Tarun Pradhan"/>
    <n v="46"/>
    <x v="2"/>
    <x v="3"/>
    <s v="Associate"/>
    <n v="65851"/>
    <x v="2"/>
    <s v="Married"/>
    <d v="2021-03-29T00:00:00"/>
    <x v="8"/>
    <n v="8"/>
    <x v="0"/>
    <x v="0"/>
    <x v="5"/>
    <x v="3"/>
  </r>
  <r>
    <s v="EMP1424"/>
    <s v="Kavya Singh"/>
    <n v="34"/>
    <x v="0"/>
    <x v="2"/>
    <s v="Team Lead"/>
    <n v="48907"/>
    <x v="2"/>
    <s v="Married"/>
    <d v="2018-05-21T00:00:00"/>
    <x v="1"/>
    <n v="6"/>
    <x v="0"/>
    <x v="1"/>
    <x v="1"/>
    <x v="2"/>
  </r>
  <r>
    <s v="EMP1425"/>
    <s v="Rahul Pradhan"/>
    <n v="46"/>
    <x v="1"/>
    <x v="5"/>
    <s v="Team Lead"/>
    <n v="100660"/>
    <x v="4"/>
    <s v="Divorced"/>
    <d v="2019-09-23T00:00:00"/>
    <x v="4"/>
    <n v="2"/>
    <x v="1"/>
    <x v="4"/>
    <x v="3"/>
    <x v="3"/>
  </r>
  <r>
    <s v="EMP1426"/>
    <s v="Karan Mishra"/>
    <n v="56"/>
    <x v="0"/>
    <x v="1"/>
    <s v="Intern"/>
    <n v="30972"/>
    <x v="1"/>
    <s v="Single"/>
    <d v="2018-08-08T00:00:00"/>
    <x v="1"/>
    <n v="3"/>
    <x v="1"/>
    <x v="3"/>
    <x v="2"/>
    <x v="3"/>
  </r>
  <r>
    <s v="EMP1427"/>
    <s v="Isha Singh"/>
    <n v="41"/>
    <x v="1"/>
    <x v="3"/>
    <s v="Team Lead"/>
    <n v="65226"/>
    <x v="4"/>
    <s v="Married"/>
    <d v="2020-01-17T00:00:00"/>
    <x v="7"/>
    <n v="10"/>
    <x v="0"/>
    <x v="3"/>
    <x v="2"/>
    <x v="0"/>
  </r>
  <r>
    <s v="EMP1428"/>
    <s v="Neha Mishra"/>
    <n v="58"/>
    <x v="0"/>
    <x v="5"/>
    <s v="Senior Analyst"/>
    <n v="55304"/>
    <x v="3"/>
    <s v="Divorced"/>
    <d v="2021-11-28T00:00:00"/>
    <x v="8"/>
    <n v="0"/>
    <x v="1"/>
    <x v="3"/>
    <x v="2"/>
    <x v="3"/>
  </r>
  <r>
    <s v="EMP1429"/>
    <s v="Tarun Reddy"/>
    <n v="38"/>
    <x v="1"/>
    <x v="5"/>
    <s v="Intern"/>
    <n v="39964"/>
    <x v="3"/>
    <s v="Married"/>
    <d v="2023-04-07T00:00:00"/>
    <x v="3"/>
    <n v="7"/>
    <x v="1"/>
    <x v="2"/>
    <x v="2"/>
    <x v="0"/>
  </r>
  <r>
    <s v="EMP1430"/>
    <s v="Amit Patel"/>
    <n v="34"/>
    <x v="1"/>
    <x v="3"/>
    <s v="Senior Analyst"/>
    <n v="103591"/>
    <x v="3"/>
    <s v="Divorced"/>
    <d v="2023-06-01T00:00:00"/>
    <x v="3"/>
    <n v="5"/>
    <x v="1"/>
    <x v="4"/>
    <x v="1"/>
    <x v="2"/>
  </r>
  <r>
    <s v="EMP1431"/>
    <s v="Neha Singh"/>
    <n v="57"/>
    <x v="2"/>
    <x v="4"/>
    <s v="Executive"/>
    <n v="72262"/>
    <x v="1"/>
    <s v="Single"/>
    <d v="2017-08-03T00:00:00"/>
    <x v="2"/>
    <n v="3"/>
    <x v="0"/>
    <x v="4"/>
    <x v="2"/>
    <x v="3"/>
  </r>
  <r>
    <s v="EMP1432"/>
    <s v="Priya Pradhan"/>
    <n v="45"/>
    <x v="0"/>
    <x v="7"/>
    <s v="Junior Analyst"/>
    <n v="26361"/>
    <x v="4"/>
    <s v="Single"/>
    <d v="2016-06-24T00:00:00"/>
    <x v="6"/>
    <n v="5"/>
    <x v="1"/>
    <x v="0"/>
    <x v="2"/>
    <x v="0"/>
  </r>
  <r>
    <s v="EMP1433"/>
    <s v="Sneha Patel"/>
    <n v="29"/>
    <x v="0"/>
    <x v="1"/>
    <s v="Executive"/>
    <n v="58549"/>
    <x v="1"/>
    <s v="Divorced"/>
    <d v="2019-05-16T00:00:00"/>
    <x v="4"/>
    <n v="6"/>
    <x v="1"/>
    <x v="1"/>
    <x v="5"/>
    <x v="2"/>
  </r>
  <r>
    <s v="EMP1434"/>
    <s v="Karan Mishra"/>
    <n v="30"/>
    <x v="0"/>
    <x v="6"/>
    <s v="Senior Analyst"/>
    <n v="104972"/>
    <x v="3"/>
    <s v="Married"/>
    <d v="2021-06-04T00:00:00"/>
    <x v="8"/>
    <n v="5"/>
    <x v="1"/>
    <x v="0"/>
    <x v="1"/>
    <x v="2"/>
  </r>
  <r>
    <s v="EMP1435"/>
    <s v="Amit Singh"/>
    <n v="54"/>
    <x v="0"/>
    <x v="4"/>
    <s v="Intern"/>
    <n v="100712"/>
    <x v="4"/>
    <s v="Married"/>
    <d v="2022-01-21T00:00:00"/>
    <x v="5"/>
    <n v="10"/>
    <x v="1"/>
    <x v="4"/>
    <x v="1"/>
    <x v="3"/>
  </r>
  <r>
    <s v="EMP1436"/>
    <s v="Karan Pradhan"/>
    <n v="25"/>
    <x v="1"/>
    <x v="2"/>
    <s v="Junior Analyst"/>
    <n v="65943"/>
    <x v="3"/>
    <s v="Single"/>
    <d v="2019-08-04T00:00:00"/>
    <x v="4"/>
    <n v="3"/>
    <x v="0"/>
    <x v="2"/>
    <x v="5"/>
    <x v="1"/>
  </r>
  <r>
    <s v="EMP1437"/>
    <s v="Neha Patel"/>
    <n v="50"/>
    <x v="2"/>
    <x v="6"/>
    <s v="Junior Analyst"/>
    <n v="108147"/>
    <x v="2"/>
    <s v="Married"/>
    <d v="2016-04-15T00:00:00"/>
    <x v="6"/>
    <n v="7"/>
    <x v="1"/>
    <x v="4"/>
    <x v="4"/>
    <x v="3"/>
  </r>
  <r>
    <s v="EMP1438"/>
    <s v="Rahul Reddy"/>
    <n v="43"/>
    <x v="0"/>
    <x v="1"/>
    <s v="Junior Analyst"/>
    <n v="91472"/>
    <x v="2"/>
    <s v="Single"/>
    <d v="2018-01-06T00:00:00"/>
    <x v="1"/>
    <n v="10"/>
    <x v="1"/>
    <x v="3"/>
    <x v="4"/>
    <x v="0"/>
  </r>
  <r>
    <s v="EMP1439"/>
    <s v="Rohit Sharma"/>
    <n v="47"/>
    <x v="2"/>
    <x v="0"/>
    <s v="Associate"/>
    <n v="85713"/>
    <x v="4"/>
    <s v="Divorced"/>
    <d v="2023-11-12T00:00:00"/>
    <x v="3"/>
    <n v="0"/>
    <x v="1"/>
    <x v="4"/>
    <x v="3"/>
    <x v="3"/>
  </r>
  <r>
    <s v="EMP1440"/>
    <s v="Tarun Pradhan"/>
    <n v="24"/>
    <x v="0"/>
    <x v="5"/>
    <s v="Manager"/>
    <n v="55957"/>
    <x v="2"/>
    <s v="Divorced"/>
    <d v="2021-04-06T00:00:00"/>
    <x v="8"/>
    <n v="7"/>
    <x v="1"/>
    <x v="0"/>
    <x v="1"/>
    <x v="1"/>
  </r>
  <r>
    <s v="EMP1441"/>
    <s v="Priya Patel"/>
    <n v="21"/>
    <x v="0"/>
    <x v="6"/>
    <s v="Manager"/>
    <n v="88119"/>
    <x v="1"/>
    <s v="Single"/>
    <d v="2019-05-08T00:00:00"/>
    <x v="4"/>
    <n v="6"/>
    <x v="1"/>
    <x v="1"/>
    <x v="1"/>
    <x v="1"/>
  </r>
  <r>
    <s v="EMP1442"/>
    <s v="Rahul Pradhan"/>
    <n v="25"/>
    <x v="0"/>
    <x v="6"/>
    <s v="Executive"/>
    <n v="82694"/>
    <x v="3"/>
    <s v="Married"/>
    <d v="2019-09-06T00:00:00"/>
    <x v="4"/>
    <n v="2"/>
    <x v="1"/>
    <x v="4"/>
    <x v="1"/>
    <x v="1"/>
  </r>
  <r>
    <s v="EMP1443"/>
    <s v="Rahul Patel"/>
    <n v="25"/>
    <x v="0"/>
    <x v="6"/>
    <s v="Associate"/>
    <n v="52931"/>
    <x v="2"/>
    <s v="Single"/>
    <d v="2022-04-11T00:00:00"/>
    <x v="5"/>
    <n v="7"/>
    <x v="1"/>
    <x v="1"/>
    <x v="4"/>
    <x v="1"/>
  </r>
  <r>
    <s v="EMP1444"/>
    <s v="Rohit Mishra"/>
    <n v="44"/>
    <x v="0"/>
    <x v="7"/>
    <s v="Intern"/>
    <n v="118682"/>
    <x v="1"/>
    <s v="Married"/>
    <d v="2024-10-31T00:00:00"/>
    <x v="0"/>
    <n v="0"/>
    <x v="1"/>
    <x v="1"/>
    <x v="7"/>
    <x v="0"/>
  </r>
  <r>
    <s v="EMP1445"/>
    <s v="Priya Nanda"/>
    <n v="26"/>
    <x v="2"/>
    <x v="0"/>
    <s v="Junior Analyst"/>
    <n v="79974"/>
    <x v="3"/>
    <s v="Married"/>
    <d v="2017-12-18T00:00:00"/>
    <x v="2"/>
    <n v="11"/>
    <x v="0"/>
    <x v="0"/>
    <x v="2"/>
    <x v="2"/>
  </r>
  <r>
    <s v="EMP1446"/>
    <s v="Rohit Nanda"/>
    <n v="39"/>
    <x v="0"/>
    <x v="3"/>
    <s v="Associate"/>
    <n v="24827"/>
    <x v="1"/>
    <s v="Single"/>
    <d v="2018-10-31T00:00:00"/>
    <x v="1"/>
    <n v="0"/>
    <x v="1"/>
    <x v="4"/>
    <x v="7"/>
    <x v="0"/>
  </r>
  <r>
    <s v="EMP1447"/>
    <s v="Amit Mishra"/>
    <n v="37"/>
    <x v="2"/>
    <x v="7"/>
    <s v="Associate"/>
    <n v="69879"/>
    <x v="1"/>
    <s v="Single"/>
    <d v="2016-08-28T00:00:00"/>
    <x v="6"/>
    <n v="3"/>
    <x v="1"/>
    <x v="0"/>
    <x v="5"/>
    <x v="0"/>
  </r>
  <r>
    <s v="EMP1448"/>
    <s v="Neha Mishra"/>
    <n v="25"/>
    <x v="0"/>
    <x v="5"/>
    <s v="Manager"/>
    <n v="83525"/>
    <x v="4"/>
    <s v="Married"/>
    <d v="2024-09-14T00:00:00"/>
    <x v="0"/>
    <n v="2"/>
    <x v="0"/>
    <x v="2"/>
    <x v="6"/>
    <x v="1"/>
  </r>
  <r>
    <s v="EMP1449"/>
    <s v="Amit Singh"/>
    <n v="54"/>
    <x v="0"/>
    <x v="5"/>
    <s v="Executive"/>
    <n v="81942"/>
    <x v="3"/>
    <s v="Divorced"/>
    <d v="2025-01-10T00:00:00"/>
    <x v="9"/>
    <n v="10"/>
    <x v="1"/>
    <x v="3"/>
    <x v="4"/>
    <x v="3"/>
  </r>
  <r>
    <s v="EMP1450"/>
    <s v="Rahul Singh"/>
    <n v="44"/>
    <x v="1"/>
    <x v="5"/>
    <s v="Manager"/>
    <n v="50859"/>
    <x v="2"/>
    <s v="Divorced"/>
    <d v="2021-02-03T00:00:00"/>
    <x v="8"/>
    <n v="9"/>
    <x v="1"/>
    <x v="0"/>
    <x v="1"/>
    <x v="0"/>
  </r>
  <r>
    <s v="EMP1451"/>
    <s v="Priya Reddy"/>
    <n v="31"/>
    <x v="2"/>
    <x v="3"/>
    <s v="Intern"/>
    <n v="60425"/>
    <x v="2"/>
    <s v="Married"/>
    <d v="2025-07-05T00:00:00"/>
    <x v="9"/>
    <n v="4"/>
    <x v="0"/>
    <x v="2"/>
    <x v="5"/>
    <x v="2"/>
  </r>
  <r>
    <s v="EMP1452"/>
    <s v="Isha Patel"/>
    <n v="36"/>
    <x v="2"/>
    <x v="3"/>
    <s v="Manager"/>
    <n v="77517"/>
    <x v="4"/>
    <s v="Married"/>
    <d v="2024-05-31T00:00:00"/>
    <x v="0"/>
    <n v="5"/>
    <x v="0"/>
    <x v="2"/>
    <x v="6"/>
    <x v="0"/>
  </r>
  <r>
    <s v="EMP1453"/>
    <s v="Kavya Pradhan"/>
    <n v="40"/>
    <x v="2"/>
    <x v="7"/>
    <s v="Team Lead"/>
    <n v="104283"/>
    <x v="2"/>
    <s v="Single"/>
    <d v="2022-01-23T00:00:00"/>
    <x v="5"/>
    <n v="10"/>
    <x v="1"/>
    <x v="0"/>
    <x v="5"/>
    <x v="0"/>
  </r>
  <r>
    <s v="EMP1454"/>
    <s v="Kavya Patel"/>
    <n v="40"/>
    <x v="1"/>
    <x v="3"/>
    <s v="Manager"/>
    <n v="32478"/>
    <x v="4"/>
    <s v="Divorced"/>
    <d v="2016-12-07T00:00:00"/>
    <x v="6"/>
    <n v="11"/>
    <x v="0"/>
    <x v="1"/>
    <x v="5"/>
    <x v="0"/>
  </r>
  <r>
    <s v="EMP1455"/>
    <s v="Rahul Pradhan"/>
    <n v="26"/>
    <x v="1"/>
    <x v="0"/>
    <s v="Manager"/>
    <n v="30943"/>
    <x v="4"/>
    <s v="Divorced"/>
    <d v="2025-07-25T00:00:00"/>
    <x v="9"/>
    <n v="4"/>
    <x v="1"/>
    <x v="3"/>
    <x v="3"/>
    <x v="2"/>
  </r>
  <r>
    <s v="EMP1456"/>
    <s v="Rahul Patel"/>
    <n v="34"/>
    <x v="2"/>
    <x v="7"/>
    <s v="Executive"/>
    <n v="19715"/>
    <x v="2"/>
    <s v="Single"/>
    <d v="2021-06-08T00:00:00"/>
    <x v="8"/>
    <n v="5"/>
    <x v="0"/>
    <x v="4"/>
    <x v="0"/>
    <x v="2"/>
  </r>
  <r>
    <s v="EMP1457"/>
    <s v="Neha Mishra"/>
    <n v="23"/>
    <x v="2"/>
    <x v="2"/>
    <s v="Manager"/>
    <n v="87339"/>
    <x v="0"/>
    <s v="Married"/>
    <d v="2017-01-22T00:00:00"/>
    <x v="2"/>
    <n v="10"/>
    <x v="0"/>
    <x v="0"/>
    <x v="2"/>
    <x v="1"/>
  </r>
  <r>
    <s v="EMP1458"/>
    <s v="Sneha Singh"/>
    <n v="34"/>
    <x v="2"/>
    <x v="1"/>
    <s v="Executive"/>
    <n v="42832"/>
    <x v="4"/>
    <s v="Divorced"/>
    <d v="2018-12-22T00:00:00"/>
    <x v="1"/>
    <n v="11"/>
    <x v="0"/>
    <x v="0"/>
    <x v="0"/>
    <x v="2"/>
  </r>
  <r>
    <s v="EMP1459"/>
    <s v="Sneha Mishra"/>
    <n v="56"/>
    <x v="1"/>
    <x v="4"/>
    <s v="Intern"/>
    <n v="110084"/>
    <x v="2"/>
    <s v="Single"/>
    <d v="2018-01-21T00:00:00"/>
    <x v="1"/>
    <n v="10"/>
    <x v="0"/>
    <x v="0"/>
    <x v="0"/>
    <x v="3"/>
  </r>
  <r>
    <s v="EMP1460"/>
    <s v="Karan Patel"/>
    <n v="30"/>
    <x v="2"/>
    <x v="4"/>
    <s v="Senior Analyst"/>
    <n v="64179"/>
    <x v="4"/>
    <s v="Married"/>
    <d v="2025-08-29T00:00:00"/>
    <x v="9"/>
    <n v="3"/>
    <x v="1"/>
    <x v="3"/>
    <x v="0"/>
    <x v="2"/>
  </r>
  <r>
    <s v="EMP1461"/>
    <s v="Neha Reddy"/>
    <n v="35"/>
    <x v="2"/>
    <x v="0"/>
    <s v="Associate"/>
    <n v="67160"/>
    <x v="4"/>
    <s v="Divorced"/>
    <d v="2019-01-13T00:00:00"/>
    <x v="4"/>
    <n v="10"/>
    <x v="1"/>
    <x v="3"/>
    <x v="1"/>
    <x v="2"/>
  </r>
  <r>
    <s v="EMP1462"/>
    <s v="Tarun Sharma"/>
    <n v="22"/>
    <x v="1"/>
    <x v="6"/>
    <s v="Executive"/>
    <n v="85844"/>
    <x v="3"/>
    <s v="Single"/>
    <d v="2019-07-22T00:00:00"/>
    <x v="4"/>
    <n v="4"/>
    <x v="0"/>
    <x v="1"/>
    <x v="6"/>
    <x v="1"/>
  </r>
  <r>
    <s v="EMP1463"/>
    <s v="Rahul Mishra"/>
    <n v="37"/>
    <x v="2"/>
    <x v="5"/>
    <s v="Manager"/>
    <n v="30358"/>
    <x v="2"/>
    <s v="Married"/>
    <d v="2017-12-08T00:00:00"/>
    <x v="2"/>
    <n v="11"/>
    <x v="0"/>
    <x v="4"/>
    <x v="6"/>
    <x v="0"/>
  </r>
  <r>
    <s v="EMP1464"/>
    <s v="Kavya Pradhan"/>
    <n v="34"/>
    <x v="1"/>
    <x v="2"/>
    <s v="Team Lead"/>
    <n v="30046"/>
    <x v="2"/>
    <s v="Divorced"/>
    <d v="2018-08-16T00:00:00"/>
    <x v="1"/>
    <n v="3"/>
    <x v="0"/>
    <x v="4"/>
    <x v="1"/>
    <x v="2"/>
  </r>
  <r>
    <s v="EMP1465"/>
    <s v="Amit Nanda"/>
    <n v="56"/>
    <x v="0"/>
    <x v="2"/>
    <s v="Intern"/>
    <n v="22898"/>
    <x v="4"/>
    <s v="Married"/>
    <d v="2017-01-24T00:00:00"/>
    <x v="2"/>
    <n v="10"/>
    <x v="0"/>
    <x v="4"/>
    <x v="6"/>
    <x v="3"/>
  </r>
  <r>
    <s v="EMP1466"/>
    <s v="Tarun Nanda"/>
    <n v="27"/>
    <x v="0"/>
    <x v="6"/>
    <s v="Associate"/>
    <n v="101084"/>
    <x v="2"/>
    <s v="Single"/>
    <d v="2019-08-09T00:00:00"/>
    <x v="4"/>
    <n v="3"/>
    <x v="0"/>
    <x v="4"/>
    <x v="5"/>
    <x v="2"/>
  </r>
  <r>
    <s v="EMP1467"/>
    <s v="Neha Reddy"/>
    <n v="34"/>
    <x v="0"/>
    <x v="6"/>
    <s v="Intern"/>
    <n v="106294"/>
    <x v="2"/>
    <s v="Married"/>
    <d v="2024-08-17T00:00:00"/>
    <x v="0"/>
    <n v="3"/>
    <x v="0"/>
    <x v="1"/>
    <x v="0"/>
    <x v="2"/>
  </r>
  <r>
    <s v="EMP1468"/>
    <s v="Rohit Mishra"/>
    <n v="45"/>
    <x v="0"/>
    <x v="5"/>
    <s v="Manager"/>
    <n v="62062"/>
    <x v="2"/>
    <s v="Divorced"/>
    <d v="2024-07-17T00:00:00"/>
    <x v="0"/>
    <n v="4"/>
    <x v="0"/>
    <x v="0"/>
    <x v="0"/>
    <x v="0"/>
  </r>
  <r>
    <s v="EMP1469"/>
    <s v="Rohit Sharma"/>
    <n v="45"/>
    <x v="2"/>
    <x v="1"/>
    <s v="Intern"/>
    <n v="119426"/>
    <x v="1"/>
    <s v="Single"/>
    <d v="2021-07-30T00:00:00"/>
    <x v="8"/>
    <n v="3"/>
    <x v="0"/>
    <x v="3"/>
    <x v="0"/>
    <x v="0"/>
  </r>
  <r>
    <s v="EMP1470"/>
    <s v="Kavya Pradhan"/>
    <n v="55"/>
    <x v="2"/>
    <x v="0"/>
    <s v="Manager"/>
    <n v="49760"/>
    <x v="3"/>
    <s v="Married"/>
    <d v="2019-10-24T00:00:00"/>
    <x v="4"/>
    <n v="1"/>
    <x v="0"/>
    <x v="2"/>
    <x v="0"/>
    <x v="3"/>
  </r>
  <r>
    <s v="EMP1471"/>
    <s v="Tarun Patel"/>
    <n v="42"/>
    <x v="0"/>
    <x v="3"/>
    <s v="Team Lead"/>
    <n v="63157"/>
    <x v="0"/>
    <s v="Married"/>
    <d v="2018-01-31T00:00:00"/>
    <x v="1"/>
    <n v="9"/>
    <x v="1"/>
    <x v="0"/>
    <x v="1"/>
    <x v="0"/>
  </r>
  <r>
    <s v="EMP1472"/>
    <s v="Kavya Pradhan"/>
    <n v="48"/>
    <x v="0"/>
    <x v="0"/>
    <s v="Intern"/>
    <n v="44173"/>
    <x v="3"/>
    <s v="Single"/>
    <d v="2024-09-06T00:00:00"/>
    <x v="0"/>
    <n v="2"/>
    <x v="0"/>
    <x v="2"/>
    <x v="7"/>
    <x v="3"/>
  </r>
  <r>
    <s v="EMP1473"/>
    <s v="Priya Reddy"/>
    <n v="29"/>
    <x v="1"/>
    <x v="6"/>
    <s v="Intern"/>
    <n v="62993"/>
    <x v="0"/>
    <s v="Married"/>
    <d v="2021-03-26T00:00:00"/>
    <x v="8"/>
    <n v="8"/>
    <x v="1"/>
    <x v="2"/>
    <x v="6"/>
    <x v="2"/>
  </r>
  <r>
    <s v="EMP1474"/>
    <s v="Priya Singh"/>
    <n v="54"/>
    <x v="0"/>
    <x v="0"/>
    <s v="Team Lead"/>
    <n v="89620"/>
    <x v="3"/>
    <s v="Divorced"/>
    <d v="2021-08-08T00:00:00"/>
    <x v="8"/>
    <n v="3"/>
    <x v="0"/>
    <x v="2"/>
    <x v="0"/>
    <x v="3"/>
  </r>
  <r>
    <s v="EMP1475"/>
    <s v="Kavya Singh"/>
    <n v="53"/>
    <x v="0"/>
    <x v="2"/>
    <s v="Manager"/>
    <n v="40324"/>
    <x v="3"/>
    <s v="Single"/>
    <d v="2025-01-13T00:00:00"/>
    <x v="9"/>
    <n v="10"/>
    <x v="1"/>
    <x v="2"/>
    <x v="1"/>
    <x v="3"/>
  </r>
  <r>
    <s v="EMP1476"/>
    <s v="Rahul Sharma"/>
    <n v="44"/>
    <x v="2"/>
    <x v="2"/>
    <s v="Associate"/>
    <n v="104898"/>
    <x v="3"/>
    <s v="Single"/>
    <d v="2016-05-26T00:00:00"/>
    <x v="6"/>
    <n v="6"/>
    <x v="1"/>
    <x v="3"/>
    <x v="4"/>
    <x v="0"/>
  </r>
  <r>
    <s v="EMP1477"/>
    <s v="Tarun Reddy"/>
    <n v="26"/>
    <x v="1"/>
    <x v="4"/>
    <s v="Team Lead"/>
    <n v="96263"/>
    <x v="0"/>
    <s v="Single"/>
    <d v="2018-06-01T00:00:00"/>
    <x v="1"/>
    <n v="5"/>
    <x v="1"/>
    <x v="0"/>
    <x v="7"/>
    <x v="2"/>
  </r>
  <r>
    <s v="EMP1478"/>
    <s v="Rahul Pradhan"/>
    <n v="53"/>
    <x v="1"/>
    <x v="3"/>
    <s v="Junior Analyst"/>
    <n v="82216"/>
    <x v="1"/>
    <s v="Single"/>
    <d v="2020-01-28T00:00:00"/>
    <x v="7"/>
    <n v="10"/>
    <x v="1"/>
    <x v="4"/>
    <x v="3"/>
    <x v="3"/>
  </r>
  <r>
    <s v="EMP1479"/>
    <s v="Priya Reddy"/>
    <n v="37"/>
    <x v="0"/>
    <x v="2"/>
    <s v="Associate"/>
    <n v="68747"/>
    <x v="0"/>
    <s v="Divorced"/>
    <d v="2019-04-30T00:00:00"/>
    <x v="4"/>
    <n v="6"/>
    <x v="0"/>
    <x v="1"/>
    <x v="6"/>
    <x v="0"/>
  </r>
  <r>
    <s v="EMP1480"/>
    <s v="Tarun Singh"/>
    <n v="28"/>
    <x v="0"/>
    <x v="1"/>
    <s v="Intern"/>
    <n v="86251"/>
    <x v="4"/>
    <s v="Divorced"/>
    <d v="2023-11-19T00:00:00"/>
    <x v="3"/>
    <n v="0"/>
    <x v="0"/>
    <x v="3"/>
    <x v="4"/>
    <x v="2"/>
  </r>
  <r>
    <s v="EMP1481"/>
    <s v="Kavya Pradhan"/>
    <n v="47"/>
    <x v="1"/>
    <x v="3"/>
    <s v="Team Lead"/>
    <n v="76873"/>
    <x v="1"/>
    <s v="Single"/>
    <d v="2023-07-03T00:00:00"/>
    <x v="3"/>
    <n v="4"/>
    <x v="0"/>
    <x v="0"/>
    <x v="4"/>
    <x v="3"/>
  </r>
  <r>
    <s v="EMP1482"/>
    <s v="Amit Patel"/>
    <n v="53"/>
    <x v="0"/>
    <x v="1"/>
    <s v="Executive"/>
    <n v="118931"/>
    <x v="4"/>
    <s v="Single"/>
    <d v="2019-09-30T00:00:00"/>
    <x v="4"/>
    <n v="1"/>
    <x v="0"/>
    <x v="0"/>
    <x v="2"/>
    <x v="3"/>
  </r>
  <r>
    <s v="EMP1483"/>
    <s v="Amit Patel"/>
    <n v="29"/>
    <x v="2"/>
    <x v="6"/>
    <s v="Senior Analyst"/>
    <n v="118327"/>
    <x v="2"/>
    <s v="Married"/>
    <d v="2019-08-03T00:00:00"/>
    <x v="4"/>
    <n v="3"/>
    <x v="1"/>
    <x v="4"/>
    <x v="5"/>
    <x v="2"/>
  </r>
  <r>
    <s v="EMP1484"/>
    <s v="Priya Sharma"/>
    <n v="28"/>
    <x v="0"/>
    <x v="6"/>
    <s v="Team Lead"/>
    <n v="117935"/>
    <x v="4"/>
    <s v="Married"/>
    <d v="2022-12-23T00:00:00"/>
    <x v="5"/>
    <n v="11"/>
    <x v="0"/>
    <x v="0"/>
    <x v="4"/>
    <x v="2"/>
  </r>
  <r>
    <s v="EMP1485"/>
    <s v="Priya Singh"/>
    <n v="21"/>
    <x v="1"/>
    <x v="7"/>
    <s v="Associate"/>
    <n v="108196"/>
    <x v="2"/>
    <s v="Single"/>
    <d v="2021-10-26T00:00:00"/>
    <x v="8"/>
    <n v="1"/>
    <x v="1"/>
    <x v="4"/>
    <x v="5"/>
    <x v="1"/>
  </r>
  <r>
    <s v="EMP1486"/>
    <s v="Tarun Nanda"/>
    <n v="50"/>
    <x v="0"/>
    <x v="5"/>
    <s v="Executive"/>
    <n v="43330"/>
    <x v="0"/>
    <s v="Married"/>
    <d v="2024-10-04T00:00:00"/>
    <x v="0"/>
    <n v="1"/>
    <x v="0"/>
    <x v="4"/>
    <x v="0"/>
    <x v="3"/>
  </r>
  <r>
    <s v="EMP1487"/>
    <s v="Priya Singh"/>
    <n v="32"/>
    <x v="0"/>
    <x v="7"/>
    <s v="Junior Analyst"/>
    <n v="41209"/>
    <x v="4"/>
    <s v="Married"/>
    <d v="2023-11-25T00:00:00"/>
    <x v="3"/>
    <n v="0"/>
    <x v="1"/>
    <x v="3"/>
    <x v="4"/>
    <x v="2"/>
  </r>
  <r>
    <s v="EMP1488"/>
    <s v="Tarun Nanda"/>
    <n v="22"/>
    <x v="2"/>
    <x v="1"/>
    <s v="Senior Analyst"/>
    <n v="112398"/>
    <x v="2"/>
    <s v="Divorced"/>
    <d v="2024-07-06T00:00:00"/>
    <x v="0"/>
    <n v="4"/>
    <x v="0"/>
    <x v="0"/>
    <x v="2"/>
    <x v="1"/>
  </r>
  <r>
    <s v="EMP1489"/>
    <s v="Isha Nanda"/>
    <n v="22"/>
    <x v="0"/>
    <x v="1"/>
    <s v="Manager"/>
    <n v="114360"/>
    <x v="4"/>
    <s v="Married"/>
    <d v="2021-12-22T00:00:00"/>
    <x v="8"/>
    <n v="11"/>
    <x v="0"/>
    <x v="1"/>
    <x v="3"/>
    <x v="1"/>
  </r>
  <r>
    <s v="EMP1490"/>
    <s v="Isha Nanda"/>
    <n v="39"/>
    <x v="1"/>
    <x v="4"/>
    <s v="Junior Analyst"/>
    <n v="39821"/>
    <x v="3"/>
    <s v="Divorced"/>
    <d v="2016-10-18T00:00:00"/>
    <x v="6"/>
    <n v="1"/>
    <x v="0"/>
    <x v="3"/>
    <x v="1"/>
    <x v="0"/>
  </r>
  <r>
    <s v="EMP1491"/>
    <s v="Sneha Singh"/>
    <n v="52"/>
    <x v="0"/>
    <x v="5"/>
    <s v="Intern"/>
    <n v="94735"/>
    <x v="4"/>
    <s v="Single"/>
    <d v="2020-08-05T00:00:00"/>
    <x v="7"/>
    <n v="3"/>
    <x v="1"/>
    <x v="4"/>
    <x v="1"/>
    <x v="3"/>
  </r>
  <r>
    <s v="EMP1492"/>
    <s v="Rahul Pradhan"/>
    <n v="49"/>
    <x v="2"/>
    <x v="0"/>
    <s v="Manager"/>
    <n v="77596"/>
    <x v="3"/>
    <s v="Married"/>
    <d v="2023-12-11T00:00:00"/>
    <x v="3"/>
    <n v="11"/>
    <x v="0"/>
    <x v="2"/>
    <x v="2"/>
    <x v="3"/>
  </r>
  <r>
    <s v="EMP1493"/>
    <s v="Sneha Singh"/>
    <n v="48"/>
    <x v="2"/>
    <x v="3"/>
    <s v="Team Lead"/>
    <n v="29181"/>
    <x v="2"/>
    <s v="Divorced"/>
    <d v="2025-01-21T00:00:00"/>
    <x v="9"/>
    <n v="10"/>
    <x v="0"/>
    <x v="3"/>
    <x v="0"/>
    <x v="3"/>
  </r>
  <r>
    <s v="EMP1494"/>
    <s v="Rahul Mishra"/>
    <n v="30"/>
    <x v="1"/>
    <x v="5"/>
    <s v="Associate"/>
    <n v="39249"/>
    <x v="1"/>
    <s v="Single"/>
    <d v="2024-10-23T00:00:00"/>
    <x v="0"/>
    <n v="1"/>
    <x v="0"/>
    <x v="3"/>
    <x v="3"/>
    <x v="2"/>
  </r>
  <r>
    <s v="EMP1495"/>
    <s v="Rohit Singh"/>
    <n v="48"/>
    <x v="1"/>
    <x v="5"/>
    <s v="Executive"/>
    <n v="33408"/>
    <x v="1"/>
    <s v="Single"/>
    <d v="2023-03-03T00:00:00"/>
    <x v="3"/>
    <n v="8"/>
    <x v="1"/>
    <x v="2"/>
    <x v="1"/>
    <x v="3"/>
  </r>
  <r>
    <s v="EMP1496"/>
    <s v="Isha Mishra"/>
    <n v="51"/>
    <x v="2"/>
    <x v="6"/>
    <s v="Junior Analyst"/>
    <n v="97689"/>
    <x v="1"/>
    <s v="Single"/>
    <d v="2022-10-15T00:00:00"/>
    <x v="5"/>
    <n v="1"/>
    <x v="1"/>
    <x v="3"/>
    <x v="0"/>
    <x v="3"/>
  </r>
  <r>
    <s v="EMP1497"/>
    <s v="Isha Sharma"/>
    <n v="58"/>
    <x v="2"/>
    <x v="6"/>
    <s v="Team Lead"/>
    <n v="50075"/>
    <x v="3"/>
    <s v="Divorced"/>
    <d v="2023-03-27T00:00:00"/>
    <x v="3"/>
    <n v="8"/>
    <x v="0"/>
    <x v="2"/>
    <x v="5"/>
    <x v="3"/>
  </r>
  <r>
    <s v="EMP1498"/>
    <s v="Amit Sharma"/>
    <n v="42"/>
    <x v="0"/>
    <x v="5"/>
    <s v="Intern"/>
    <n v="22250"/>
    <x v="4"/>
    <s v="Divorced"/>
    <d v="2019-07-14T00:00:00"/>
    <x v="4"/>
    <n v="4"/>
    <x v="1"/>
    <x v="2"/>
    <x v="7"/>
    <x v="0"/>
  </r>
  <r>
    <s v="EMP1499"/>
    <s v="Sneha Nanda"/>
    <n v="31"/>
    <x v="0"/>
    <x v="2"/>
    <s v="Intern"/>
    <n v="98096"/>
    <x v="4"/>
    <s v="Divorced"/>
    <d v="2025-01-05T00:00:00"/>
    <x v="9"/>
    <n v="10"/>
    <x v="0"/>
    <x v="3"/>
    <x v="6"/>
    <x v="2"/>
  </r>
  <r>
    <s v="EMP1500"/>
    <s v="Rahul Sharma"/>
    <n v="39"/>
    <x v="1"/>
    <x v="3"/>
    <s v="Associate"/>
    <n v="67668"/>
    <x v="0"/>
    <s v="Married"/>
    <d v="2025-08-23T00:00:00"/>
    <x v="9"/>
    <n v="3"/>
    <x v="0"/>
    <x v="4"/>
    <x v="1"/>
    <x v="0"/>
  </r>
  <r>
    <s v="EMP1501"/>
    <s v="Amit Sharma"/>
    <n v="37"/>
    <x v="1"/>
    <x v="1"/>
    <s v="Executive"/>
    <n v="86766"/>
    <x v="1"/>
    <s v="Divorced"/>
    <d v="2016-11-02T00:00:00"/>
    <x v="6"/>
    <n v="0"/>
    <x v="0"/>
    <x v="0"/>
    <x v="2"/>
    <x v="0"/>
  </r>
  <r>
    <s v="EMP1502"/>
    <s v="Isha Singh"/>
    <n v="58"/>
    <x v="2"/>
    <x v="2"/>
    <s v="Team Lead"/>
    <n v="73974"/>
    <x v="3"/>
    <s v="Married"/>
    <d v="2022-01-29T00:00:00"/>
    <x v="5"/>
    <n v="10"/>
    <x v="1"/>
    <x v="1"/>
    <x v="1"/>
    <x v="3"/>
  </r>
  <r>
    <s v="EMP1503"/>
    <s v="Karan Singh"/>
    <n v="51"/>
    <x v="1"/>
    <x v="5"/>
    <s v="Executive"/>
    <n v="97876"/>
    <x v="3"/>
    <s v="Single"/>
    <d v="2016-03-15T00:00:00"/>
    <x v="6"/>
    <n v="8"/>
    <x v="0"/>
    <x v="2"/>
    <x v="1"/>
    <x v="3"/>
  </r>
  <r>
    <s v="EMP1504"/>
    <s v="Sneha Singh"/>
    <n v="33"/>
    <x v="2"/>
    <x v="1"/>
    <s v="Manager"/>
    <n v="72269"/>
    <x v="3"/>
    <s v="Married"/>
    <d v="2022-06-21T00:00:00"/>
    <x v="5"/>
    <n v="5"/>
    <x v="0"/>
    <x v="2"/>
    <x v="4"/>
    <x v="2"/>
  </r>
  <r>
    <s v="EMP1505"/>
    <s v="Rohit Patel"/>
    <n v="24"/>
    <x v="1"/>
    <x v="2"/>
    <s v="Team Lead"/>
    <n v="84412"/>
    <x v="3"/>
    <s v="Single"/>
    <d v="2017-06-18T00:00:00"/>
    <x v="2"/>
    <n v="5"/>
    <x v="1"/>
    <x v="4"/>
    <x v="0"/>
    <x v="1"/>
  </r>
  <r>
    <s v="EMP1506"/>
    <s v="Kavya Reddy"/>
    <n v="21"/>
    <x v="0"/>
    <x v="0"/>
    <s v="Associate"/>
    <n v="61321"/>
    <x v="3"/>
    <s v="Divorced"/>
    <d v="2021-07-23T00:00:00"/>
    <x v="8"/>
    <n v="4"/>
    <x v="1"/>
    <x v="2"/>
    <x v="5"/>
    <x v="1"/>
  </r>
  <r>
    <s v="EMP1507"/>
    <s v="Isha Pradhan"/>
    <n v="49"/>
    <x v="2"/>
    <x v="3"/>
    <s v="Associate"/>
    <n v="78616"/>
    <x v="2"/>
    <s v="Divorced"/>
    <d v="2016-10-24T00:00:00"/>
    <x v="6"/>
    <n v="1"/>
    <x v="1"/>
    <x v="0"/>
    <x v="6"/>
    <x v="3"/>
  </r>
  <r>
    <s v="EMP1508"/>
    <s v="Karan Reddy"/>
    <n v="21"/>
    <x v="0"/>
    <x v="3"/>
    <s v="Manager"/>
    <n v="64346"/>
    <x v="1"/>
    <s v="Married"/>
    <d v="2025-08-12T00:00:00"/>
    <x v="9"/>
    <n v="3"/>
    <x v="0"/>
    <x v="4"/>
    <x v="0"/>
    <x v="1"/>
  </r>
  <r>
    <s v="EMP1509"/>
    <s v="Karan Mishra"/>
    <n v="30"/>
    <x v="2"/>
    <x v="1"/>
    <s v="Team Lead"/>
    <n v="42560"/>
    <x v="0"/>
    <s v="Married"/>
    <d v="2024-02-04T00:00:00"/>
    <x v="0"/>
    <n v="9"/>
    <x v="1"/>
    <x v="2"/>
    <x v="3"/>
    <x v="2"/>
  </r>
  <r>
    <s v="EMP1510"/>
    <s v="Tarun Sharma"/>
    <n v="51"/>
    <x v="0"/>
    <x v="3"/>
    <s v="Associate"/>
    <n v="77232"/>
    <x v="3"/>
    <s v="Single"/>
    <d v="2022-01-27T00:00:00"/>
    <x v="5"/>
    <n v="10"/>
    <x v="1"/>
    <x v="1"/>
    <x v="2"/>
    <x v="3"/>
  </r>
  <r>
    <s v="EMP1511"/>
    <s v="Neha Mishra"/>
    <n v="22"/>
    <x v="0"/>
    <x v="7"/>
    <s v="Team Lead"/>
    <n v="76166"/>
    <x v="0"/>
    <s v="Married"/>
    <d v="2021-10-17T00:00:00"/>
    <x v="8"/>
    <n v="1"/>
    <x v="0"/>
    <x v="1"/>
    <x v="6"/>
    <x v="1"/>
  </r>
  <r>
    <s v="EMP1512"/>
    <s v="Isha Singh"/>
    <n v="53"/>
    <x v="1"/>
    <x v="3"/>
    <s v="Associate"/>
    <n v="36781"/>
    <x v="0"/>
    <s v="Divorced"/>
    <d v="2023-10-10T00:00:00"/>
    <x v="3"/>
    <n v="1"/>
    <x v="0"/>
    <x v="1"/>
    <x v="7"/>
    <x v="3"/>
  </r>
  <r>
    <s v="EMP1513"/>
    <s v="Isha Nanda"/>
    <n v="53"/>
    <x v="0"/>
    <x v="6"/>
    <s v="Manager"/>
    <n v="58760"/>
    <x v="4"/>
    <s v="Single"/>
    <d v="2019-12-04T00:00:00"/>
    <x v="4"/>
    <n v="11"/>
    <x v="1"/>
    <x v="2"/>
    <x v="2"/>
    <x v="3"/>
  </r>
  <r>
    <s v="EMP1514"/>
    <s v="Karan Mishra"/>
    <n v="39"/>
    <x v="0"/>
    <x v="2"/>
    <s v="Executive"/>
    <n v="101735"/>
    <x v="3"/>
    <s v="Single"/>
    <d v="2018-05-06T00:00:00"/>
    <x v="1"/>
    <n v="6"/>
    <x v="1"/>
    <x v="4"/>
    <x v="6"/>
    <x v="0"/>
  </r>
  <r>
    <s v="EMP1515"/>
    <s v="Isha Singh"/>
    <n v="27"/>
    <x v="1"/>
    <x v="5"/>
    <s v="Senior Analyst"/>
    <n v="38643"/>
    <x v="0"/>
    <s v="Single"/>
    <d v="2023-03-04T00:00:00"/>
    <x v="3"/>
    <n v="8"/>
    <x v="0"/>
    <x v="1"/>
    <x v="6"/>
    <x v="2"/>
  </r>
  <r>
    <s v="EMP1516"/>
    <s v="Karan Patel"/>
    <n v="37"/>
    <x v="0"/>
    <x v="2"/>
    <s v="Executive"/>
    <n v="93246"/>
    <x v="1"/>
    <s v="Single"/>
    <d v="2019-09-05T00:00:00"/>
    <x v="4"/>
    <n v="2"/>
    <x v="1"/>
    <x v="0"/>
    <x v="1"/>
    <x v="0"/>
  </r>
  <r>
    <s v="EMP1517"/>
    <s v="Rahul Pradhan"/>
    <n v="21"/>
    <x v="1"/>
    <x v="6"/>
    <s v="Junior Analyst"/>
    <n v="31884"/>
    <x v="0"/>
    <s v="Single"/>
    <d v="2020-12-19T00:00:00"/>
    <x v="7"/>
    <n v="11"/>
    <x v="1"/>
    <x v="1"/>
    <x v="1"/>
    <x v="1"/>
  </r>
  <r>
    <s v="EMP1518"/>
    <s v="Kavya Patel"/>
    <n v="39"/>
    <x v="1"/>
    <x v="0"/>
    <s v="Associate"/>
    <n v="111441"/>
    <x v="4"/>
    <s v="Single"/>
    <d v="2024-08-29T00:00:00"/>
    <x v="0"/>
    <n v="3"/>
    <x v="1"/>
    <x v="0"/>
    <x v="5"/>
    <x v="0"/>
  </r>
  <r>
    <s v="EMP1519"/>
    <s v="Sneha Mishra"/>
    <n v="49"/>
    <x v="0"/>
    <x v="4"/>
    <s v="Intern"/>
    <n v="58683"/>
    <x v="2"/>
    <s v="Married"/>
    <d v="2018-10-14T00:00:00"/>
    <x v="1"/>
    <n v="1"/>
    <x v="0"/>
    <x v="1"/>
    <x v="3"/>
    <x v="3"/>
  </r>
  <r>
    <s v="EMP1520"/>
    <s v="Neha Nanda"/>
    <n v="31"/>
    <x v="2"/>
    <x v="3"/>
    <s v="Junior Analyst"/>
    <n v="60567"/>
    <x v="2"/>
    <s v="Single"/>
    <d v="2016-12-01T00:00:00"/>
    <x v="6"/>
    <n v="11"/>
    <x v="1"/>
    <x v="2"/>
    <x v="6"/>
    <x v="2"/>
  </r>
  <r>
    <s v="EMP1521"/>
    <s v="Isha Nanda"/>
    <n v="30"/>
    <x v="1"/>
    <x v="3"/>
    <s v="Team Lead"/>
    <n v="97225"/>
    <x v="1"/>
    <s v="Divorced"/>
    <d v="2017-05-04T00:00:00"/>
    <x v="2"/>
    <n v="6"/>
    <x v="1"/>
    <x v="2"/>
    <x v="6"/>
    <x v="2"/>
  </r>
  <r>
    <s v="EMP1522"/>
    <s v="Karan Singh"/>
    <n v="24"/>
    <x v="1"/>
    <x v="4"/>
    <s v="Team Lead"/>
    <n v="70535"/>
    <x v="2"/>
    <s v="Single"/>
    <d v="2023-02-24T00:00:00"/>
    <x v="3"/>
    <n v="9"/>
    <x v="0"/>
    <x v="0"/>
    <x v="5"/>
    <x v="1"/>
  </r>
  <r>
    <s v="EMP1523"/>
    <s v="Isha Nanda"/>
    <n v="24"/>
    <x v="1"/>
    <x v="0"/>
    <s v="Team Lead"/>
    <n v="108971"/>
    <x v="2"/>
    <s v="Married"/>
    <d v="2022-07-19T00:00:00"/>
    <x v="5"/>
    <n v="4"/>
    <x v="1"/>
    <x v="0"/>
    <x v="4"/>
    <x v="1"/>
  </r>
  <r>
    <s v="EMP1524"/>
    <s v="Amit Singh"/>
    <n v="24"/>
    <x v="2"/>
    <x v="4"/>
    <s v="Team Lead"/>
    <n v="32984"/>
    <x v="4"/>
    <s v="Married"/>
    <d v="2019-11-01T00:00:00"/>
    <x v="4"/>
    <n v="0"/>
    <x v="0"/>
    <x v="3"/>
    <x v="5"/>
    <x v="1"/>
  </r>
  <r>
    <s v="EMP1525"/>
    <s v="Rohit Nanda"/>
    <n v="24"/>
    <x v="2"/>
    <x v="7"/>
    <s v="Associate"/>
    <n v="107850"/>
    <x v="4"/>
    <s v="Married"/>
    <d v="2019-11-10T00:00:00"/>
    <x v="4"/>
    <n v="0"/>
    <x v="1"/>
    <x v="2"/>
    <x v="2"/>
    <x v="1"/>
  </r>
  <r>
    <s v="EMP1526"/>
    <s v="Priya Mishra"/>
    <n v="28"/>
    <x v="2"/>
    <x v="6"/>
    <s v="Executive"/>
    <n v="117231"/>
    <x v="1"/>
    <s v="Married"/>
    <d v="2022-02-22T00:00:00"/>
    <x v="5"/>
    <n v="9"/>
    <x v="1"/>
    <x v="3"/>
    <x v="1"/>
    <x v="2"/>
  </r>
  <r>
    <s v="EMP1527"/>
    <s v="Priya Pradhan"/>
    <n v="40"/>
    <x v="1"/>
    <x v="2"/>
    <s v="Intern"/>
    <n v="74980"/>
    <x v="3"/>
    <s v="Single"/>
    <d v="2022-09-20T00:00:00"/>
    <x v="5"/>
    <n v="2"/>
    <x v="0"/>
    <x v="0"/>
    <x v="0"/>
    <x v="0"/>
  </r>
  <r>
    <s v="EMP1528"/>
    <s v="Amit Mishra"/>
    <n v="38"/>
    <x v="0"/>
    <x v="3"/>
    <s v="Manager"/>
    <n v="89943"/>
    <x v="0"/>
    <s v="Divorced"/>
    <d v="2022-06-19T00:00:00"/>
    <x v="5"/>
    <n v="5"/>
    <x v="1"/>
    <x v="2"/>
    <x v="3"/>
    <x v="0"/>
  </r>
  <r>
    <s v="EMP1529"/>
    <s v="Rahul Pradhan"/>
    <n v="47"/>
    <x v="2"/>
    <x v="1"/>
    <s v="Senior Analyst"/>
    <n v="99948"/>
    <x v="2"/>
    <s v="Married"/>
    <d v="2020-06-18T00:00:00"/>
    <x v="7"/>
    <n v="5"/>
    <x v="1"/>
    <x v="0"/>
    <x v="4"/>
    <x v="3"/>
  </r>
  <r>
    <s v="EMP1530"/>
    <s v="Amit Nanda"/>
    <n v="28"/>
    <x v="0"/>
    <x v="1"/>
    <s v="Associate"/>
    <n v="65223"/>
    <x v="2"/>
    <s v="Single"/>
    <d v="2019-06-03T00:00:00"/>
    <x v="4"/>
    <n v="5"/>
    <x v="0"/>
    <x v="1"/>
    <x v="7"/>
    <x v="2"/>
  </r>
  <r>
    <s v="EMP1531"/>
    <s v="Sneha Singh"/>
    <n v="21"/>
    <x v="0"/>
    <x v="4"/>
    <s v="Junior Analyst"/>
    <n v="104235"/>
    <x v="1"/>
    <s v="Single"/>
    <d v="2017-09-22T00:00:00"/>
    <x v="2"/>
    <n v="2"/>
    <x v="1"/>
    <x v="3"/>
    <x v="0"/>
    <x v="1"/>
  </r>
  <r>
    <s v="EMP1532"/>
    <s v="Kavya Pradhan"/>
    <n v="49"/>
    <x v="2"/>
    <x v="1"/>
    <s v="Associate"/>
    <n v="90358"/>
    <x v="2"/>
    <s v="Married"/>
    <d v="2020-03-03T00:00:00"/>
    <x v="7"/>
    <n v="8"/>
    <x v="0"/>
    <x v="1"/>
    <x v="0"/>
    <x v="3"/>
  </r>
  <r>
    <s v="EMP1533"/>
    <s v="Kavya Sharma"/>
    <n v="56"/>
    <x v="1"/>
    <x v="0"/>
    <s v="Team Lead"/>
    <n v="111340"/>
    <x v="3"/>
    <s v="Married"/>
    <d v="2022-04-24T00:00:00"/>
    <x v="5"/>
    <n v="7"/>
    <x v="1"/>
    <x v="2"/>
    <x v="7"/>
    <x v="3"/>
  </r>
  <r>
    <s v="EMP1534"/>
    <s v="Kavya Nanda"/>
    <n v="43"/>
    <x v="0"/>
    <x v="4"/>
    <s v="Manager"/>
    <n v="108504"/>
    <x v="1"/>
    <s v="Divorced"/>
    <d v="2024-05-21T00:00:00"/>
    <x v="0"/>
    <n v="6"/>
    <x v="1"/>
    <x v="3"/>
    <x v="2"/>
    <x v="0"/>
  </r>
  <r>
    <s v="EMP1535"/>
    <s v="Karan Reddy"/>
    <n v="25"/>
    <x v="0"/>
    <x v="4"/>
    <s v="Intern"/>
    <n v="100662"/>
    <x v="0"/>
    <s v="Divorced"/>
    <d v="2023-04-17T00:00:00"/>
    <x v="3"/>
    <n v="7"/>
    <x v="1"/>
    <x v="0"/>
    <x v="7"/>
    <x v="1"/>
  </r>
  <r>
    <s v="EMP1536"/>
    <s v="Neha Reddy"/>
    <n v="20"/>
    <x v="1"/>
    <x v="4"/>
    <s v="Junior Analyst"/>
    <n v="85195"/>
    <x v="4"/>
    <s v="Divorced"/>
    <d v="2019-11-26T00:00:00"/>
    <x v="4"/>
    <n v="0"/>
    <x v="1"/>
    <x v="4"/>
    <x v="3"/>
    <x v="1"/>
  </r>
  <r>
    <s v="EMP1537"/>
    <s v="Rohit Pradhan"/>
    <n v="22"/>
    <x v="2"/>
    <x v="2"/>
    <s v="Associate"/>
    <n v="113285"/>
    <x v="4"/>
    <s v="Married"/>
    <d v="2016-11-15T00:00:00"/>
    <x v="6"/>
    <n v="0"/>
    <x v="1"/>
    <x v="0"/>
    <x v="5"/>
    <x v="1"/>
  </r>
  <r>
    <s v="EMP1538"/>
    <s v="Kavya Sharma"/>
    <n v="38"/>
    <x v="2"/>
    <x v="6"/>
    <s v="Junior Analyst"/>
    <n v="55593"/>
    <x v="0"/>
    <s v="Single"/>
    <d v="2021-11-08T00:00:00"/>
    <x v="8"/>
    <n v="0"/>
    <x v="0"/>
    <x v="4"/>
    <x v="3"/>
    <x v="0"/>
  </r>
  <r>
    <s v="EMP1539"/>
    <s v="Amit Reddy"/>
    <n v="37"/>
    <x v="1"/>
    <x v="2"/>
    <s v="Intern"/>
    <n v="19861"/>
    <x v="0"/>
    <s v="Divorced"/>
    <d v="2018-02-22T00:00:00"/>
    <x v="1"/>
    <n v="9"/>
    <x v="0"/>
    <x v="3"/>
    <x v="6"/>
    <x v="0"/>
  </r>
  <r>
    <s v="EMP1540"/>
    <s v="Amit Patel"/>
    <n v="35"/>
    <x v="1"/>
    <x v="5"/>
    <s v="Associate"/>
    <n v="87125"/>
    <x v="0"/>
    <s v="Married"/>
    <d v="2017-02-17T00:00:00"/>
    <x v="2"/>
    <n v="9"/>
    <x v="0"/>
    <x v="0"/>
    <x v="5"/>
    <x v="2"/>
  </r>
  <r>
    <s v="EMP1541"/>
    <s v="Isha Mishra"/>
    <n v="46"/>
    <x v="1"/>
    <x v="0"/>
    <s v="Junior Analyst"/>
    <n v="104594"/>
    <x v="1"/>
    <s v="Single"/>
    <d v="2022-08-31T00:00:00"/>
    <x v="5"/>
    <n v="2"/>
    <x v="1"/>
    <x v="2"/>
    <x v="3"/>
    <x v="3"/>
  </r>
  <r>
    <s v="EMP1542"/>
    <s v="Sneha Sharma"/>
    <n v="30"/>
    <x v="1"/>
    <x v="1"/>
    <s v="Senior Analyst"/>
    <n v="80420"/>
    <x v="2"/>
    <s v="Divorced"/>
    <d v="2024-08-15T00:00:00"/>
    <x v="0"/>
    <n v="3"/>
    <x v="0"/>
    <x v="3"/>
    <x v="0"/>
    <x v="2"/>
  </r>
  <r>
    <s v="EMP1543"/>
    <s v="Isha Patel"/>
    <n v="29"/>
    <x v="2"/>
    <x v="1"/>
    <s v="Senior Analyst"/>
    <n v="19554"/>
    <x v="2"/>
    <s v="Married"/>
    <d v="2023-10-18T00:00:00"/>
    <x v="3"/>
    <n v="1"/>
    <x v="1"/>
    <x v="0"/>
    <x v="7"/>
    <x v="2"/>
  </r>
  <r>
    <s v="EMP1544"/>
    <s v="Sneha Reddy"/>
    <n v="42"/>
    <x v="1"/>
    <x v="2"/>
    <s v="Senior Analyst"/>
    <n v="61904"/>
    <x v="3"/>
    <s v="Single"/>
    <d v="2019-01-18T00:00:00"/>
    <x v="4"/>
    <n v="10"/>
    <x v="1"/>
    <x v="3"/>
    <x v="4"/>
    <x v="0"/>
  </r>
  <r>
    <s v="EMP1545"/>
    <s v="Kavya Mishra"/>
    <n v="32"/>
    <x v="2"/>
    <x v="3"/>
    <s v="Intern"/>
    <n v="106829"/>
    <x v="1"/>
    <s v="Married"/>
    <d v="2022-04-30T00:00:00"/>
    <x v="5"/>
    <n v="6"/>
    <x v="0"/>
    <x v="2"/>
    <x v="2"/>
    <x v="2"/>
  </r>
  <r>
    <s v="EMP1546"/>
    <s v="Rahul Nanda"/>
    <n v="26"/>
    <x v="2"/>
    <x v="7"/>
    <s v="Junior Analyst"/>
    <n v="107849"/>
    <x v="3"/>
    <s v="Single"/>
    <d v="2024-04-26T00:00:00"/>
    <x v="0"/>
    <n v="7"/>
    <x v="1"/>
    <x v="4"/>
    <x v="4"/>
    <x v="2"/>
  </r>
  <r>
    <s v="EMP1547"/>
    <s v="Rahul Sharma"/>
    <n v="25"/>
    <x v="0"/>
    <x v="0"/>
    <s v="Intern"/>
    <n v="96562"/>
    <x v="0"/>
    <s v="Divorced"/>
    <d v="2017-07-13T00:00:00"/>
    <x v="2"/>
    <n v="4"/>
    <x v="0"/>
    <x v="0"/>
    <x v="5"/>
    <x v="1"/>
  </r>
  <r>
    <s v="EMP1548"/>
    <s v="Tarun Singh"/>
    <n v="56"/>
    <x v="0"/>
    <x v="7"/>
    <s v="Executive"/>
    <n v="109180"/>
    <x v="3"/>
    <s v="Married"/>
    <d v="2021-06-03T00:00:00"/>
    <x v="8"/>
    <n v="5"/>
    <x v="0"/>
    <x v="3"/>
    <x v="3"/>
    <x v="3"/>
  </r>
  <r>
    <s v="EMP1549"/>
    <s v="Tarun Singh"/>
    <n v="40"/>
    <x v="1"/>
    <x v="5"/>
    <s v="Senior Analyst"/>
    <n v="27698"/>
    <x v="0"/>
    <s v="Married"/>
    <d v="2020-07-17T00:00:00"/>
    <x v="7"/>
    <n v="4"/>
    <x v="1"/>
    <x v="2"/>
    <x v="3"/>
    <x v="0"/>
  </r>
  <r>
    <s v="EMP1550"/>
    <s v="Rohit Pradhan"/>
    <n v="48"/>
    <x v="0"/>
    <x v="4"/>
    <s v="Team Lead"/>
    <n v="44302"/>
    <x v="2"/>
    <s v="Single"/>
    <d v="2023-06-04T00:00:00"/>
    <x v="3"/>
    <n v="5"/>
    <x v="1"/>
    <x v="2"/>
    <x v="5"/>
    <x v="3"/>
  </r>
  <r>
    <s v="EMP1551"/>
    <s v="Karan Mishra"/>
    <n v="47"/>
    <x v="0"/>
    <x v="7"/>
    <s v="Intern"/>
    <n v="75878"/>
    <x v="3"/>
    <s v="Single"/>
    <d v="2016-07-29T00:00:00"/>
    <x v="6"/>
    <n v="4"/>
    <x v="0"/>
    <x v="2"/>
    <x v="3"/>
    <x v="3"/>
  </r>
  <r>
    <s v="EMP1552"/>
    <s v="Isha Sharma"/>
    <n v="51"/>
    <x v="0"/>
    <x v="6"/>
    <s v="Intern"/>
    <n v="22959"/>
    <x v="2"/>
    <s v="Married"/>
    <d v="2017-11-19T00:00:00"/>
    <x v="2"/>
    <n v="0"/>
    <x v="1"/>
    <x v="3"/>
    <x v="7"/>
    <x v="3"/>
  </r>
  <r>
    <s v="EMP1553"/>
    <s v="Karan Singh"/>
    <n v="51"/>
    <x v="1"/>
    <x v="1"/>
    <s v="Associate"/>
    <n v="70941"/>
    <x v="0"/>
    <s v="Divorced"/>
    <d v="2018-09-20T00:00:00"/>
    <x v="1"/>
    <n v="2"/>
    <x v="0"/>
    <x v="3"/>
    <x v="1"/>
    <x v="3"/>
  </r>
  <r>
    <s v="EMP1554"/>
    <s v="Sneha Reddy"/>
    <n v="54"/>
    <x v="1"/>
    <x v="3"/>
    <s v="Senior Analyst"/>
    <n v="107369"/>
    <x v="2"/>
    <s v="Single"/>
    <d v="2023-04-11T00:00:00"/>
    <x v="3"/>
    <n v="7"/>
    <x v="0"/>
    <x v="4"/>
    <x v="6"/>
    <x v="3"/>
  </r>
  <r>
    <s v="EMP1555"/>
    <s v="Sneha Mishra"/>
    <n v="49"/>
    <x v="1"/>
    <x v="0"/>
    <s v="Team Lead"/>
    <n v="41149"/>
    <x v="0"/>
    <s v="Married"/>
    <d v="2023-08-06T00:00:00"/>
    <x v="3"/>
    <n v="3"/>
    <x v="0"/>
    <x v="4"/>
    <x v="0"/>
    <x v="3"/>
  </r>
  <r>
    <s v="EMP1556"/>
    <s v="Sneha Singh"/>
    <n v="42"/>
    <x v="1"/>
    <x v="7"/>
    <s v="Junior Analyst"/>
    <n v="100941"/>
    <x v="1"/>
    <s v="Single"/>
    <d v="2016-08-02T00:00:00"/>
    <x v="6"/>
    <n v="3"/>
    <x v="0"/>
    <x v="2"/>
    <x v="4"/>
    <x v="0"/>
  </r>
  <r>
    <s v="EMP1557"/>
    <s v="Isha Nanda"/>
    <n v="24"/>
    <x v="2"/>
    <x v="2"/>
    <s v="Team Lead"/>
    <n v="83494"/>
    <x v="2"/>
    <s v="Single"/>
    <d v="2016-08-07T00:00:00"/>
    <x v="6"/>
    <n v="3"/>
    <x v="1"/>
    <x v="2"/>
    <x v="6"/>
    <x v="1"/>
  </r>
  <r>
    <s v="EMP1558"/>
    <s v="Rahul Nanda"/>
    <n v="27"/>
    <x v="0"/>
    <x v="4"/>
    <s v="Associate"/>
    <n v="106877"/>
    <x v="4"/>
    <s v="Single"/>
    <d v="2024-06-30T00:00:00"/>
    <x v="0"/>
    <n v="4"/>
    <x v="0"/>
    <x v="2"/>
    <x v="7"/>
    <x v="2"/>
  </r>
  <r>
    <s v="EMP1559"/>
    <s v="Amit Nanda"/>
    <n v="21"/>
    <x v="1"/>
    <x v="6"/>
    <s v="Intern"/>
    <n v="49808"/>
    <x v="1"/>
    <s v="Single"/>
    <d v="2018-02-12T00:00:00"/>
    <x v="1"/>
    <n v="9"/>
    <x v="0"/>
    <x v="4"/>
    <x v="2"/>
    <x v="1"/>
  </r>
  <r>
    <s v="EMP1560"/>
    <s v="Isha Reddy"/>
    <n v="30"/>
    <x v="2"/>
    <x v="7"/>
    <s v="Manager"/>
    <n v="31937"/>
    <x v="2"/>
    <s v="Divorced"/>
    <d v="2025-02-23T00:00:00"/>
    <x v="9"/>
    <n v="9"/>
    <x v="0"/>
    <x v="2"/>
    <x v="4"/>
    <x v="2"/>
  </r>
  <r>
    <s v="EMP1561"/>
    <s v="Tarun Patel"/>
    <n v="45"/>
    <x v="1"/>
    <x v="7"/>
    <s v="Team Lead"/>
    <n v="107664"/>
    <x v="4"/>
    <s v="Single"/>
    <d v="2019-10-17T00:00:00"/>
    <x v="4"/>
    <n v="1"/>
    <x v="0"/>
    <x v="2"/>
    <x v="5"/>
    <x v="0"/>
  </r>
  <r>
    <s v="EMP1562"/>
    <s v="Neha Sharma"/>
    <n v="27"/>
    <x v="1"/>
    <x v="5"/>
    <s v="Junior Analyst"/>
    <n v="117293"/>
    <x v="1"/>
    <s v="Divorced"/>
    <d v="2020-05-02T00:00:00"/>
    <x v="7"/>
    <n v="6"/>
    <x v="0"/>
    <x v="3"/>
    <x v="4"/>
    <x v="2"/>
  </r>
  <r>
    <s v="EMP1563"/>
    <s v="Kavya Sharma"/>
    <n v="28"/>
    <x v="0"/>
    <x v="1"/>
    <s v="Executive"/>
    <n v="119929"/>
    <x v="0"/>
    <s v="Married"/>
    <d v="2017-02-02T00:00:00"/>
    <x v="2"/>
    <n v="9"/>
    <x v="0"/>
    <x v="2"/>
    <x v="5"/>
    <x v="2"/>
  </r>
  <r>
    <s v="EMP1564"/>
    <s v="Sneha Singh"/>
    <n v="57"/>
    <x v="1"/>
    <x v="1"/>
    <s v="Associate"/>
    <n v="108898"/>
    <x v="2"/>
    <s v="Divorced"/>
    <d v="2017-08-10T00:00:00"/>
    <x v="2"/>
    <n v="3"/>
    <x v="0"/>
    <x v="1"/>
    <x v="3"/>
    <x v="3"/>
  </r>
  <r>
    <s v="EMP1565"/>
    <s v="Karan Nanda"/>
    <n v="46"/>
    <x v="0"/>
    <x v="5"/>
    <s v="Intern"/>
    <n v="98024"/>
    <x v="0"/>
    <s v="Divorced"/>
    <d v="2018-03-16T00:00:00"/>
    <x v="1"/>
    <n v="8"/>
    <x v="1"/>
    <x v="0"/>
    <x v="2"/>
    <x v="3"/>
  </r>
  <r>
    <s v="EMP1566"/>
    <s v="Rohit Patel"/>
    <n v="46"/>
    <x v="0"/>
    <x v="0"/>
    <s v="Manager"/>
    <n v="43153"/>
    <x v="4"/>
    <s v="Single"/>
    <d v="2023-02-16T00:00:00"/>
    <x v="3"/>
    <n v="9"/>
    <x v="1"/>
    <x v="0"/>
    <x v="4"/>
    <x v="3"/>
  </r>
  <r>
    <s v="EMP1567"/>
    <s v="Isha Mishra"/>
    <n v="33"/>
    <x v="1"/>
    <x v="6"/>
    <s v="Manager"/>
    <n v="43391"/>
    <x v="1"/>
    <s v="Divorced"/>
    <d v="2025-08-25T00:00:00"/>
    <x v="9"/>
    <n v="3"/>
    <x v="1"/>
    <x v="3"/>
    <x v="5"/>
    <x v="2"/>
  </r>
  <r>
    <s v="EMP1568"/>
    <s v="Amit Singh"/>
    <n v="22"/>
    <x v="0"/>
    <x v="3"/>
    <s v="Executive"/>
    <n v="55363"/>
    <x v="2"/>
    <s v="Married"/>
    <d v="2019-12-08T00:00:00"/>
    <x v="4"/>
    <n v="11"/>
    <x v="1"/>
    <x v="2"/>
    <x v="2"/>
    <x v="1"/>
  </r>
  <r>
    <s v="EMP1569"/>
    <s v="Rahul Reddy"/>
    <n v="31"/>
    <x v="0"/>
    <x v="6"/>
    <s v="Team Lead"/>
    <n v="81577"/>
    <x v="0"/>
    <s v="Single"/>
    <d v="2018-10-28T00:00:00"/>
    <x v="1"/>
    <n v="1"/>
    <x v="1"/>
    <x v="0"/>
    <x v="6"/>
    <x v="2"/>
  </r>
  <r>
    <s v="EMP1570"/>
    <s v="Tarun Pradhan"/>
    <n v="40"/>
    <x v="0"/>
    <x v="7"/>
    <s v="Executive"/>
    <n v="60746"/>
    <x v="0"/>
    <s v="Single"/>
    <d v="2024-06-16T00:00:00"/>
    <x v="0"/>
    <n v="5"/>
    <x v="1"/>
    <x v="1"/>
    <x v="0"/>
    <x v="0"/>
  </r>
  <r>
    <s v="EMP1571"/>
    <s v="Priya Sharma"/>
    <n v="50"/>
    <x v="2"/>
    <x v="4"/>
    <s v="Junior Analyst"/>
    <n v="25122"/>
    <x v="1"/>
    <s v="Single"/>
    <d v="2023-01-08T00:00:00"/>
    <x v="3"/>
    <n v="10"/>
    <x v="1"/>
    <x v="1"/>
    <x v="0"/>
    <x v="3"/>
  </r>
  <r>
    <s v="EMP1572"/>
    <s v="Neha Pradhan"/>
    <n v="49"/>
    <x v="2"/>
    <x v="0"/>
    <s v="Senior Analyst"/>
    <n v="100840"/>
    <x v="3"/>
    <s v="Single"/>
    <d v="2019-12-14T00:00:00"/>
    <x v="4"/>
    <n v="11"/>
    <x v="0"/>
    <x v="2"/>
    <x v="7"/>
    <x v="3"/>
  </r>
  <r>
    <s v="EMP1573"/>
    <s v="Rohit Pradhan"/>
    <n v="27"/>
    <x v="1"/>
    <x v="4"/>
    <s v="Executive"/>
    <n v="72817"/>
    <x v="3"/>
    <s v="Single"/>
    <d v="2019-06-30T00:00:00"/>
    <x v="4"/>
    <n v="4"/>
    <x v="0"/>
    <x v="0"/>
    <x v="5"/>
    <x v="2"/>
  </r>
  <r>
    <s v="EMP1574"/>
    <s v="Kavya Reddy"/>
    <n v="34"/>
    <x v="0"/>
    <x v="1"/>
    <s v="Junior Analyst"/>
    <n v="86389"/>
    <x v="1"/>
    <s v="Divorced"/>
    <d v="2021-06-30T00:00:00"/>
    <x v="8"/>
    <n v="4"/>
    <x v="1"/>
    <x v="4"/>
    <x v="7"/>
    <x v="2"/>
  </r>
  <r>
    <s v="EMP1575"/>
    <s v="Tarun Singh"/>
    <n v="35"/>
    <x v="0"/>
    <x v="3"/>
    <s v="Team Lead"/>
    <n v="74917"/>
    <x v="1"/>
    <s v="Divorced"/>
    <d v="2017-11-09T00:00:00"/>
    <x v="2"/>
    <n v="0"/>
    <x v="0"/>
    <x v="3"/>
    <x v="7"/>
    <x v="2"/>
  </r>
  <r>
    <s v="EMP1576"/>
    <s v="Rahul Nanda"/>
    <n v="52"/>
    <x v="0"/>
    <x v="1"/>
    <s v="Junior Analyst"/>
    <n v="87615"/>
    <x v="2"/>
    <s v="Divorced"/>
    <d v="2025-05-25T00:00:00"/>
    <x v="9"/>
    <n v="6"/>
    <x v="0"/>
    <x v="3"/>
    <x v="1"/>
    <x v="3"/>
  </r>
  <r>
    <s v="EMP1577"/>
    <s v="Priya Sharma"/>
    <n v="55"/>
    <x v="0"/>
    <x v="1"/>
    <s v="Executive"/>
    <n v="46574"/>
    <x v="3"/>
    <s v="Married"/>
    <d v="2018-11-13T00:00:00"/>
    <x v="1"/>
    <n v="0"/>
    <x v="0"/>
    <x v="2"/>
    <x v="1"/>
    <x v="3"/>
  </r>
  <r>
    <s v="EMP1578"/>
    <s v="Rohit Pradhan"/>
    <n v="49"/>
    <x v="2"/>
    <x v="6"/>
    <s v="Junior Analyst"/>
    <n v="77616"/>
    <x v="1"/>
    <s v="Divorced"/>
    <d v="2020-09-24T00:00:00"/>
    <x v="7"/>
    <n v="2"/>
    <x v="0"/>
    <x v="4"/>
    <x v="1"/>
    <x v="3"/>
  </r>
  <r>
    <s v="EMP1579"/>
    <s v="Rahul Mishra"/>
    <n v="24"/>
    <x v="1"/>
    <x v="3"/>
    <s v="Manager"/>
    <n v="87588"/>
    <x v="3"/>
    <s v="Married"/>
    <d v="2024-08-17T00:00:00"/>
    <x v="0"/>
    <n v="3"/>
    <x v="1"/>
    <x v="0"/>
    <x v="4"/>
    <x v="1"/>
  </r>
  <r>
    <s v="EMP1580"/>
    <s v="Sneha Reddy"/>
    <n v="41"/>
    <x v="2"/>
    <x v="6"/>
    <s v="Intern"/>
    <n v="85467"/>
    <x v="3"/>
    <s v="Single"/>
    <d v="2017-06-06T00:00:00"/>
    <x v="2"/>
    <n v="5"/>
    <x v="1"/>
    <x v="4"/>
    <x v="1"/>
    <x v="0"/>
  </r>
  <r>
    <s v="EMP1581"/>
    <s v="Kavya Sharma"/>
    <n v="43"/>
    <x v="1"/>
    <x v="5"/>
    <s v="Team Lead"/>
    <n v="102957"/>
    <x v="0"/>
    <s v="Divorced"/>
    <d v="2024-02-21T00:00:00"/>
    <x v="0"/>
    <n v="9"/>
    <x v="0"/>
    <x v="1"/>
    <x v="6"/>
    <x v="0"/>
  </r>
  <r>
    <s v="EMP1582"/>
    <s v="Priya Reddy"/>
    <n v="27"/>
    <x v="2"/>
    <x v="4"/>
    <s v="Associate"/>
    <n v="114649"/>
    <x v="4"/>
    <s v="Divorced"/>
    <d v="2018-07-16T00:00:00"/>
    <x v="1"/>
    <n v="4"/>
    <x v="0"/>
    <x v="4"/>
    <x v="6"/>
    <x v="2"/>
  </r>
  <r>
    <s v="EMP1583"/>
    <s v="Rohit Reddy"/>
    <n v="47"/>
    <x v="1"/>
    <x v="6"/>
    <s v="Senior Analyst"/>
    <n v="26305"/>
    <x v="3"/>
    <s v="Married"/>
    <d v="2021-08-21T00:00:00"/>
    <x v="8"/>
    <n v="3"/>
    <x v="0"/>
    <x v="3"/>
    <x v="3"/>
    <x v="3"/>
  </r>
  <r>
    <s v="EMP1584"/>
    <s v="Isha Reddy"/>
    <n v="43"/>
    <x v="2"/>
    <x v="7"/>
    <s v="Junior Analyst"/>
    <n v="42687"/>
    <x v="0"/>
    <s v="Single"/>
    <d v="2020-07-26T00:00:00"/>
    <x v="7"/>
    <n v="4"/>
    <x v="0"/>
    <x v="4"/>
    <x v="2"/>
    <x v="0"/>
  </r>
  <r>
    <s v="EMP1585"/>
    <s v="Sneha Pradhan"/>
    <n v="37"/>
    <x v="0"/>
    <x v="5"/>
    <s v="Executive"/>
    <n v="83054"/>
    <x v="1"/>
    <s v="Divorced"/>
    <d v="2023-03-22T00:00:00"/>
    <x v="3"/>
    <n v="8"/>
    <x v="0"/>
    <x v="4"/>
    <x v="0"/>
    <x v="0"/>
  </r>
  <r>
    <s v="EMP1586"/>
    <s v="Karan Pradhan"/>
    <n v="50"/>
    <x v="1"/>
    <x v="1"/>
    <s v="Intern"/>
    <n v="76177"/>
    <x v="0"/>
    <s v="Married"/>
    <d v="2018-04-22T00:00:00"/>
    <x v="1"/>
    <n v="7"/>
    <x v="0"/>
    <x v="2"/>
    <x v="4"/>
    <x v="3"/>
  </r>
  <r>
    <s v="EMP1587"/>
    <s v="Karan Singh"/>
    <n v="41"/>
    <x v="1"/>
    <x v="3"/>
    <s v="Intern"/>
    <n v="103951"/>
    <x v="3"/>
    <s v="Married"/>
    <d v="2022-11-03T00:00:00"/>
    <x v="5"/>
    <n v="0"/>
    <x v="1"/>
    <x v="3"/>
    <x v="3"/>
    <x v="0"/>
  </r>
  <r>
    <s v="EMP1588"/>
    <s v="Kavya Pradhan"/>
    <n v="39"/>
    <x v="0"/>
    <x v="2"/>
    <s v="Junior Analyst"/>
    <n v="47724"/>
    <x v="3"/>
    <s v="Married"/>
    <d v="2024-10-25T00:00:00"/>
    <x v="0"/>
    <n v="1"/>
    <x v="0"/>
    <x v="1"/>
    <x v="6"/>
    <x v="0"/>
  </r>
  <r>
    <s v="EMP1589"/>
    <s v="Rohit Nanda"/>
    <n v="30"/>
    <x v="2"/>
    <x v="5"/>
    <s v="Team Lead"/>
    <n v="111298"/>
    <x v="3"/>
    <s v="Single"/>
    <d v="2018-02-25T00:00:00"/>
    <x v="1"/>
    <n v="9"/>
    <x v="0"/>
    <x v="1"/>
    <x v="4"/>
    <x v="2"/>
  </r>
  <r>
    <s v="EMP1590"/>
    <s v="Sneha Sharma"/>
    <n v="40"/>
    <x v="2"/>
    <x v="5"/>
    <s v="Senior Analyst"/>
    <n v="75788"/>
    <x v="3"/>
    <s v="Single"/>
    <d v="2018-06-27T00:00:00"/>
    <x v="1"/>
    <n v="5"/>
    <x v="0"/>
    <x v="4"/>
    <x v="6"/>
    <x v="0"/>
  </r>
  <r>
    <s v="EMP1591"/>
    <s v="Amit Patel"/>
    <n v="48"/>
    <x v="2"/>
    <x v="5"/>
    <s v="Senior Analyst"/>
    <n v="87945"/>
    <x v="0"/>
    <s v="Single"/>
    <d v="2020-09-21T00:00:00"/>
    <x v="7"/>
    <n v="2"/>
    <x v="1"/>
    <x v="1"/>
    <x v="1"/>
    <x v="3"/>
  </r>
  <r>
    <s v="EMP1592"/>
    <s v="Neha Pradhan"/>
    <n v="20"/>
    <x v="2"/>
    <x v="3"/>
    <s v="Intern"/>
    <n v="102835"/>
    <x v="3"/>
    <s v="Married"/>
    <d v="2019-06-09T00:00:00"/>
    <x v="4"/>
    <n v="5"/>
    <x v="0"/>
    <x v="0"/>
    <x v="1"/>
    <x v="1"/>
  </r>
  <r>
    <s v="EMP1593"/>
    <s v="Neha Singh"/>
    <n v="27"/>
    <x v="2"/>
    <x v="4"/>
    <s v="Executive"/>
    <n v="23253"/>
    <x v="4"/>
    <s v="Single"/>
    <d v="2019-08-22T00:00:00"/>
    <x v="4"/>
    <n v="3"/>
    <x v="0"/>
    <x v="3"/>
    <x v="4"/>
    <x v="2"/>
  </r>
  <r>
    <s v="EMP1594"/>
    <s v="Isha Patel"/>
    <n v="25"/>
    <x v="1"/>
    <x v="6"/>
    <s v="Intern"/>
    <n v="97711"/>
    <x v="1"/>
    <s v="Divorced"/>
    <d v="2022-02-02T00:00:00"/>
    <x v="5"/>
    <n v="9"/>
    <x v="0"/>
    <x v="4"/>
    <x v="4"/>
    <x v="1"/>
  </r>
  <r>
    <s v="EMP1595"/>
    <s v="Rahul Sharma"/>
    <n v="54"/>
    <x v="1"/>
    <x v="7"/>
    <s v="Junior Analyst"/>
    <n v="85081"/>
    <x v="1"/>
    <s v="Married"/>
    <d v="2019-10-01T00:00:00"/>
    <x v="4"/>
    <n v="1"/>
    <x v="0"/>
    <x v="4"/>
    <x v="0"/>
    <x v="3"/>
  </r>
  <r>
    <s v="EMP1596"/>
    <s v="Amit Singh"/>
    <n v="47"/>
    <x v="1"/>
    <x v="1"/>
    <s v="Manager"/>
    <n v="66867"/>
    <x v="3"/>
    <s v="Married"/>
    <d v="2020-02-16T00:00:00"/>
    <x v="7"/>
    <n v="9"/>
    <x v="1"/>
    <x v="3"/>
    <x v="2"/>
    <x v="3"/>
  </r>
  <r>
    <s v="EMP1597"/>
    <s v="Priya Singh"/>
    <n v="48"/>
    <x v="2"/>
    <x v="1"/>
    <s v="Senior Analyst"/>
    <n v="75999"/>
    <x v="1"/>
    <s v="Divorced"/>
    <d v="2020-12-09T00:00:00"/>
    <x v="7"/>
    <n v="11"/>
    <x v="1"/>
    <x v="1"/>
    <x v="2"/>
    <x v="3"/>
  </r>
  <r>
    <s v="EMP1598"/>
    <s v="Amit Pradhan"/>
    <n v="39"/>
    <x v="1"/>
    <x v="3"/>
    <s v="Team Lead"/>
    <n v="26665"/>
    <x v="2"/>
    <s v="Single"/>
    <d v="2016-04-05T00:00:00"/>
    <x v="6"/>
    <n v="7"/>
    <x v="1"/>
    <x v="4"/>
    <x v="0"/>
    <x v="0"/>
  </r>
  <r>
    <s v="EMP1599"/>
    <s v="Amit Reddy"/>
    <n v="49"/>
    <x v="2"/>
    <x v="5"/>
    <s v="Executive"/>
    <n v="44117"/>
    <x v="2"/>
    <s v="Married"/>
    <d v="2022-05-25T00:00:00"/>
    <x v="5"/>
    <n v="6"/>
    <x v="1"/>
    <x v="2"/>
    <x v="3"/>
    <x v="3"/>
  </r>
  <r>
    <s v="EMP1600"/>
    <s v="Kavya Patel"/>
    <n v="51"/>
    <x v="2"/>
    <x v="4"/>
    <s v="Manager"/>
    <n v="47428"/>
    <x v="0"/>
    <s v="Single"/>
    <d v="2019-02-17T00:00:00"/>
    <x v="4"/>
    <n v="9"/>
    <x v="1"/>
    <x v="3"/>
    <x v="2"/>
    <x v="3"/>
  </r>
  <r>
    <s v="EMP1601"/>
    <s v="Rohit Nanda"/>
    <n v="31"/>
    <x v="1"/>
    <x v="0"/>
    <s v="Manager"/>
    <n v="21728"/>
    <x v="3"/>
    <s v="Married"/>
    <d v="2016-12-07T00:00:00"/>
    <x v="6"/>
    <n v="11"/>
    <x v="1"/>
    <x v="0"/>
    <x v="1"/>
    <x v="2"/>
  </r>
  <r>
    <s v="EMP1602"/>
    <s v="Kavya Nanda"/>
    <n v="36"/>
    <x v="2"/>
    <x v="4"/>
    <s v="Associate"/>
    <n v="108996"/>
    <x v="0"/>
    <s v="Married"/>
    <d v="2021-12-07T00:00:00"/>
    <x v="8"/>
    <n v="11"/>
    <x v="0"/>
    <x v="4"/>
    <x v="5"/>
    <x v="0"/>
  </r>
  <r>
    <s v="EMP1603"/>
    <s v="Kavya Sharma"/>
    <n v="29"/>
    <x v="1"/>
    <x v="4"/>
    <s v="Executive"/>
    <n v="108869"/>
    <x v="3"/>
    <s v="Single"/>
    <d v="2016-10-11T00:00:00"/>
    <x v="6"/>
    <n v="1"/>
    <x v="1"/>
    <x v="4"/>
    <x v="0"/>
    <x v="2"/>
  </r>
  <r>
    <s v="EMP1604"/>
    <s v="Neha Sharma"/>
    <n v="38"/>
    <x v="1"/>
    <x v="7"/>
    <s v="Executive"/>
    <n v="85353"/>
    <x v="1"/>
    <s v="Single"/>
    <d v="2022-11-25T00:00:00"/>
    <x v="5"/>
    <n v="0"/>
    <x v="0"/>
    <x v="0"/>
    <x v="6"/>
    <x v="0"/>
  </r>
  <r>
    <s v="EMP1605"/>
    <s v="Neha Mishra"/>
    <n v="39"/>
    <x v="1"/>
    <x v="3"/>
    <s v="Team Lead"/>
    <n v="30561"/>
    <x v="4"/>
    <s v="Married"/>
    <d v="2025-06-02T00:00:00"/>
    <x v="9"/>
    <n v="5"/>
    <x v="0"/>
    <x v="2"/>
    <x v="5"/>
    <x v="0"/>
  </r>
  <r>
    <s v="EMP1606"/>
    <s v="Karan Patel"/>
    <n v="43"/>
    <x v="1"/>
    <x v="1"/>
    <s v="Executive"/>
    <n v="62605"/>
    <x v="0"/>
    <s v="Single"/>
    <d v="2017-12-02T00:00:00"/>
    <x v="2"/>
    <n v="11"/>
    <x v="0"/>
    <x v="1"/>
    <x v="2"/>
    <x v="0"/>
  </r>
  <r>
    <s v="EMP1607"/>
    <s v="Tarun Nanda"/>
    <n v="24"/>
    <x v="0"/>
    <x v="5"/>
    <s v="Junior Analyst"/>
    <n v="20277"/>
    <x v="3"/>
    <s v="Married"/>
    <d v="2023-12-08T00:00:00"/>
    <x v="3"/>
    <n v="11"/>
    <x v="1"/>
    <x v="1"/>
    <x v="1"/>
    <x v="1"/>
  </r>
  <r>
    <s v="EMP1608"/>
    <s v="Kavya Reddy"/>
    <n v="41"/>
    <x v="0"/>
    <x v="2"/>
    <s v="Intern"/>
    <n v="21769"/>
    <x v="0"/>
    <s v="Single"/>
    <d v="2017-08-18T00:00:00"/>
    <x v="2"/>
    <n v="3"/>
    <x v="0"/>
    <x v="1"/>
    <x v="3"/>
    <x v="0"/>
  </r>
  <r>
    <s v="EMP1609"/>
    <s v="Amit Pradhan"/>
    <n v="28"/>
    <x v="0"/>
    <x v="1"/>
    <s v="Associate"/>
    <n v="108546"/>
    <x v="0"/>
    <s v="Single"/>
    <d v="2016-05-25T00:00:00"/>
    <x v="6"/>
    <n v="6"/>
    <x v="1"/>
    <x v="3"/>
    <x v="7"/>
    <x v="2"/>
  </r>
  <r>
    <s v="EMP1610"/>
    <s v="Priya Sharma"/>
    <n v="22"/>
    <x v="2"/>
    <x v="6"/>
    <s v="Manager"/>
    <n v="79483"/>
    <x v="3"/>
    <s v="Single"/>
    <d v="2016-12-05T00:00:00"/>
    <x v="6"/>
    <n v="11"/>
    <x v="1"/>
    <x v="2"/>
    <x v="2"/>
    <x v="1"/>
  </r>
  <r>
    <s v="EMP1611"/>
    <s v="Sneha Reddy"/>
    <n v="33"/>
    <x v="2"/>
    <x v="0"/>
    <s v="Intern"/>
    <n v="42219"/>
    <x v="3"/>
    <s v="Single"/>
    <d v="2017-03-15T00:00:00"/>
    <x v="2"/>
    <n v="8"/>
    <x v="0"/>
    <x v="4"/>
    <x v="6"/>
    <x v="2"/>
  </r>
  <r>
    <s v="EMP1612"/>
    <s v="Neha Pradhan"/>
    <n v="52"/>
    <x v="2"/>
    <x v="0"/>
    <s v="Team Lead"/>
    <n v="84179"/>
    <x v="0"/>
    <s v="Single"/>
    <d v="2025-05-18T00:00:00"/>
    <x v="9"/>
    <n v="6"/>
    <x v="0"/>
    <x v="0"/>
    <x v="4"/>
    <x v="3"/>
  </r>
  <r>
    <s v="EMP1613"/>
    <s v="Priya Patel"/>
    <n v="30"/>
    <x v="2"/>
    <x v="6"/>
    <s v="Manager"/>
    <n v="113072"/>
    <x v="1"/>
    <s v="Divorced"/>
    <d v="2025-09-24T00:00:00"/>
    <x v="9"/>
    <n v="2"/>
    <x v="1"/>
    <x v="4"/>
    <x v="5"/>
    <x v="2"/>
  </r>
  <r>
    <s v="EMP1614"/>
    <s v="Isha Singh"/>
    <n v="26"/>
    <x v="0"/>
    <x v="3"/>
    <s v="Junior Analyst"/>
    <n v="67756"/>
    <x v="1"/>
    <s v="Divorced"/>
    <d v="2018-09-27T00:00:00"/>
    <x v="1"/>
    <n v="2"/>
    <x v="1"/>
    <x v="2"/>
    <x v="6"/>
    <x v="2"/>
  </r>
  <r>
    <s v="EMP1615"/>
    <s v="Sneha Nanda"/>
    <n v="27"/>
    <x v="2"/>
    <x v="5"/>
    <s v="Associate"/>
    <n v="82987"/>
    <x v="3"/>
    <s v="Divorced"/>
    <d v="2019-06-02T00:00:00"/>
    <x v="4"/>
    <n v="5"/>
    <x v="0"/>
    <x v="2"/>
    <x v="6"/>
    <x v="2"/>
  </r>
  <r>
    <s v="EMP1616"/>
    <s v="Isha Sharma"/>
    <n v="44"/>
    <x v="1"/>
    <x v="4"/>
    <s v="Intern"/>
    <n v="96694"/>
    <x v="3"/>
    <s v="Divorced"/>
    <d v="2025-08-14T00:00:00"/>
    <x v="9"/>
    <n v="3"/>
    <x v="1"/>
    <x v="1"/>
    <x v="0"/>
    <x v="0"/>
  </r>
  <r>
    <s v="EMP1617"/>
    <s v="Rohit Mishra"/>
    <n v="47"/>
    <x v="0"/>
    <x v="7"/>
    <s v="Intern"/>
    <n v="80347"/>
    <x v="3"/>
    <s v="Single"/>
    <d v="2016-04-30T00:00:00"/>
    <x v="6"/>
    <n v="6"/>
    <x v="1"/>
    <x v="2"/>
    <x v="0"/>
    <x v="3"/>
  </r>
  <r>
    <s v="EMP1618"/>
    <s v="Isha Reddy"/>
    <n v="25"/>
    <x v="0"/>
    <x v="5"/>
    <s v="Junior Analyst"/>
    <n v="69748"/>
    <x v="4"/>
    <s v="Single"/>
    <d v="2024-07-01T00:00:00"/>
    <x v="0"/>
    <n v="4"/>
    <x v="0"/>
    <x v="2"/>
    <x v="6"/>
    <x v="1"/>
  </r>
  <r>
    <s v="EMP1619"/>
    <s v="Priya Patel"/>
    <n v="32"/>
    <x v="2"/>
    <x v="1"/>
    <s v="Executive"/>
    <n v="34090"/>
    <x v="2"/>
    <s v="Divorced"/>
    <d v="2021-10-13T00:00:00"/>
    <x v="8"/>
    <n v="1"/>
    <x v="1"/>
    <x v="0"/>
    <x v="3"/>
    <x v="2"/>
  </r>
  <r>
    <s v="EMP1620"/>
    <s v="Tarun Patel"/>
    <n v="50"/>
    <x v="2"/>
    <x v="1"/>
    <s v="Team Lead"/>
    <n v="81508"/>
    <x v="3"/>
    <s v="Single"/>
    <d v="2024-10-18T00:00:00"/>
    <x v="0"/>
    <n v="1"/>
    <x v="1"/>
    <x v="2"/>
    <x v="2"/>
    <x v="3"/>
  </r>
  <r>
    <s v="EMP1621"/>
    <s v="Rohit Nanda"/>
    <n v="51"/>
    <x v="0"/>
    <x v="5"/>
    <s v="Manager"/>
    <n v="21895"/>
    <x v="0"/>
    <s v="Single"/>
    <d v="2021-10-09T00:00:00"/>
    <x v="8"/>
    <n v="1"/>
    <x v="0"/>
    <x v="1"/>
    <x v="0"/>
    <x v="3"/>
  </r>
  <r>
    <s v="EMP1622"/>
    <s v="Kavya Singh"/>
    <n v="40"/>
    <x v="0"/>
    <x v="2"/>
    <s v="Team Lead"/>
    <n v="99522"/>
    <x v="0"/>
    <s v="Single"/>
    <d v="2023-08-07T00:00:00"/>
    <x v="3"/>
    <n v="3"/>
    <x v="1"/>
    <x v="3"/>
    <x v="4"/>
    <x v="0"/>
  </r>
  <r>
    <s v="EMP1623"/>
    <s v="Rohit Singh"/>
    <n v="51"/>
    <x v="1"/>
    <x v="2"/>
    <s v="Senior Analyst"/>
    <n v="89098"/>
    <x v="4"/>
    <s v="Divorced"/>
    <d v="2016-05-20T00:00:00"/>
    <x v="6"/>
    <n v="6"/>
    <x v="0"/>
    <x v="3"/>
    <x v="2"/>
    <x v="3"/>
  </r>
  <r>
    <s v="EMP1624"/>
    <s v="Tarun Nanda"/>
    <n v="40"/>
    <x v="1"/>
    <x v="4"/>
    <s v="Manager"/>
    <n v="78248"/>
    <x v="0"/>
    <s v="Single"/>
    <d v="2022-06-06T00:00:00"/>
    <x v="5"/>
    <n v="5"/>
    <x v="1"/>
    <x v="1"/>
    <x v="1"/>
    <x v="0"/>
  </r>
  <r>
    <s v="EMP1625"/>
    <s v="Tarun Pradhan"/>
    <n v="39"/>
    <x v="2"/>
    <x v="1"/>
    <s v="Associate"/>
    <n v="81891"/>
    <x v="0"/>
    <s v="Divorced"/>
    <d v="2023-10-03T00:00:00"/>
    <x v="3"/>
    <n v="1"/>
    <x v="1"/>
    <x v="0"/>
    <x v="1"/>
    <x v="0"/>
  </r>
  <r>
    <s v="EMP1626"/>
    <s v="Isha Reddy"/>
    <n v="30"/>
    <x v="2"/>
    <x v="6"/>
    <s v="Senior Analyst"/>
    <n v="69299"/>
    <x v="2"/>
    <s v="Divorced"/>
    <d v="2020-06-03T00:00:00"/>
    <x v="7"/>
    <n v="5"/>
    <x v="1"/>
    <x v="4"/>
    <x v="6"/>
    <x v="2"/>
  </r>
  <r>
    <s v="EMP1627"/>
    <s v="Rahul Sharma"/>
    <n v="57"/>
    <x v="0"/>
    <x v="5"/>
    <s v="Senior Analyst"/>
    <n v="66026"/>
    <x v="4"/>
    <s v="Single"/>
    <d v="2024-10-07T00:00:00"/>
    <x v="0"/>
    <n v="1"/>
    <x v="1"/>
    <x v="3"/>
    <x v="2"/>
    <x v="3"/>
  </r>
  <r>
    <s v="EMP1628"/>
    <s v="Tarun Patel"/>
    <n v="42"/>
    <x v="1"/>
    <x v="3"/>
    <s v="Intern"/>
    <n v="25398"/>
    <x v="1"/>
    <s v="Single"/>
    <d v="2018-10-26T00:00:00"/>
    <x v="1"/>
    <n v="1"/>
    <x v="1"/>
    <x v="0"/>
    <x v="2"/>
    <x v="0"/>
  </r>
  <r>
    <s v="EMP1629"/>
    <s v="Sneha Mishra"/>
    <n v="39"/>
    <x v="0"/>
    <x v="3"/>
    <s v="Manager"/>
    <n v="40253"/>
    <x v="4"/>
    <s v="Married"/>
    <d v="2016-08-09T00:00:00"/>
    <x v="6"/>
    <n v="3"/>
    <x v="1"/>
    <x v="3"/>
    <x v="0"/>
    <x v="0"/>
  </r>
  <r>
    <s v="EMP1630"/>
    <s v="Rohit Sharma"/>
    <n v="50"/>
    <x v="2"/>
    <x v="6"/>
    <s v="Junior Analyst"/>
    <n v="59486"/>
    <x v="4"/>
    <s v="Married"/>
    <d v="2019-10-20T00:00:00"/>
    <x v="4"/>
    <n v="1"/>
    <x v="0"/>
    <x v="3"/>
    <x v="2"/>
    <x v="3"/>
  </r>
  <r>
    <s v="EMP1631"/>
    <s v="Priya Patel"/>
    <n v="51"/>
    <x v="2"/>
    <x v="3"/>
    <s v="Team Lead"/>
    <n v="39840"/>
    <x v="3"/>
    <s v="Married"/>
    <d v="2021-01-27T00:00:00"/>
    <x v="8"/>
    <n v="10"/>
    <x v="0"/>
    <x v="3"/>
    <x v="2"/>
    <x v="3"/>
  </r>
  <r>
    <s v="EMP1632"/>
    <s v="Karan Pradhan"/>
    <n v="38"/>
    <x v="1"/>
    <x v="6"/>
    <s v="Team Lead"/>
    <n v="56970"/>
    <x v="2"/>
    <s v="Single"/>
    <d v="2023-03-11T00:00:00"/>
    <x v="3"/>
    <n v="8"/>
    <x v="0"/>
    <x v="0"/>
    <x v="2"/>
    <x v="0"/>
  </r>
  <r>
    <s v="EMP1633"/>
    <s v="Kavya Patel"/>
    <n v="37"/>
    <x v="0"/>
    <x v="4"/>
    <s v="Executive"/>
    <n v="73981"/>
    <x v="3"/>
    <s v="Single"/>
    <d v="2023-06-29T00:00:00"/>
    <x v="3"/>
    <n v="5"/>
    <x v="1"/>
    <x v="0"/>
    <x v="3"/>
    <x v="0"/>
  </r>
  <r>
    <s v="EMP1634"/>
    <s v="Tarun Singh"/>
    <n v="54"/>
    <x v="1"/>
    <x v="0"/>
    <s v="Junior Analyst"/>
    <n v="72304"/>
    <x v="3"/>
    <s v="Divorced"/>
    <d v="2021-12-18T00:00:00"/>
    <x v="8"/>
    <n v="11"/>
    <x v="1"/>
    <x v="0"/>
    <x v="5"/>
    <x v="3"/>
  </r>
  <r>
    <s v="EMP1635"/>
    <s v="Rahul Singh"/>
    <n v="53"/>
    <x v="0"/>
    <x v="4"/>
    <s v="Intern"/>
    <n v="45912"/>
    <x v="2"/>
    <s v="Married"/>
    <d v="2023-05-04T00:00:00"/>
    <x v="3"/>
    <n v="6"/>
    <x v="1"/>
    <x v="0"/>
    <x v="7"/>
    <x v="3"/>
  </r>
  <r>
    <s v="EMP1636"/>
    <s v="Karan Pradhan"/>
    <n v="43"/>
    <x v="1"/>
    <x v="5"/>
    <s v="Executive"/>
    <n v="49506"/>
    <x v="3"/>
    <s v="Married"/>
    <d v="2020-10-14T00:00:00"/>
    <x v="7"/>
    <n v="1"/>
    <x v="1"/>
    <x v="2"/>
    <x v="4"/>
    <x v="0"/>
  </r>
  <r>
    <s v="EMP1637"/>
    <s v="Tarun Patel"/>
    <n v="38"/>
    <x v="2"/>
    <x v="5"/>
    <s v="Intern"/>
    <n v="51612"/>
    <x v="4"/>
    <s v="Single"/>
    <d v="2020-09-26T00:00:00"/>
    <x v="7"/>
    <n v="2"/>
    <x v="0"/>
    <x v="2"/>
    <x v="5"/>
    <x v="0"/>
  </r>
  <r>
    <s v="EMP1638"/>
    <s v="Priya Sharma"/>
    <n v="35"/>
    <x v="1"/>
    <x v="4"/>
    <s v="Team Lead"/>
    <n v="81620"/>
    <x v="2"/>
    <s v="Married"/>
    <d v="2023-06-10T00:00:00"/>
    <x v="3"/>
    <n v="5"/>
    <x v="0"/>
    <x v="1"/>
    <x v="5"/>
    <x v="2"/>
  </r>
  <r>
    <s v="EMP1639"/>
    <s v="Rohit Pradhan"/>
    <n v="21"/>
    <x v="1"/>
    <x v="2"/>
    <s v="Team Lead"/>
    <n v="104333"/>
    <x v="1"/>
    <s v="Divorced"/>
    <d v="2025-09-29T00:00:00"/>
    <x v="9"/>
    <n v="2"/>
    <x v="0"/>
    <x v="3"/>
    <x v="7"/>
    <x v="1"/>
  </r>
  <r>
    <s v="EMP1640"/>
    <s v="Rahul Mishra"/>
    <n v="25"/>
    <x v="1"/>
    <x v="2"/>
    <s v="Junior Analyst"/>
    <n v="26333"/>
    <x v="3"/>
    <s v="Divorced"/>
    <d v="2023-07-23T00:00:00"/>
    <x v="3"/>
    <n v="4"/>
    <x v="0"/>
    <x v="3"/>
    <x v="5"/>
    <x v="1"/>
  </r>
  <r>
    <s v="EMP1641"/>
    <s v="Priya Sharma"/>
    <n v="56"/>
    <x v="2"/>
    <x v="7"/>
    <s v="Intern"/>
    <n v="86414"/>
    <x v="4"/>
    <s v="Divorced"/>
    <d v="2019-01-04T00:00:00"/>
    <x v="4"/>
    <n v="10"/>
    <x v="1"/>
    <x v="2"/>
    <x v="4"/>
    <x v="3"/>
  </r>
  <r>
    <s v="EMP1642"/>
    <s v="Kavya Sharma"/>
    <n v="40"/>
    <x v="1"/>
    <x v="1"/>
    <s v="Intern"/>
    <n v="116090"/>
    <x v="1"/>
    <s v="Married"/>
    <d v="2018-08-18T00:00:00"/>
    <x v="1"/>
    <n v="3"/>
    <x v="0"/>
    <x v="2"/>
    <x v="5"/>
    <x v="0"/>
  </r>
  <r>
    <s v="EMP1643"/>
    <s v="Priya Patel"/>
    <n v="48"/>
    <x v="1"/>
    <x v="2"/>
    <s v="Manager"/>
    <n v="95264"/>
    <x v="2"/>
    <s v="Divorced"/>
    <d v="2020-05-21T00:00:00"/>
    <x v="7"/>
    <n v="6"/>
    <x v="0"/>
    <x v="4"/>
    <x v="0"/>
    <x v="3"/>
  </r>
  <r>
    <s v="EMP1644"/>
    <s v="Isha Singh"/>
    <n v="35"/>
    <x v="1"/>
    <x v="5"/>
    <s v="Junior Analyst"/>
    <n v="65578"/>
    <x v="3"/>
    <s v="Married"/>
    <d v="2016-06-03T00:00:00"/>
    <x v="6"/>
    <n v="5"/>
    <x v="0"/>
    <x v="2"/>
    <x v="4"/>
    <x v="2"/>
  </r>
  <r>
    <s v="EMP1645"/>
    <s v="Rohit Reddy"/>
    <n v="44"/>
    <x v="1"/>
    <x v="3"/>
    <s v="Manager"/>
    <n v="107816"/>
    <x v="4"/>
    <s v="Single"/>
    <d v="2025-10-20T00:00:00"/>
    <x v="9"/>
    <n v="1"/>
    <x v="1"/>
    <x v="3"/>
    <x v="7"/>
    <x v="0"/>
  </r>
  <r>
    <s v="EMP1646"/>
    <s v="Tarun Patel"/>
    <n v="39"/>
    <x v="0"/>
    <x v="0"/>
    <s v="Executive"/>
    <n v="56983"/>
    <x v="1"/>
    <s v="Married"/>
    <d v="2023-04-08T00:00:00"/>
    <x v="3"/>
    <n v="7"/>
    <x v="1"/>
    <x v="3"/>
    <x v="7"/>
    <x v="0"/>
  </r>
  <r>
    <s v="EMP1647"/>
    <s v="Rohit Mishra"/>
    <n v="25"/>
    <x v="1"/>
    <x v="4"/>
    <s v="Junior Analyst"/>
    <n v="114592"/>
    <x v="3"/>
    <s v="Divorced"/>
    <d v="2020-12-03T00:00:00"/>
    <x v="7"/>
    <n v="11"/>
    <x v="0"/>
    <x v="1"/>
    <x v="3"/>
    <x v="1"/>
  </r>
  <r>
    <s v="EMP1648"/>
    <s v="Karan Sharma"/>
    <n v="42"/>
    <x v="1"/>
    <x v="3"/>
    <s v="Intern"/>
    <n v="77409"/>
    <x v="0"/>
    <s v="Single"/>
    <d v="2023-05-19T00:00:00"/>
    <x v="3"/>
    <n v="6"/>
    <x v="0"/>
    <x v="3"/>
    <x v="5"/>
    <x v="0"/>
  </r>
  <r>
    <s v="EMP1649"/>
    <s v="Rahul Nanda"/>
    <n v="32"/>
    <x v="2"/>
    <x v="2"/>
    <s v="Team Lead"/>
    <n v="59120"/>
    <x v="0"/>
    <s v="Single"/>
    <d v="2017-12-15T00:00:00"/>
    <x v="2"/>
    <n v="11"/>
    <x v="0"/>
    <x v="0"/>
    <x v="5"/>
    <x v="2"/>
  </r>
  <r>
    <s v="EMP1650"/>
    <s v="Kavya Singh"/>
    <n v="46"/>
    <x v="1"/>
    <x v="4"/>
    <s v="Associate"/>
    <n v="80700"/>
    <x v="1"/>
    <s v="Married"/>
    <d v="2018-02-17T00:00:00"/>
    <x v="1"/>
    <n v="9"/>
    <x v="1"/>
    <x v="4"/>
    <x v="4"/>
    <x v="3"/>
  </r>
  <r>
    <s v="EMP1651"/>
    <s v="Sneha Nanda"/>
    <n v="43"/>
    <x v="0"/>
    <x v="1"/>
    <s v="Associate"/>
    <n v="67456"/>
    <x v="4"/>
    <s v="Single"/>
    <d v="2016-06-01T00:00:00"/>
    <x v="6"/>
    <n v="5"/>
    <x v="0"/>
    <x v="0"/>
    <x v="4"/>
    <x v="0"/>
  </r>
  <r>
    <s v="EMP1652"/>
    <s v="Sneha Nanda"/>
    <n v="32"/>
    <x v="1"/>
    <x v="5"/>
    <s v="Junior Analyst"/>
    <n v="24525"/>
    <x v="4"/>
    <s v="Married"/>
    <d v="2022-12-02T00:00:00"/>
    <x v="5"/>
    <n v="11"/>
    <x v="1"/>
    <x v="1"/>
    <x v="2"/>
    <x v="2"/>
  </r>
  <r>
    <s v="EMP1653"/>
    <s v="Neha Pradhan"/>
    <n v="56"/>
    <x v="0"/>
    <x v="6"/>
    <s v="Team Lead"/>
    <n v="112186"/>
    <x v="2"/>
    <s v="Married"/>
    <d v="2025-06-18T00:00:00"/>
    <x v="9"/>
    <n v="5"/>
    <x v="1"/>
    <x v="2"/>
    <x v="4"/>
    <x v="3"/>
  </r>
  <r>
    <s v="EMP1654"/>
    <s v="Priya Pradhan"/>
    <n v="37"/>
    <x v="1"/>
    <x v="4"/>
    <s v="Executive"/>
    <n v="68079"/>
    <x v="2"/>
    <s v="Single"/>
    <d v="2022-11-30T00:00:00"/>
    <x v="5"/>
    <n v="11"/>
    <x v="0"/>
    <x v="4"/>
    <x v="4"/>
    <x v="0"/>
  </r>
  <r>
    <s v="EMP1655"/>
    <s v="Tarun Pradhan"/>
    <n v="46"/>
    <x v="0"/>
    <x v="6"/>
    <s v="Senior Analyst"/>
    <n v="56036"/>
    <x v="1"/>
    <s v="Divorced"/>
    <d v="2021-03-30T00:00:00"/>
    <x v="8"/>
    <n v="7"/>
    <x v="0"/>
    <x v="4"/>
    <x v="1"/>
    <x v="3"/>
  </r>
  <r>
    <s v="EMP1656"/>
    <s v="Sneha Sharma"/>
    <n v="50"/>
    <x v="0"/>
    <x v="3"/>
    <s v="Junior Analyst"/>
    <n v="108835"/>
    <x v="1"/>
    <s v="Divorced"/>
    <d v="2020-06-26T00:00:00"/>
    <x v="7"/>
    <n v="5"/>
    <x v="1"/>
    <x v="0"/>
    <x v="3"/>
    <x v="3"/>
  </r>
  <r>
    <s v="EMP1657"/>
    <s v="Sneha Sharma"/>
    <n v="55"/>
    <x v="0"/>
    <x v="6"/>
    <s v="Executive"/>
    <n v="61628"/>
    <x v="2"/>
    <s v="Married"/>
    <d v="2022-12-26T00:00:00"/>
    <x v="5"/>
    <n v="11"/>
    <x v="0"/>
    <x v="2"/>
    <x v="3"/>
    <x v="3"/>
  </r>
  <r>
    <s v="EMP1658"/>
    <s v="Karan Reddy"/>
    <n v="44"/>
    <x v="1"/>
    <x v="1"/>
    <s v="Senior Analyst"/>
    <n v="105983"/>
    <x v="1"/>
    <s v="Divorced"/>
    <d v="2016-08-24T00:00:00"/>
    <x v="6"/>
    <n v="3"/>
    <x v="0"/>
    <x v="4"/>
    <x v="5"/>
    <x v="0"/>
  </r>
  <r>
    <s v="EMP1659"/>
    <s v="Karan Nanda"/>
    <n v="41"/>
    <x v="1"/>
    <x v="5"/>
    <s v="Senior Analyst"/>
    <n v="29750"/>
    <x v="4"/>
    <s v="Married"/>
    <d v="2017-10-10T00:00:00"/>
    <x v="2"/>
    <n v="1"/>
    <x v="1"/>
    <x v="2"/>
    <x v="6"/>
    <x v="0"/>
  </r>
  <r>
    <s v="EMP1660"/>
    <s v="Rahul Pradhan"/>
    <n v="51"/>
    <x v="1"/>
    <x v="3"/>
    <s v="Senior Analyst"/>
    <n v="74372"/>
    <x v="3"/>
    <s v="Divorced"/>
    <d v="2025-06-27T00:00:00"/>
    <x v="9"/>
    <n v="5"/>
    <x v="1"/>
    <x v="0"/>
    <x v="6"/>
    <x v="3"/>
  </r>
  <r>
    <s v="EMP1661"/>
    <s v="Tarun Pradhan"/>
    <n v="40"/>
    <x v="2"/>
    <x v="4"/>
    <s v="Executive"/>
    <n v="118096"/>
    <x v="4"/>
    <s v="Divorced"/>
    <d v="2023-04-29T00:00:00"/>
    <x v="3"/>
    <n v="7"/>
    <x v="1"/>
    <x v="2"/>
    <x v="4"/>
    <x v="0"/>
  </r>
  <r>
    <s v="EMP1662"/>
    <s v="Amit Sharma"/>
    <n v="34"/>
    <x v="0"/>
    <x v="6"/>
    <s v="Senior Analyst"/>
    <n v="79636"/>
    <x v="1"/>
    <s v="Divorced"/>
    <d v="2021-06-04T00:00:00"/>
    <x v="8"/>
    <n v="5"/>
    <x v="1"/>
    <x v="2"/>
    <x v="1"/>
    <x v="2"/>
  </r>
  <r>
    <s v="EMP1663"/>
    <s v="Rahul Nanda"/>
    <n v="42"/>
    <x v="2"/>
    <x v="4"/>
    <s v="Junior Analyst"/>
    <n v="77999"/>
    <x v="0"/>
    <s v="Divorced"/>
    <d v="2025-11-27T00:00:00"/>
    <x v="9"/>
    <n v="0"/>
    <x v="0"/>
    <x v="2"/>
    <x v="6"/>
    <x v="0"/>
  </r>
  <r>
    <s v="EMP1664"/>
    <s v="Sneha Pradhan"/>
    <n v="38"/>
    <x v="0"/>
    <x v="5"/>
    <s v="Team Lead"/>
    <n v="116295"/>
    <x v="3"/>
    <s v="Divorced"/>
    <d v="2023-08-16T00:00:00"/>
    <x v="3"/>
    <n v="3"/>
    <x v="0"/>
    <x v="0"/>
    <x v="7"/>
    <x v="0"/>
  </r>
  <r>
    <s v="EMP1665"/>
    <s v="Karan Mishra"/>
    <n v="56"/>
    <x v="0"/>
    <x v="1"/>
    <s v="Executive"/>
    <n v="28070"/>
    <x v="2"/>
    <s v="Divorced"/>
    <d v="2017-03-30T00:00:00"/>
    <x v="2"/>
    <n v="7"/>
    <x v="1"/>
    <x v="2"/>
    <x v="3"/>
    <x v="3"/>
  </r>
  <r>
    <s v="EMP1666"/>
    <s v="Sneha Nanda"/>
    <n v="43"/>
    <x v="2"/>
    <x v="7"/>
    <s v="Executive"/>
    <n v="60406"/>
    <x v="0"/>
    <s v="Single"/>
    <d v="2021-05-07T00:00:00"/>
    <x v="8"/>
    <n v="6"/>
    <x v="1"/>
    <x v="3"/>
    <x v="3"/>
    <x v="0"/>
  </r>
  <r>
    <s v="EMP1667"/>
    <s v="Kavya Singh"/>
    <n v="20"/>
    <x v="1"/>
    <x v="6"/>
    <s v="Team Lead"/>
    <n v="104005"/>
    <x v="2"/>
    <s v="Married"/>
    <d v="2024-05-22T00:00:00"/>
    <x v="0"/>
    <n v="6"/>
    <x v="0"/>
    <x v="1"/>
    <x v="7"/>
    <x v="1"/>
  </r>
  <r>
    <s v="EMP1668"/>
    <s v="Rohit Patel"/>
    <n v="23"/>
    <x v="2"/>
    <x v="7"/>
    <s v="Team Lead"/>
    <n v="89716"/>
    <x v="2"/>
    <s v="Single"/>
    <d v="2020-08-28T00:00:00"/>
    <x v="7"/>
    <n v="3"/>
    <x v="1"/>
    <x v="1"/>
    <x v="4"/>
    <x v="1"/>
  </r>
  <r>
    <s v="EMP1669"/>
    <s v="Tarun Sharma"/>
    <n v="21"/>
    <x v="0"/>
    <x v="5"/>
    <s v="Associate"/>
    <n v="68921"/>
    <x v="2"/>
    <s v="Married"/>
    <d v="2023-06-11T00:00:00"/>
    <x v="3"/>
    <n v="5"/>
    <x v="0"/>
    <x v="2"/>
    <x v="3"/>
    <x v="1"/>
  </r>
  <r>
    <s v="EMP1670"/>
    <s v="Isha Mishra"/>
    <n v="47"/>
    <x v="2"/>
    <x v="2"/>
    <s v="Team Lead"/>
    <n v="107779"/>
    <x v="1"/>
    <s v="Married"/>
    <d v="2023-08-25T00:00:00"/>
    <x v="3"/>
    <n v="3"/>
    <x v="0"/>
    <x v="4"/>
    <x v="4"/>
    <x v="3"/>
  </r>
  <r>
    <s v="EMP1671"/>
    <s v="Isha Nanda"/>
    <n v="44"/>
    <x v="1"/>
    <x v="2"/>
    <s v="Team Lead"/>
    <n v="91801"/>
    <x v="2"/>
    <s v="Single"/>
    <d v="2024-09-01T00:00:00"/>
    <x v="0"/>
    <n v="2"/>
    <x v="1"/>
    <x v="4"/>
    <x v="5"/>
    <x v="0"/>
  </r>
  <r>
    <s v="EMP1672"/>
    <s v="Tarun Singh"/>
    <n v="47"/>
    <x v="0"/>
    <x v="6"/>
    <s v="Senior Analyst"/>
    <n v="85284"/>
    <x v="2"/>
    <s v="Divorced"/>
    <d v="2018-09-13T00:00:00"/>
    <x v="1"/>
    <n v="2"/>
    <x v="0"/>
    <x v="3"/>
    <x v="2"/>
    <x v="3"/>
  </r>
  <r>
    <s v="EMP1673"/>
    <s v="Rohit Nanda"/>
    <n v="47"/>
    <x v="0"/>
    <x v="4"/>
    <s v="Executive"/>
    <n v="57373"/>
    <x v="1"/>
    <s v="Divorced"/>
    <d v="2019-07-22T00:00:00"/>
    <x v="4"/>
    <n v="4"/>
    <x v="0"/>
    <x v="0"/>
    <x v="0"/>
    <x v="3"/>
  </r>
  <r>
    <s v="EMP1674"/>
    <s v="Rohit Reddy"/>
    <n v="23"/>
    <x v="2"/>
    <x v="7"/>
    <s v="Team Lead"/>
    <n v="23910"/>
    <x v="0"/>
    <s v="Divorced"/>
    <d v="2020-12-13T00:00:00"/>
    <x v="7"/>
    <n v="11"/>
    <x v="1"/>
    <x v="2"/>
    <x v="1"/>
    <x v="1"/>
  </r>
  <r>
    <s v="EMP1675"/>
    <s v="Kavya Mishra"/>
    <n v="36"/>
    <x v="1"/>
    <x v="2"/>
    <s v="Manager"/>
    <n v="94751"/>
    <x v="4"/>
    <s v="Single"/>
    <d v="2017-06-18T00:00:00"/>
    <x v="2"/>
    <n v="5"/>
    <x v="1"/>
    <x v="1"/>
    <x v="5"/>
    <x v="0"/>
  </r>
  <r>
    <s v="EMP1676"/>
    <s v="Tarun Sharma"/>
    <n v="25"/>
    <x v="1"/>
    <x v="2"/>
    <s v="Team Lead"/>
    <n v="59149"/>
    <x v="2"/>
    <s v="Divorced"/>
    <d v="2021-03-25T00:00:00"/>
    <x v="8"/>
    <n v="8"/>
    <x v="1"/>
    <x v="4"/>
    <x v="5"/>
    <x v="1"/>
  </r>
  <r>
    <s v="EMP1677"/>
    <s v="Priya Pradhan"/>
    <n v="25"/>
    <x v="2"/>
    <x v="2"/>
    <s v="Manager"/>
    <n v="106265"/>
    <x v="2"/>
    <s v="Divorced"/>
    <d v="2016-05-21T00:00:00"/>
    <x v="6"/>
    <n v="6"/>
    <x v="0"/>
    <x v="3"/>
    <x v="2"/>
    <x v="1"/>
  </r>
  <r>
    <s v="EMP1678"/>
    <s v="Rahul Pradhan"/>
    <n v="50"/>
    <x v="1"/>
    <x v="1"/>
    <s v="Intern"/>
    <n v="104208"/>
    <x v="4"/>
    <s v="Divorced"/>
    <d v="2021-08-23T00:00:00"/>
    <x v="8"/>
    <n v="3"/>
    <x v="1"/>
    <x v="0"/>
    <x v="6"/>
    <x v="3"/>
  </r>
  <r>
    <s v="EMP1679"/>
    <s v="Tarun Mishra"/>
    <n v="39"/>
    <x v="0"/>
    <x v="5"/>
    <s v="Manager"/>
    <n v="35709"/>
    <x v="1"/>
    <s v="Single"/>
    <d v="2025-05-03T00:00:00"/>
    <x v="9"/>
    <n v="6"/>
    <x v="0"/>
    <x v="1"/>
    <x v="7"/>
    <x v="0"/>
  </r>
  <r>
    <s v="EMP1680"/>
    <s v="Priya Nanda"/>
    <n v="29"/>
    <x v="2"/>
    <x v="0"/>
    <s v="Associate"/>
    <n v="75119"/>
    <x v="4"/>
    <s v="Single"/>
    <d v="2017-02-24T00:00:00"/>
    <x v="2"/>
    <n v="9"/>
    <x v="1"/>
    <x v="3"/>
    <x v="5"/>
    <x v="2"/>
  </r>
  <r>
    <s v="EMP1681"/>
    <s v="Isha Nanda"/>
    <n v="21"/>
    <x v="0"/>
    <x v="5"/>
    <s v="Intern"/>
    <n v="37978"/>
    <x v="2"/>
    <s v="Married"/>
    <d v="2021-06-22T00:00:00"/>
    <x v="8"/>
    <n v="5"/>
    <x v="0"/>
    <x v="3"/>
    <x v="4"/>
    <x v="1"/>
  </r>
  <r>
    <s v="EMP1682"/>
    <s v="Priya Patel"/>
    <n v="56"/>
    <x v="1"/>
    <x v="6"/>
    <s v="Manager"/>
    <n v="61758"/>
    <x v="0"/>
    <s v="Divorced"/>
    <d v="2025-09-09T00:00:00"/>
    <x v="9"/>
    <n v="2"/>
    <x v="1"/>
    <x v="3"/>
    <x v="1"/>
    <x v="3"/>
  </r>
  <r>
    <s v="EMP1683"/>
    <s v="Kavya Reddy"/>
    <n v="55"/>
    <x v="1"/>
    <x v="6"/>
    <s v="Junior Analyst"/>
    <n v="81897"/>
    <x v="2"/>
    <s v="Divorced"/>
    <d v="2022-10-24T00:00:00"/>
    <x v="5"/>
    <n v="1"/>
    <x v="1"/>
    <x v="1"/>
    <x v="7"/>
    <x v="3"/>
  </r>
  <r>
    <s v="EMP1684"/>
    <s v="Karan Sharma"/>
    <n v="47"/>
    <x v="2"/>
    <x v="3"/>
    <s v="Manager"/>
    <n v="90516"/>
    <x v="3"/>
    <s v="Divorced"/>
    <d v="2020-11-11T00:00:00"/>
    <x v="7"/>
    <n v="0"/>
    <x v="1"/>
    <x v="2"/>
    <x v="1"/>
    <x v="3"/>
  </r>
  <r>
    <s v="EMP1685"/>
    <s v="Kavya Singh"/>
    <n v="42"/>
    <x v="1"/>
    <x v="1"/>
    <s v="Executive"/>
    <n v="20727"/>
    <x v="3"/>
    <s v="Divorced"/>
    <d v="2018-05-05T00:00:00"/>
    <x v="1"/>
    <n v="6"/>
    <x v="1"/>
    <x v="4"/>
    <x v="1"/>
    <x v="0"/>
  </r>
  <r>
    <s v="EMP1686"/>
    <s v="Priya Reddy"/>
    <n v="34"/>
    <x v="2"/>
    <x v="3"/>
    <s v="Associate"/>
    <n v="96918"/>
    <x v="2"/>
    <s v="Single"/>
    <d v="2019-06-23T00:00:00"/>
    <x v="4"/>
    <n v="5"/>
    <x v="1"/>
    <x v="3"/>
    <x v="6"/>
    <x v="2"/>
  </r>
  <r>
    <s v="EMP1687"/>
    <s v="Isha Mishra"/>
    <n v="30"/>
    <x v="2"/>
    <x v="0"/>
    <s v="Intern"/>
    <n v="55022"/>
    <x v="0"/>
    <s v="Divorced"/>
    <d v="2021-08-07T00:00:00"/>
    <x v="8"/>
    <n v="3"/>
    <x v="0"/>
    <x v="1"/>
    <x v="4"/>
    <x v="2"/>
  </r>
  <r>
    <s v="EMP1688"/>
    <s v="Amit Reddy"/>
    <n v="51"/>
    <x v="0"/>
    <x v="1"/>
    <s v="Senior Analyst"/>
    <n v="82713"/>
    <x v="1"/>
    <s v="Single"/>
    <d v="2022-06-06T00:00:00"/>
    <x v="5"/>
    <n v="5"/>
    <x v="0"/>
    <x v="2"/>
    <x v="6"/>
    <x v="3"/>
  </r>
  <r>
    <s v="EMP1689"/>
    <s v="Rohit Patel"/>
    <n v="30"/>
    <x v="0"/>
    <x v="6"/>
    <s v="Senior Analyst"/>
    <n v="26344"/>
    <x v="2"/>
    <s v="Single"/>
    <d v="2023-02-10T00:00:00"/>
    <x v="3"/>
    <n v="9"/>
    <x v="0"/>
    <x v="2"/>
    <x v="4"/>
    <x v="2"/>
  </r>
  <r>
    <s v="EMP1690"/>
    <s v="Isha Patel"/>
    <n v="41"/>
    <x v="1"/>
    <x v="6"/>
    <s v="Team Lead"/>
    <n v="118937"/>
    <x v="3"/>
    <s v="Single"/>
    <d v="2025-10-03T00:00:00"/>
    <x v="9"/>
    <n v="1"/>
    <x v="0"/>
    <x v="2"/>
    <x v="1"/>
    <x v="0"/>
  </r>
  <r>
    <s v="EMP1691"/>
    <s v="Isha Mishra"/>
    <n v="27"/>
    <x v="0"/>
    <x v="7"/>
    <s v="Manager"/>
    <n v="91724"/>
    <x v="4"/>
    <s v="Single"/>
    <d v="2018-01-22T00:00:00"/>
    <x v="1"/>
    <n v="10"/>
    <x v="0"/>
    <x v="1"/>
    <x v="6"/>
    <x v="2"/>
  </r>
  <r>
    <s v="EMP1692"/>
    <s v="Amit Singh"/>
    <n v="38"/>
    <x v="2"/>
    <x v="4"/>
    <s v="Team Lead"/>
    <n v="117872"/>
    <x v="2"/>
    <s v="Divorced"/>
    <d v="2017-04-19T00:00:00"/>
    <x v="2"/>
    <n v="7"/>
    <x v="0"/>
    <x v="4"/>
    <x v="6"/>
    <x v="0"/>
  </r>
  <r>
    <s v="EMP1693"/>
    <s v="Amit Sharma"/>
    <n v="32"/>
    <x v="1"/>
    <x v="1"/>
    <s v="Associate"/>
    <n v="118823"/>
    <x v="0"/>
    <s v="Single"/>
    <d v="2025-07-19T00:00:00"/>
    <x v="9"/>
    <n v="4"/>
    <x v="1"/>
    <x v="4"/>
    <x v="3"/>
    <x v="2"/>
  </r>
  <r>
    <s v="EMP1694"/>
    <s v="Karan Pradhan"/>
    <n v="25"/>
    <x v="1"/>
    <x v="3"/>
    <s v="Associate"/>
    <n v="111742"/>
    <x v="2"/>
    <s v="Married"/>
    <d v="2023-03-31T00:00:00"/>
    <x v="3"/>
    <n v="7"/>
    <x v="0"/>
    <x v="1"/>
    <x v="0"/>
    <x v="1"/>
  </r>
  <r>
    <s v="EMP1695"/>
    <s v="Priya Pradhan"/>
    <n v="47"/>
    <x v="1"/>
    <x v="1"/>
    <s v="Associate"/>
    <n v="78129"/>
    <x v="4"/>
    <s v="Divorced"/>
    <d v="2020-03-29T00:00:00"/>
    <x v="7"/>
    <n v="8"/>
    <x v="0"/>
    <x v="3"/>
    <x v="5"/>
    <x v="3"/>
  </r>
  <r>
    <s v="EMP1696"/>
    <s v="Rahul Singh"/>
    <n v="53"/>
    <x v="0"/>
    <x v="7"/>
    <s v="Senior Analyst"/>
    <n v="62342"/>
    <x v="2"/>
    <s v="Single"/>
    <d v="2021-01-19T00:00:00"/>
    <x v="8"/>
    <n v="10"/>
    <x v="0"/>
    <x v="3"/>
    <x v="7"/>
    <x v="3"/>
  </r>
  <r>
    <s v="EMP1697"/>
    <s v="Amit Reddy"/>
    <n v="23"/>
    <x v="2"/>
    <x v="2"/>
    <s v="Junior Analyst"/>
    <n v="72959"/>
    <x v="4"/>
    <s v="Married"/>
    <d v="2024-04-11T00:00:00"/>
    <x v="0"/>
    <n v="7"/>
    <x v="1"/>
    <x v="4"/>
    <x v="7"/>
    <x v="1"/>
  </r>
  <r>
    <s v="EMP1698"/>
    <s v="Rohit Reddy"/>
    <n v="29"/>
    <x v="2"/>
    <x v="1"/>
    <s v="Intern"/>
    <n v="76482"/>
    <x v="1"/>
    <s v="Divorced"/>
    <d v="2023-03-10T00:00:00"/>
    <x v="3"/>
    <n v="8"/>
    <x v="1"/>
    <x v="4"/>
    <x v="0"/>
    <x v="2"/>
  </r>
  <r>
    <s v="EMP1699"/>
    <s v="Priya Patel"/>
    <n v="25"/>
    <x v="0"/>
    <x v="3"/>
    <s v="Intern"/>
    <n v="69117"/>
    <x v="1"/>
    <s v="Divorced"/>
    <d v="2022-04-02T00:00:00"/>
    <x v="5"/>
    <n v="7"/>
    <x v="1"/>
    <x v="1"/>
    <x v="2"/>
    <x v="1"/>
  </r>
  <r>
    <s v="EMP1700"/>
    <s v="Karan Reddy"/>
    <n v="39"/>
    <x v="2"/>
    <x v="3"/>
    <s v="Intern"/>
    <n v="117227"/>
    <x v="1"/>
    <s v="Single"/>
    <d v="2016-07-01T00:00:00"/>
    <x v="6"/>
    <n v="4"/>
    <x v="1"/>
    <x v="1"/>
    <x v="3"/>
    <x v="0"/>
  </r>
  <r>
    <s v="EMP1701"/>
    <s v="Tarun Reddy"/>
    <n v="27"/>
    <x v="2"/>
    <x v="6"/>
    <s v="Senior Analyst"/>
    <n v="66887"/>
    <x v="4"/>
    <s v="Married"/>
    <d v="2017-07-29T00:00:00"/>
    <x v="2"/>
    <n v="4"/>
    <x v="0"/>
    <x v="2"/>
    <x v="1"/>
    <x v="2"/>
  </r>
  <r>
    <s v="EMP1702"/>
    <s v="Rohit Reddy"/>
    <n v="20"/>
    <x v="1"/>
    <x v="3"/>
    <s v="Associate"/>
    <n v="48945"/>
    <x v="4"/>
    <s v="Divorced"/>
    <d v="2024-03-14T00:00:00"/>
    <x v="0"/>
    <n v="8"/>
    <x v="0"/>
    <x v="4"/>
    <x v="3"/>
    <x v="1"/>
  </r>
  <r>
    <s v="EMP1703"/>
    <s v="Rohit Singh"/>
    <n v="56"/>
    <x v="2"/>
    <x v="5"/>
    <s v="Junior Analyst"/>
    <n v="111631"/>
    <x v="4"/>
    <s v="Divorced"/>
    <d v="2018-12-18T00:00:00"/>
    <x v="1"/>
    <n v="11"/>
    <x v="0"/>
    <x v="4"/>
    <x v="4"/>
    <x v="3"/>
  </r>
  <r>
    <s v="EMP1704"/>
    <s v="Neha Nanda"/>
    <n v="26"/>
    <x v="0"/>
    <x v="1"/>
    <s v="Manager"/>
    <n v="72008"/>
    <x v="0"/>
    <s v="Single"/>
    <d v="2020-12-13T00:00:00"/>
    <x v="7"/>
    <n v="11"/>
    <x v="0"/>
    <x v="3"/>
    <x v="4"/>
    <x v="2"/>
  </r>
  <r>
    <s v="EMP1705"/>
    <s v="Isha Sharma"/>
    <n v="43"/>
    <x v="2"/>
    <x v="1"/>
    <s v="Team Lead"/>
    <n v="95101"/>
    <x v="4"/>
    <s v="Married"/>
    <d v="2019-02-22T00:00:00"/>
    <x v="4"/>
    <n v="9"/>
    <x v="1"/>
    <x v="3"/>
    <x v="1"/>
    <x v="0"/>
  </r>
  <r>
    <s v="EMP1706"/>
    <s v="Isha Singh"/>
    <n v="46"/>
    <x v="0"/>
    <x v="5"/>
    <s v="Executive"/>
    <n v="84294"/>
    <x v="2"/>
    <s v="Divorced"/>
    <d v="2021-04-26T00:00:00"/>
    <x v="8"/>
    <n v="7"/>
    <x v="0"/>
    <x v="0"/>
    <x v="2"/>
    <x v="3"/>
  </r>
  <r>
    <s v="EMP1707"/>
    <s v="Priya Nanda"/>
    <n v="50"/>
    <x v="0"/>
    <x v="5"/>
    <s v="Senior Analyst"/>
    <n v="91272"/>
    <x v="0"/>
    <s v="Divorced"/>
    <d v="2025-09-29T00:00:00"/>
    <x v="9"/>
    <n v="2"/>
    <x v="1"/>
    <x v="2"/>
    <x v="2"/>
    <x v="3"/>
  </r>
  <r>
    <s v="EMP1708"/>
    <s v="Neha Reddy"/>
    <n v="38"/>
    <x v="0"/>
    <x v="5"/>
    <s v="Senior Analyst"/>
    <n v="33432"/>
    <x v="3"/>
    <s v="Married"/>
    <d v="2019-08-03T00:00:00"/>
    <x v="4"/>
    <n v="3"/>
    <x v="1"/>
    <x v="3"/>
    <x v="7"/>
    <x v="0"/>
  </r>
  <r>
    <s v="EMP1709"/>
    <s v="Amit Pradhan"/>
    <n v="57"/>
    <x v="1"/>
    <x v="6"/>
    <s v="Senior Analyst"/>
    <n v="57998"/>
    <x v="1"/>
    <s v="Single"/>
    <d v="2025-05-16T00:00:00"/>
    <x v="9"/>
    <n v="6"/>
    <x v="1"/>
    <x v="2"/>
    <x v="2"/>
    <x v="3"/>
  </r>
  <r>
    <s v="EMP1710"/>
    <s v="Karan Patel"/>
    <n v="24"/>
    <x v="0"/>
    <x v="1"/>
    <s v="Team Lead"/>
    <n v="81068"/>
    <x v="3"/>
    <s v="Divorced"/>
    <d v="2021-04-04T00:00:00"/>
    <x v="8"/>
    <n v="7"/>
    <x v="1"/>
    <x v="3"/>
    <x v="1"/>
    <x v="1"/>
  </r>
  <r>
    <s v="EMP1711"/>
    <s v="Kavya Pradhan"/>
    <n v="28"/>
    <x v="2"/>
    <x v="4"/>
    <s v="Junior Analyst"/>
    <n v="117834"/>
    <x v="2"/>
    <s v="Single"/>
    <d v="2025-11-25T00:00:00"/>
    <x v="9"/>
    <n v="0"/>
    <x v="1"/>
    <x v="2"/>
    <x v="0"/>
    <x v="2"/>
  </r>
  <r>
    <s v="EMP1712"/>
    <s v="Tarun Pradhan"/>
    <n v="45"/>
    <x v="1"/>
    <x v="6"/>
    <s v="Junior Analyst"/>
    <n v="105876"/>
    <x v="3"/>
    <s v="Divorced"/>
    <d v="2017-03-06T00:00:00"/>
    <x v="2"/>
    <n v="8"/>
    <x v="0"/>
    <x v="2"/>
    <x v="3"/>
    <x v="0"/>
  </r>
  <r>
    <s v="EMP1713"/>
    <s v="Karan Singh"/>
    <n v="27"/>
    <x v="2"/>
    <x v="7"/>
    <s v="Team Lead"/>
    <n v="43221"/>
    <x v="4"/>
    <s v="Divorced"/>
    <d v="2024-09-06T00:00:00"/>
    <x v="0"/>
    <n v="2"/>
    <x v="0"/>
    <x v="0"/>
    <x v="4"/>
    <x v="2"/>
  </r>
  <r>
    <s v="EMP1714"/>
    <s v="Isha Reddy"/>
    <n v="21"/>
    <x v="0"/>
    <x v="5"/>
    <s v="Senior Analyst"/>
    <n v="20486"/>
    <x v="1"/>
    <s v="Single"/>
    <d v="2025-06-28T00:00:00"/>
    <x v="9"/>
    <n v="5"/>
    <x v="1"/>
    <x v="2"/>
    <x v="6"/>
    <x v="1"/>
  </r>
  <r>
    <s v="EMP1715"/>
    <s v="Tarun Reddy"/>
    <n v="22"/>
    <x v="1"/>
    <x v="6"/>
    <s v="Junior Analyst"/>
    <n v="62558"/>
    <x v="1"/>
    <s v="Married"/>
    <d v="2016-06-15T00:00:00"/>
    <x v="6"/>
    <n v="5"/>
    <x v="1"/>
    <x v="3"/>
    <x v="3"/>
    <x v="1"/>
  </r>
  <r>
    <s v="EMP1716"/>
    <s v="Sneha Sharma"/>
    <n v="26"/>
    <x v="2"/>
    <x v="5"/>
    <s v="Executive"/>
    <n v="55401"/>
    <x v="1"/>
    <s v="Married"/>
    <d v="2024-10-19T00:00:00"/>
    <x v="0"/>
    <n v="1"/>
    <x v="0"/>
    <x v="1"/>
    <x v="3"/>
    <x v="2"/>
  </r>
  <r>
    <s v="EMP1717"/>
    <s v="Tarun Singh"/>
    <n v="30"/>
    <x v="0"/>
    <x v="3"/>
    <s v="Manager"/>
    <n v="41784"/>
    <x v="0"/>
    <s v="Married"/>
    <d v="2020-07-23T00:00:00"/>
    <x v="7"/>
    <n v="4"/>
    <x v="0"/>
    <x v="4"/>
    <x v="5"/>
    <x v="2"/>
  </r>
  <r>
    <s v="EMP1718"/>
    <s v="Tarun Patel"/>
    <n v="36"/>
    <x v="1"/>
    <x v="7"/>
    <s v="Executive"/>
    <n v="24799"/>
    <x v="1"/>
    <s v="Divorced"/>
    <d v="2022-10-04T00:00:00"/>
    <x v="5"/>
    <n v="1"/>
    <x v="0"/>
    <x v="3"/>
    <x v="0"/>
    <x v="0"/>
  </r>
  <r>
    <s v="EMP1719"/>
    <s v="Sneha Patel"/>
    <n v="23"/>
    <x v="1"/>
    <x v="4"/>
    <s v="Junior Analyst"/>
    <n v="90498"/>
    <x v="0"/>
    <s v="Married"/>
    <d v="2016-07-05T00:00:00"/>
    <x v="6"/>
    <n v="4"/>
    <x v="1"/>
    <x v="1"/>
    <x v="7"/>
    <x v="1"/>
  </r>
  <r>
    <s v="EMP1720"/>
    <s v="Rohit Reddy"/>
    <n v="57"/>
    <x v="2"/>
    <x v="7"/>
    <s v="Associate"/>
    <n v="50285"/>
    <x v="4"/>
    <s v="Divorced"/>
    <d v="2024-12-28T00:00:00"/>
    <x v="0"/>
    <n v="11"/>
    <x v="0"/>
    <x v="4"/>
    <x v="0"/>
    <x v="3"/>
  </r>
  <r>
    <s v="EMP1721"/>
    <s v="Isha Sharma"/>
    <n v="52"/>
    <x v="0"/>
    <x v="5"/>
    <s v="Team Lead"/>
    <n v="66929"/>
    <x v="1"/>
    <s v="Single"/>
    <d v="2022-03-19T00:00:00"/>
    <x v="5"/>
    <n v="8"/>
    <x v="1"/>
    <x v="0"/>
    <x v="1"/>
    <x v="3"/>
  </r>
  <r>
    <s v="EMP1722"/>
    <s v="Rahul Sharma"/>
    <n v="49"/>
    <x v="2"/>
    <x v="2"/>
    <s v="Executive"/>
    <n v="103597"/>
    <x v="0"/>
    <s v="Single"/>
    <d v="2021-08-05T00:00:00"/>
    <x v="8"/>
    <n v="3"/>
    <x v="1"/>
    <x v="0"/>
    <x v="3"/>
    <x v="3"/>
  </r>
  <r>
    <s v="EMP1723"/>
    <s v="Tarun Patel"/>
    <n v="33"/>
    <x v="2"/>
    <x v="2"/>
    <s v="Executive"/>
    <n v="23961"/>
    <x v="4"/>
    <s v="Divorced"/>
    <d v="2016-12-20T00:00:00"/>
    <x v="6"/>
    <n v="11"/>
    <x v="1"/>
    <x v="2"/>
    <x v="0"/>
    <x v="2"/>
  </r>
  <r>
    <s v="EMP1724"/>
    <s v="Sneha Mishra"/>
    <n v="28"/>
    <x v="2"/>
    <x v="2"/>
    <s v="Executive"/>
    <n v="74618"/>
    <x v="4"/>
    <s v="Divorced"/>
    <d v="2025-03-07T00:00:00"/>
    <x v="9"/>
    <n v="8"/>
    <x v="1"/>
    <x v="4"/>
    <x v="3"/>
    <x v="2"/>
  </r>
  <r>
    <s v="EMP1725"/>
    <s v="Isha Patel"/>
    <n v="35"/>
    <x v="2"/>
    <x v="3"/>
    <s v="Executive"/>
    <n v="62778"/>
    <x v="2"/>
    <s v="Divorced"/>
    <d v="2019-11-14T00:00:00"/>
    <x v="4"/>
    <n v="0"/>
    <x v="0"/>
    <x v="1"/>
    <x v="7"/>
    <x v="2"/>
  </r>
  <r>
    <s v="EMP1726"/>
    <s v="Kavya Nanda"/>
    <n v="20"/>
    <x v="0"/>
    <x v="5"/>
    <s v="Team Lead"/>
    <n v="72154"/>
    <x v="2"/>
    <s v="Married"/>
    <d v="2022-03-22T00:00:00"/>
    <x v="5"/>
    <n v="8"/>
    <x v="0"/>
    <x v="2"/>
    <x v="7"/>
    <x v="1"/>
  </r>
  <r>
    <s v="EMP1727"/>
    <s v="Isha Singh"/>
    <n v="27"/>
    <x v="1"/>
    <x v="1"/>
    <s v="Senior Analyst"/>
    <n v="96815"/>
    <x v="2"/>
    <s v="Single"/>
    <d v="2025-08-06T00:00:00"/>
    <x v="9"/>
    <n v="3"/>
    <x v="0"/>
    <x v="2"/>
    <x v="1"/>
    <x v="2"/>
  </r>
  <r>
    <s v="EMP1728"/>
    <s v="Neha Pradhan"/>
    <n v="48"/>
    <x v="0"/>
    <x v="0"/>
    <s v="Manager"/>
    <n v="115405"/>
    <x v="3"/>
    <s v="Divorced"/>
    <d v="2024-02-20T00:00:00"/>
    <x v="0"/>
    <n v="9"/>
    <x v="1"/>
    <x v="1"/>
    <x v="2"/>
    <x v="3"/>
  </r>
  <r>
    <s v="EMP1729"/>
    <s v="Kavya Singh"/>
    <n v="39"/>
    <x v="2"/>
    <x v="0"/>
    <s v="Junior Analyst"/>
    <n v="48704"/>
    <x v="3"/>
    <s v="Single"/>
    <d v="2019-05-02T00:00:00"/>
    <x v="4"/>
    <n v="6"/>
    <x v="1"/>
    <x v="0"/>
    <x v="4"/>
    <x v="0"/>
  </r>
  <r>
    <s v="EMP1730"/>
    <s v="Rahul Pradhan"/>
    <n v="45"/>
    <x v="0"/>
    <x v="2"/>
    <s v="Team Lead"/>
    <n v="92593"/>
    <x v="2"/>
    <s v="Single"/>
    <d v="2022-05-17T00:00:00"/>
    <x v="5"/>
    <n v="6"/>
    <x v="0"/>
    <x v="0"/>
    <x v="5"/>
    <x v="0"/>
  </r>
  <r>
    <s v="EMP1731"/>
    <s v="Sneha Reddy"/>
    <n v="28"/>
    <x v="2"/>
    <x v="7"/>
    <s v="Senior Analyst"/>
    <n v="34702"/>
    <x v="4"/>
    <s v="Single"/>
    <d v="2022-01-19T00:00:00"/>
    <x v="5"/>
    <n v="10"/>
    <x v="1"/>
    <x v="1"/>
    <x v="7"/>
    <x v="2"/>
  </r>
  <r>
    <s v="EMP1732"/>
    <s v="Karan Reddy"/>
    <n v="36"/>
    <x v="2"/>
    <x v="4"/>
    <s v="Junior Analyst"/>
    <n v="18256"/>
    <x v="0"/>
    <s v="Married"/>
    <d v="2021-01-13T00:00:00"/>
    <x v="8"/>
    <n v="10"/>
    <x v="1"/>
    <x v="4"/>
    <x v="2"/>
    <x v="0"/>
  </r>
  <r>
    <s v="EMP1733"/>
    <s v="Karan Nanda"/>
    <n v="51"/>
    <x v="1"/>
    <x v="6"/>
    <s v="Executive"/>
    <n v="112531"/>
    <x v="0"/>
    <s v="Married"/>
    <d v="2020-11-23T00:00:00"/>
    <x v="7"/>
    <n v="0"/>
    <x v="1"/>
    <x v="4"/>
    <x v="7"/>
    <x v="3"/>
  </r>
  <r>
    <s v="EMP1734"/>
    <s v="Tarun Pradhan"/>
    <n v="41"/>
    <x v="0"/>
    <x v="6"/>
    <s v="Executive"/>
    <n v="114658"/>
    <x v="2"/>
    <s v="Single"/>
    <d v="2018-12-27T00:00:00"/>
    <x v="1"/>
    <n v="11"/>
    <x v="0"/>
    <x v="1"/>
    <x v="6"/>
    <x v="0"/>
  </r>
  <r>
    <s v="EMP1735"/>
    <s v="Rohit Sharma"/>
    <n v="26"/>
    <x v="0"/>
    <x v="4"/>
    <s v="Associate"/>
    <n v="74616"/>
    <x v="0"/>
    <s v="Divorced"/>
    <d v="2025-02-15T00:00:00"/>
    <x v="9"/>
    <n v="9"/>
    <x v="1"/>
    <x v="4"/>
    <x v="4"/>
    <x v="2"/>
  </r>
  <r>
    <s v="EMP1736"/>
    <s v="Sneha Nanda"/>
    <n v="35"/>
    <x v="1"/>
    <x v="6"/>
    <s v="Team Lead"/>
    <n v="61724"/>
    <x v="1"/>
    <s v="Single"/>
    <d v="2024-11-19T00:00:00"/>
    <x v="0"/>
    <n v="0"/>
    <x v="1"/>
    <x v="2"/>
    <x v="1"/>
    <x v="2"/>
  </r>
  <r>
    <s v="EMP1737"/>
    <s v="Kavya Sharma"/>
    <n v="25"/>
    <x v="0"/>
    <x v="6"/>
    <s v="Senior Analyst"/>
    <n v="67465"/>
    <x v="0"/>
    <s v="Single"/>
    <d v="2016-11-17T00:00:00"/>
    <x v="6"/>
    <n v="0"/>
    <x v="1"/>
    <x v="2"/>
    <x v="3"/>
    <x v="1"/>
  </r>
  <r>
    <s v="EMP1738"/>
    <s v="Kavya Singh"/>
    <n v="47"/>
    <x v="0"/>
    <x v="7"/>
    <s v="Manager"/>
    <n v="106809"/>
    <x v="4"/>
    <s v="Single"/>
    <d v="2019-06-29T00:00:00"/>
    <x v="4"/>
    <n v="5"/>
    <x v="1"/>
    <x v="3"/>
    <x v="2"/>
    <x v="3"/>
  </r>
  <r>
    <s v="EMP1739"/>
    <s v="Kavya Mishra"/>
    <n v="46"/>
    <x v="0"/>
    <x v="6"/>
    <s v="Junior Analyst"/>
    <n v="77429"/>
    <x v="2"/>
    <s v="Married"/>
    <d v="2023-02-21T00:00:00"/>
    <x v="3"/>
    <n v="9"/>
    <x v="0"/>
    <x v="4"/>
    <x v="7"/>
    <x v="3"/>
  </r>
  <r>
    <s v="EMP1740"/>
    <s v="Isha Reddy"/>
    <n v="41"/>
    <x v="2"/>
    <x v="0"/>
    <s v="Manager"/>
    <n v="32156"/>
    <x v="0"/>
    <s v="Divorced"/>
    <d v="2024-03-08T00:00:00"/>
    <x v="0"/>
    <n v="8"/>
    <x v="0"/>
    <x v="0"/>
    <x v="4"/>
    <x v="0"/>
  </r>
  <r>
    <s v="EMP1741"/>
    <s v="Kavya Pradhan"/>
    <n v="52"/>
    <x v="1"/>
    <x v="3"/>
    <s v="Junior Analyst"/>
    <n v="73182"/>
    <x v="4"/>
    <s v="Married"/>
    <d v="2018-04-09T00:00:00"/>
    <x v="1"/>
    <n v="7"/>
    <x v="0"/>
    <x v="1"/>
    <x v="7"/>
    <x v="3"/>
  </r>
  <r>
    <s v="EMP1742"/>
    <s v="Rahul Pradhan"/>
    <n v="39"/>
    <x v="2"/>
    <x v="1"/>
    <s v="Intern"/>
    <n v="85256"/>
    <x v="3"/>
    <s v="Married"/>
    <d v="2022-09-24T00:00:00"/>
    <x v="5"/>
    <n v="2"/>
    <x v="0"/>
    <x v="1"/>
    <x v="1"/>
    <x v="0"/>
  </r>
  <r>
    <s v="EMP1743"/>
    <s v="Rohit Reddy"/>
    <n v="41"/>
    <x v="1"/>
    <x v="3"/>
    <s v="Team Lead"/>
    <n v="19059"/>
    <x v="4"/>
    <s v="Divorced"/>
    <d v="2023-10-17T00:00:00"/>
    <x v="3"/>
    <n v="1"/>
    <x v="0"/>
    <x v="2"/>
    <x v="4"/>
    <x v="0"/>
  </r>
  <r>
    <s v="EMP1744"/>
    <s v="Karan Mishra"/>
    <n v="55"/>
    <x v="0"/>
    <x v="1"/>
    <s v="Executive"/>
    <n v="63064"/>
    <x v="1"/>
    <s v="Divorced"/>
    <d v="2018-06-11T00:00:00"/>
    <x v="1"/>
    <n v="5"/>
    <x v="0"/>
    <x v="4"/>
    <x v="4"/>
    <x v="3"/>
  </r>
  <r>
    <s v="EMP1745"/>
    <s v="Isha Singh"/>
    <n v="49"/>
    <x v="2"/>
    <x v="3"/>
    <s v="Team Lead"/>
    <n v="93813"/>
    <x v="3"/>
    <s v="Divorced"/>
    <d v="2019-07-19T00:00:00"/>
    <x v="4"/>
    <n v="4"/>
    <x v="1"/>
    <x v="4"/>
    <x v="5"/>
    <x v="3"/>
  </r>
  <r>
    <s v="EMP1746"/>
    <s v="Sneha Nanda"/>
    <n v="22"/>
    <x v="1"/>
    <x v="0"/>
    <s v="Intern"/>
    <n v="18484"/>
    <x v="1"/>
    <s v="Divorced"/>
    <d v="2018-10-08T00:00:00"/>
    <x v="1"/>
    <n v="1"/>
    <x v="1"/>
    <x v="0"/>
    <x v="4"/>
    <x v="1"/>
  </r>
  <r>
    <s v="EMP1747"/>
    <s v="Priya Nanda"/>
    <n v="41"/>
    <x v="2"/>
    <x v="1"/>
    <s v="Junior Analyst"/>
    <n v="44911"/>
    <x v="1"/>
    <s v="Single"/>
    <d v="2020-04-03T00:00:00"/>
    <x v="7"/>
    <n v="7"/>
    <x v="0"/>
    <x v="2"/>
    <x v="6"/>
    <x v="0"/>
  </r>
  <r>
    <s v="EMP1748"/>
    <s v="Rahul Reddy"/>
    <n v="27"/>
    <x v="0"/>
    <x v="2"/>
    <s v="Executive"/>
    <n v="75725"/>
    <x v="4"/>
    <s v="Married"/>
    <d v="2016-09-04T00:00:00"/>
    <x v="6"/>
    <n v="2"/>
    <x v="0"/>
    <x v="1"/>
    <x v="4"/>
    <x v="2"/>
  </r>
  <r>
    <s v="EMP1749"/>
    <s v="Rohit Pradhan"/>
    <n v="34"/>
    <x v="1"/>
    <x v="5"/>
    <s v="Associate"/>
    <n v="62540"/>
    <x v="4"/>
    <s v="Single"/>
    <d v="2018-03-10T00:00:00"/>
    <x v="1"/>
    <n v="8"/>
    <x v="0"/>
    <x v="2"/>
    <x v="5"/>
    <x v="2"/>
  </r>
  <r>
    <s v="EMP1750"/>
    <s v="Rohit Sharma"/>
    <n v="21"/>
    <x v="2"/>
    <x v="5"/>
    <s v="Intern"/>
    <n v="67666"/>
    <x v="0"/>
    <s v="Married"/>
    <d v="2018-07-18T00:00:00"/>
    <x v="1"/>
    <n v="4"/>
    <x v="1"/>
    <x v="3"/>
    <x v="4"/>
    <x v="1"/>
  </r>
  <r>
    <s v="EMP1751"/>
    <s v="Neha Mishra"/>
    <n v="43"/>
    <x v="2"/>
    <x v="5"/>
    <s v="Associate"/>
    <n v="87065"/>
    <x v="4"/>
    <s v="Married"/>
    <d v="2024-02-28T00:00:00"/>
    <x v="0"/>
    <n v="9"/>
    <x v="0"/>
    <x v="2"/>
    <x v="5"/>
    <x v="0"/>
  </r>
  <r>
    <s v="EMP1752"/>
    <s v="Amit Mishra"/>
    <n v="32"/>
    <x v="0"/>
    <x v="1"/>
    <s v="Senior Analyst"/>
    <n v="109010"/>
    <x v="3"/>
    <s v="Divorced"/>
    <d v="2021-01-01T00:00:00"/>
    <x v="8"/>
    <n v="10"/>
    <x v="0"/>
    <x v="2"/>
    <x v="4"/>
    <x v="2"/>
  </r>
  <r>
    <s v="EMP1753"/>
    <s v="Karan Patel"/>
    <n v="29"/>
    <x v="1"/>
    <x v="0"/>
    <s v="Intern"/>
    <n v="24980"/>
    <x v="3"/>
    <s v="Single"/>
    <d v="2025-09-25T00:00:00"/>
    <x v="9"/>
    <n v="2"/>
    <x v="1"/>
    <x v="1"/>
    <x v="2"/>
    <x v="2"/>
  </r>
  <r>
    <s v="EMP1754"/>
    <s v="Isha Mishra"/>
    <n v="24"/>
    <x v="0"/>
    <x v="1"/>
    <s v="Intern"/>
    <n v="116475"/>
    <x v="4"/>
    <s v="Married"/>
    <d v="2021-10-11T00:00:00"/>
    <x v="8"/>
    <n v="1"/>
    <x v="1"/>
    <x v="1"/>
    <x v="6"/>
    <x v="1"/>
  </r>
  <r>
    <s v="EMP1755"/>
    <s v="Neha Reddy"/>
    <n v="50"/>
    <x v="2"/>
    <x v="4"/>
    <s v="Senior Analyst"/>
    <n v="80096"/>
    <x v="4"/>
    <s v="Married"/>
    <d v="2023-05-05T00:00:00"/>
    <x v="3"/>
    <n v="6"/>
    <x v="0"/>
    <x v="1"/>
    <x v="4"/>
    <x v="3"/>
  </r>
  <r>
    <s v="EMP1756"/>
    <s v="Priya Nanda"/>
    <n v="35"/>
    <x v="1"/>
    <x v="0"/>
    <s v="Junior Analyst"/>
    <n v="58107"/>
    <x v="2"/>
    <s v="Divorced"/>
    <d v="2017-12-12T00:00:00"/>
    <x v="2"/>
    <n v="11"/>
    <x v="1"/>
    <x v="4"/>
    <x v="2"/>
    <x v="2"/>
  </r>
  <r>
    <s v="EMP1757"/>
    <s v="Amit Mishra"/>
    <n v="25"/>
    <x v="1"/>
    <x v="4"/>
    <s v="Senior Analyst"/>
    <n v="86002"/>
    <x v="1"/>
    <s v="Divorced"/>
    <d v="2016-08-24T00:00:00"/>
    <x v="6"/>
    <n v="3"/>
    <x v="1"/>
    <x v="0"/>
    <x v="6"/>
    <x v="1"/>
  </r>
  <r>
    <s v="EMP1758"/>
    <s v="Tarun Nanda"/>
    <n v="49"/>
    <x v="1"/>
    <x v="1"/>
    <s v="Associate"/>
    <n v="66170"/>
    <x v="2"/>
    <s v="Married"/>
    <d v="2019-04-01T00:00:00"/>
    <x v="4"/>
    <n v="7"/>
    <x v="1"/>
    <x v="2"/>
    <x v="5"/>
    <x v="3"/>
  </r>
  <r>
    <s v="EMP1759"/>
    <s v="Isha Pradhan"/>
    <n v="36"/>
    <x v="2"/>
    <x v="7"/>
    <s v="Manager"/>
    <n v="65067"/>
    <x v="3"/>
    <s v="Divorced"/>
    <d v="2021-12-08T00:00:00"/>
    <x v="8"/>
    <n v="11"/>
    <x v="0"/>
    <x v="4"/>
    <x v="4"/>
    <x v="0"/>
  </r>
  <r>
    <s v="EMP1760"/>
    <s v="Sneha Sharma"/>
    <n v="24"/>
    <x v="1"/>
    <x v="6"/>
    <s v="Executive"/>
    <n v="89568"/>
    <x v="3"/>
    <s v="Single"/>
    <d v="2023-10-04T00:00:00"/>
    <x v="3"/>
    <n v="1"/>
    <x v="1"/>
    <x v="4"/>
    <x v="3"/>
    <x v="1"/>
  </r>
  <r>
    <s v="EMP1761"/>
    <s v="Rohit Pradhan"/>
    <n v="58"/>
    <x v="0"/>
    <x v="2"/>
    <s v="Associate"/>
    <n v="19118"/>
    <x v="3"/>
    <s v="Married"/>
    <d v="2025-05-29T00:00:00"/>
    <x v="9"/>
    <n v="6"/>
    <x v="1"/>
    <x v="3"/>
    <x v="0"/>
    <x v="3"/>
  </r>
  <r>
    <s v="EMP1762"/>
    <s v="Kavya Mishra"/>
    <n v="20"/>
    <x v="1"/>
    <x v="5"/>
    <s v="Executive"/>
    <n v="70101"/>
    <x v="1"/>
    <s v="Divorced"/>
    <d v="2024-08-02T00:00:00"/>
    <x v="0"/>
    <n v="3"/>
    <x v="0"/>
    <x v="3"/>
    <x v="4"/>
    <x v="1"/>
  </r>
  <r>
    <s v="EMP1763"/>
    <s v="Karan Reddy"/>
    <n v="55"/>
    <x v="1"/>
    <x v="4"/>
    <s v="Associate"/>
    <n v="62650"/>
    <x v="0"/>
    <s v="Married"/>
    <d v="2025-09-02T00:00:00"/>
    <x v="9"/>
    <n v="2"/>
    <x v="0"/>
    <x v="3"/>
    <x v="0"/>
    <x v="3"/>
  </r>
  <r>
    <s v="EMP1764"/>
    <s v="Priya Nanda"/>
    <n v="48"/>
    <x v="2"/>
    <x v="6"/>
    <s v="Executive"/>
    <n v="67112"/>
    <x v="4"/>
    <s v="Single"/>
    <d v="2019-08-12T00:00:00"/>
    <x v="4"/>
    <n v="3"/>
    <x v="0"/>
    <x v="3"/>
    <x v="6"/>
    <x v="3"/>
  </r>
  <r>
    <s v="EMP1765"/>
    <s v="Neha Pradhan"/>
    <n v="46"/>
    <x v="1"/>
    <x v="1"/>
    <s v="Associate"/>
    <n v="117987"/>
    <x v="4"/>
    <s v="Married"/>
    <d v="2019-11-04T00:00:00"/>
    <x v="4"/>
    <n v="0"/>
    <x v="0"/>
    <x v="0"/>
    <x v="7"/>
    <x v="3"/>
  </r>
  <r>
    <s v="EMP1766"/>
    <s v="Amit Pradhan"/>
    <n v="41"/>
    <x v="2"/>
    <x v="1"/>
    <s v="Executive"/>
    <n v="67980"/>
    <x v="2"/>
    <s v="Single"/>
    <d v="2022-03-07T00:00:00"/>
    <x v="5"/>
    <n v="8"/>
    <x v="1"/>
    <x v="1"/>
    <x v="1"/>
    <x v="0"/>
  </r>
  <r>
    <s v="EMP1767"/>
    <s v="Sneha Patel"/>
    <n v="56"/>
    <x v="1"/>
    <x v="2"/>
    <s v="Executive"/>
    <n v="30221"/>
    <x v="0"/>
    <s v="Divorced"/>
    <d v="2022-05-21T00:00:00"/>
    <x v="5"/>
    <n v="6"/>
    <x v="0"/>
    <x v="2"/>
    <x v="1"/>
    <x v="3"/>
  </r>
  <r>
    <s v="EMP1768"/>
    <s v="Rahul Pradhan"/>
    <n v="32"/>
    <x v="0"/>
    <x v="1"/>
    <s v="Executive"/>
    <n v="55200"/>
    <x v="1"/>
    <s v="Married"/>
    <d v="2023-08-01T00:00:00"/>
    <x v="3"/>
    <n v="3"/>
    <x v="0"/>
    <x v="3"/>
    <x v="7"/>
    <x v="2"/>
  </r>
  <r>
    <s v="EMP1769"/>
    <s v="Neha Reddy"/>
    <n v="20"/>
    <x v="0"/>
    <x v="3"/>
    <s v="Junior Analyst"/>
    <n v="71852"/>
    <x v="1"/>
    <s v="Single"/>
    <d v="2017-08-19T00:00:00"/>
    <x v="2"/>
    <n v="3"/>
    <x v="1"/>
    <x v="3"/>
    <x v="2"/>
    <x v="1"/>
  </r>
  <r>
    <s v="EMP1770"/>
    <s v="Tarun Mishra"/>
    <n v="33"/>
    <x v="0"/>
    <x v="0"/>
    <s v="Junior Analyst"/>
    <n v="58600"/>
    <x v="2"/>
    <s v="Single"/>
    <d v="2022-12-15T00:00:00"/>
    <x v="5"/>
    <n v="11"/>
    <x v="1"/>
    <x v="0"/>
    <x v="4"/>
    <x v="2"/>
  </r>
  <r>
    <s v="EMP1771"/>
    <s v="Karan Singh"/>
    <n v="49"/>
    <x v="1"/>
    <x v="0"/>
    <s v="Executive"/>
    <n v="18975"/>
    <x v="2"/>
    <s v="Single"/>
    <d v="2025-06-07T00:00:00"/>
    <x v="9"/>
    <n v="5"/>
    <x v="1"/>
    <x v="0"/>
    <x v="4"/>
    <x v="3"/>
  </r>
  <r>
    <s v="EMP1772"/>
    <s v="Karan Patel"/>
    <n v="56"/>
    <x v="1"/>
    <x v="4"/>
    <s v="Team Lead"/>
    <n v="78646"/>
    <x v="0"/>
    <s v="Divorced"/>
    <d v="2017-03-17T00:00:00"/>
    <x v="2"/>
    <n v="8"/>
    <x v="1"/>
    <x v="3"/>
    <x v="6"/>
    <x v="3"/>
  </r>
  <r>
    <s v="EMP1773"/>
    <s v="Rohit Nanda"/>
    <n v="31"/>
    <x v="1"/>
    <x v="0"/>
    <s v="Team Lead"/>
    <n v="41537"/>
    <x v="2"/>
    <s v="Married"/>
    <d v="2020-07-01T00:00:00"/>
    <x v="7"/>
    <n v="4"/>
    <x v="0"/>
    <x v="0"/>
    <x v="2"/>
    <x v="2"/>
  </r>
  <r>
    <s v="EMP1774"/>
    <s v="Tarun Singh"/>
    <n v="22"/>
    <x v="0"/>
    <x v="5"/>
    <s v="Intern"/>
    <n v="53884"/>
    <x v="4"/>
    <s v="Married"/>
    <d v="2023-08-30T00:00:00"/>
    <x v="3"/>
    <n v="2"/>
    <x v="0"/>
    <x v="1"/>
    <x v="1"/>
    <x v="1"/>
  </r>
  <r>
    <s v="EMP1775"/>
    <s v="Tarun Mishra"/>
    <n v="55"/>
    <x v="0"/>
    <x v="3"/>
    <s v="Associate"/>
    <n v="28031"/>
    <x v="0"/>
    <s v="Divorced"/>
    <d v="2024-10-12T00:00:00"/>
    <x v="0"/>
    <n v="1"/>
    <x v="1"/>
    <x v="3"/>
    <x v="1"/>
    <x v="3"/>
  </r>
  <r>
    <s v="EMP1776"/>
    <s v="Amit Patel"/>
    <n v="33"/>
    <x v="2"/>
    <x v="6"/>
    <s v="Manager"/>
    <n v="78577"/>
    <x v="0"/>
    <s v="Divorced"/>
    <d v="2023-12-22T00:00:00"/>
    <x v="3"/>
    <n v="11"/>
    <x v="1"/>
    <x v="3"/>
    <x v="6"/>
    <x v="2"/>
  </r>
  <r>
    <s v="EMP1777"/>
    <s v="Tarun Mishra"/>
    <n v="32"/>
    <x v="1"/>
    <x v="6"/>
    <s v="Senior Analyst"/>
    <n v="19407"/>
    <x v="0"/>
    <s v="Divorced"/>
    <d v="2017-09-19T00:00:00"/>
    <x v="2"/>
    <n v="2"/>
    <x v="1"/>
    <x v="3"/>
    <x v="1"/>
    <x v="2"/>
  </r>
  <r>
    <s v="EMP1778"/>
    <s v="Isha Sharma"/>
    <n v="25"/>
    <x v="2"/>
    <x v="0"/>
    <s v="Junior Analyst"/>
    <n v="111530"/>
    <x v="1"/>
    <s v="Married"/>
    <d v="2025-05-21T00:00:00"/>
    <x v="9"/>
    <n v="6"/>
    <x v="1"/>
    <x v="1"/>
    <x v="5"/>
    <x v="1"/>
  </r>
  <r>
    <s v="EMP1779"/>
    <s v="Rahul Reddy"/>
    <n v="26"/>
    <x v="0"/>
    <x v="2"/>
    <s v="Team Lead"/>
    <n v="34272"/>
    <x v="2"/>
    <s v="Single"/>
    <d v="2017-01-20T00:00:00"/>
    <x v="2"/>
    <n v="10"/>
    <x v="0"/>
    <x v="4"/>
    <x v="5"/>
    <x v="2"/>
  </r>
  <r>
    <s v="EMP1780"/>
    <s v="Isha Patel"/>
    <n v="31"/>
    <x v="0"/>
    <x v="6"/>
    <s v="Team Lead"/>
    <n v="106479"/>
    <x v="1"/>
    <s v="Married"/>
    <d v="2023-12-31T00:00:00"/>
    <x v="3"/>
    <n v="10"/>
    <x v="0"/>
    <x v="0"/>
    <x v="2"/>
    <x v="2"/>
  </r>
  <r>
    <s v="EMP1781"/>
    <s v="Tarun Singh"/>
    <n v="39"/>
    <x v="1"/>
    <x v="6"/>
    <s v="Manager"/>
    <n v="96407"/>
    <x v="0"/>
    <s v="Married"/>
    <d v="2024-10-15T00:00:00"/>
    <x v="0"/>
    <n v="1"/>
    <x v="0"/>
    <x v="1"/>
    <x v="6"/>
    <x v="0"/>
  </r>
  <r>
    <s v="EMP1782"/>
    <s v="Priya Pradhan"/>
    <n v="25"/>
    <x v="0"/>
    <x v="1"/>
    <s v="Manager"/>
    <n v="21662"/>
    <x v="3"/>
    <s v="Single"/>
    <d v="2023-10-24T00:00:00"/>
    <x v="3"/>
    <n v="1"/>
    <x v="0"/>
    <x v="1"/>
    <x v="2"/>
    <x v="1"/>
  </r>
  <r>
    <s v="EMP1783"/>
    <s v="Amit Singh"/>
    <n v="30"/>
    <x v="0"/>
    <x v="1"/>
    <s v="Manager"/>
    <n v="85174"/>
    <x v="3"/>
    <s v="Married"/>
    <d v="2022-06-28T00:00:00"/>
    <x v="5"/>
    <n v="5"/>
    <x v="0"/>
    <x v="0"/>
    <x v="4"/>
    <x v="2"/>
  </r>
  <r>
    <s v="EMP1784"/>
    <s v="Karan Nanda"/>
    <n v="47"/>
    <x v="0"/>
    <x v="0"/>
    <s v="Manager"/>
    <n v="46020"/>
    <x v="3"/>
    <s v="Married"/>
    <d v="2018-02-18T00:00:00"/>
    <x v="1"/>
    <n v="9"/>
    <x v="0"/>
    <x v="3"/>
    <x v="6"/>
    <x v="3"/>
  </r>
  <r>
    <s v="EMP1785"/>
    <s v="Rahul Nanda"/>
    <n v="33"/>
    <x v="1"/>
    <x v="0"/>
    <s v="Intern"/>
    <n v="26652"/>
    <x v="3"/>
    <s v="Divorced"/>
    <d v="2023-03-08T00:00:00"/>
    <x v="3"/>
    <n v="8"/>
    <x v="1"/>
    <x v="2"/>
    <x v="2"/>
    <x v="2"/>
  </r>
  <r>
    <s v="EMP1786"/>
    <s v="Priya Nanda"/>
    <n v="39"/>
    <x v="2"/>
    <x v="4"/>
    <s v="Intern"/>
    <n v="31344"/>
    <x v="4"/>
    <s v="Divorced"/>
    <d v="2018-02-09T00:00:00"/>
    <x v="1"/>
    <n v="9"/>
    <x v="1"/>
    <x v="2"/>
    <x v="6"/>
    <x v="0"/>
  </r>
  <r>
    <s v="EMP1787"/>
    <s v="Tarun Singh"/>
    <n v="28"/>
    <x v="1"/>
    <x v="5"/>
    <s v="Associate"/>
    <n v="101277"/>
    <x v="3"/>
    <s v="Divorced"/>
    <d v="2021-08-04T00:00:00"/>
    <x v="8"/>
    <n v="3"/>
    <x v="0"/>
    <x v="4"/>
    <x v="7"/>
    <x v="2"/>
  </r>
  <r>
    <s v="EMP1788"/>
    <s v="Kavya Reddy"/>
    <n v="48"/>
    <x v="1"/>
    <x v="0"/>
    <s v="Team Lead"/>
    <n v="83984"/>
    <x v="0"/>
    <s v="Single"/>
    <d v="2016-06-03T00:00:00"/>
    <x v="6"/>
    <n v="5"/>
    <x v="0"/>
    <x v="4"/>
    <x v="4"/>
    <x v="3"/>
  </r>
  <r>
    <s v="EMP1789"/>
    <s v="Tarun Mishra"/>
    <n v="35"/>
    <x v="2"/>
    <x v="7"/>
    <s v="Executive"/>
    <n v="25854"/>
    <x v="3"/>
    <s v="Married"/>
    <d v="2019-07-06T00:00:00"/>
    <x v="4"/>
    <n v="4"/>
    <x v="0"/>
    <x v="1"/>
    <x v="0"/>
    <x v="2"/>
  </r>
  <r>
    <s v="EMP1790"/>
    <s v="Priya Singh"/>
    <n v="22"/>
    <x v="0"/>
    <x v="4"/>
    <s v="Senior Analyst"/>
    <n v="114895"/>
    <x v="1"/>
    <s v="Married"/>
    <d v="2019-09-30T00:00:00"/>
    <x v="4"/>
    <n v="1"/>
    <x v="0"/>
    <x v="0"/>
    <x v="0"/>
    <x v="1"/>
  </r>
  <r>
    <s v="EMP1791"/>
    <s v="Rohit Mishra"/>
    <n v="21"/>
    <x v="0"/>
    <x v="3"/>
    <s v="Executive"/>
    <n v="62922"/>
    <x v="1"/>
    <s v="Divorced"/>
    <d v="2016-10-16T00:00:00"/>
    <x v="6"/>
    <n v="1"/>
    <x v="0"/>
    <x v="1"/>
    <x v="0"/>
    <x v="1"/>
  </r>
  <r>
    <s v="EMP1792"/>
    <s v="Karan Patel"/>
    <n v="31"/>
    <x v="1"/>
    <x v="6"/>
    <s v="Associate"/>
    <n v="26469"/>
    <x v="2"/>
    <s v="Single"/>
    <d v="2018-05-06T00:00:00"/>
    <x v="1"/>
    <n v="6"/>
    <x v="0"/>
    <x v="1"/>
    <x v="4"/>
    <x v="2"/>
  </r>
  <r>
    <s v="EMP1793"/>
    <s v="Amit Sharma"/>
    <n v="31"/>
    <x v="2"/>
    <x v="0"/>
    <s v="Team Lead"/>
    <n v="48973"/>
    <x v="0"/>
    <s v="Married"/>
    <d v="2024-04-25T00:00:00"/>
    <x v="0"/>
    <n v="7"/>
    <x v="1"/>
    <x v="4"/>
    <x v="5"/>
    <x v="2"/>
  </r>
  <r>
    <s v="EMP1794"/>
    <s v="Priya Pradhan"/>
    <n v="47"/>
    <x v="0"/>
    <x v="0"/>
    <s v="Senior Analyst"/>
    <n v="57728"/>
    <x v="4"/>
    <s v="Married"/>
    <d v="2023-04-25T00:00:00"/>
    <x v="3"/>
    <n v="7"/>
    <x v="0"/>
    <x v="4"/>
    <x v="1"/>
    <x v="3"/>
  </r>
  <r>
    <s v="EMP1795"/>
    <s v="Sneha Patel"/>
    <n v="45"/>
    <x v="1"/>
    <x v="5"/>
    <s v="Junior Analyst"/>
    <n v="79697"/>
    <x v="2"/>
    <s v="Divorced"/>
    <d v="2023-01-08T00:00:00"/>
    <x v="3"/>
    <n v="10"/>
    <x v="1"/>
    <x v="1"/>
    <x v="1"/>
    <x v="0"/>
  </r>
  <r>
    <s v="EMP1796"/>
    <s v="Rahul Mishra"/>
    <n v="44"/>
    <x v="1"/>
    <x v="7"/>
    <s v="Senior Analyst"/>
    <n v="117465"/>
    <x v="4"/>
    <s v="Divorced"/>
    <d v="2017-11-24T00:00:00"/>
    <x v="2"/>
    <n v="0"/>
    <x v="0"/>
    <x v="4"/>
    <x v="0"/>
    <x v="0"/>
  </r>
  <r>
    <s v="EMP1797"/>
    <s v="Isha Patel"/>
    <n v="49"/>
    <x v="1"/>
    <x v="1"/>
    <s v="Team Lead"/>
    <n v="91681"/>
    <x v="2"/>
    <s v="Single"/>
    <d v="2019-12-03T00:00:00"/>
    <x v="4"/>
    <n v="11"/>
    <x v="0"/>
    <x v="3"/>
    <x v="4"/>
    <x v="3"/>
  </r>
  <r>
    <s v="EMP1798"/>
    <s v="Amit Pradhan"/>
    <n v="20"/>
    <x v="0"/>
    <x v="3"/>
    <s v="Junior Analyst"/>
    <n v="82415"/>
    <x v="2"/>
    <s v="Married"/>
    <d v="2024-07-05T00:00:00"/>
    <x v="0"/>
    <n v="4"/>
    <x v="1"/>
    <x v="3"/>
    <x v="1"/>
    <x v="1"/>
  </r>
  <r>
    <s v="EMP1799"/>
    <s v="Rohit Singh"/>
    <n v="57"/>
    <x v="0"/>
    <x v="1"/>
    <s v="Manager"/>
    <n v="23089"/>
    <x v="2"/>
    <s v="Divorced"/>
    <d v="2018-01-03T00:00:00"/>
    <x v="1"/>
    <n v="10"/>
    <x v="0"/>
    <x v="3"/>
    <x v="3"/>
    <x v="3"/>
  </r>
  <r>
    <s v="EMP1800"/>
    <s v="Neha Reddy"/>
    <n v="51"/>
    <x v="2"/>
    <x v="3"/>
    <s v="Manager"/>
    <n v="109285"/>
    <x v="2"/>
    <s v="Married"/>
    <d v="2024-06-08T00:00:00"/>
    <x v="0"/>
    <n v="5"/>
    <x v="0"/>
    <x v="1"/>
    <x v="1"/>
    <x v="3"/>
  </r>
  <r>
    <s v="EMP1801"/>
    <s v="Rahul Mishra"/>
    <n v="43"/>
    <x v="2"/>
    <x v="6"/>
    <s v="Intern"/>
    <n v="109418"/>
    <x v="1"/>
    <s v="Married"/>
    <d v="2022-12-22T00:00:00"/>
    <x v="5"/>
    <n v="11"/>
    <x v="1"/>
    <x v="1"/>
    <x v="3"/>
    <x v="0"/>
  </r>
  <r>
    <s v="EMP1802"/>
    <s v="Priya Reddy"/>
    <n v="57"/>
    <x v="2"/>
    <x v="5"/>
    <s v="Manager"/>
    <n v="19617"/>
    <x v="0"/>
    <s v="Divorced"/>
    <d v="2024-03-01T00:00:00"/>
    <x v="0"/>
    <n v="8"/>
    <x v="1"/>
    <x v="3"/>
    <x v="2"/>
    <x v="3"/>
  </r>
  <r>
    <s v="EMP1803"/>
    <s v="Karan Pradhan"/>
    <n v="47"/>
    <x v="0"/>
    <x v="1"/>
    <s v="Intern"/>
    <n v="51144"/>
    <x v="3"/>
    <s v="Divorced"/>
    <d v="2022-03-01T00:00:00"/>
    <x v="5"/>
    <n v="8"/>
    <x v="1"/>
    <x v="0"/>
    <x v="3"/>
    <x v="3"/>
  </r>
  <r>
    <s v="EMP1804"/>
    <s v="Tarun Mishra"/>
    <n v="25"/>
    <x v="0"/>
    <x v="3"/>
    <s v="Senior Analyst"/>
    <n v="36705"/>
    <x v="1"/>
    <s v="Divorced"/>
    <d v="2020-08-25T00:00:00"/>
    <x v="7"/>
    <n v="3"/>
    <x v="1"/>
    <x v="2"/>
    <x v="5"/>
    <x v="1"/>
  </r>
  <r>
    <s v="EMP1805"/>
    <s v="Isha Sharma"/>
    <n v="26"/>
    <x v="0"/>
    <x v="1"/>
    <s v="Junior Analyst"/>
    <n v="86807"/>
    <x v="3"/>
    <s v="Divorced"/>
    <d v="2021-01-07T00:00:00"/>
    <x v="8"/>
    <n v="10"/>
    <x v="0"/>
    <x v="1"/>
    <x v="6"/>
    <x v="2"/>
  </r>
  <r>
    <s v="EMP1806"/>
    <s v="Amit Singh"/>
    <n v="28"/>
    <x v="0"/>
    <x v="4"/>
    <s v="Team Lead"/>
    <n v="41853"/>
    <x v="0"/>
    <s v="Married"/>
    <d v="2022-07-18T00:00:00"/>
    <x v="5"/>
    <n v="4"/>
    <x v="0"/>
    <x v="1"/>
    <x v="4"/>
    <x v="2"/>
  </r>
  <r>
    <s v="EMP1807"/>
    <s v="Rahul Singh"/>
    <n v="31"/>
    <x v="0"/>
    <x v="2"/>
    <s v="Junior Analyst"/>
    <n v="71581"/>
    <x v="4"/>
    <s v="Single"/>
    <d v="2023-04-28T00:00:00"/>
    <x v="3"/>
    <n v="7"/>
    <x v="0"/>
    <x v="2"/>
    <x v="3"/>
    <x v="2"/>
  </r>
  <r>
    <s v="EMP1808"/>
    <s v="Sneha Nanda"/>
    <n v="27"/>
    <x v="1"/>
    <x v="7"/>
    <s v="Manager"/>
    <n v="62846"/>
    <x v="4"/>
    <s v="Single"/>
    <d v="2021-07-18T00:00:00"/>
    <x v="8"/>
    <n v="4"/>
    <x v="1"/>
    <x v="2"/>
    <x v="7"/>
    <x v="2"/>
  </r>
  <r>
    <s v="EMP1809"/>
    <s v="Rahul Patel"/>
    <n v="20"/>
    <x v="2"/>
    <x v="6"/>
    <s v="Executive"/>
    <n v="30693"/>
    <x v="4"/>
    <s v="Single"/>
    <d v="2020-05-25T00:00:00"/>
    <x v="7"/>
    <n v="6"/>
    <x v="1"/>
    <x v="3"/>
    <x v="1"/>
    <x v="1"/>
  </r>
  <r>
    <s v="EMP1810"/>
    <s v="Neha Reddy"/>
    <n v="47"/>
    <x v="1"/>
    <x v="3"/>
    <s v="Senior Analyst"/>
    <n v="107372"/>
    <x v="3"/>
    <s v="Single"/>
    <d v="2020-03-27T00:00:00"/>
    <x v="7"/>
    <n v="8"/>
    <x v="1"/>
    <x v="3"/>
    <x v="7"/>
    <x v="3"/>
  </r>
  <r>
    <s v="EMP1811"/>
    <s v="Neha Mishra"/>
    <n v="41"/>
    <x v="0"/>
    <x v="6"/>
    <s v="Associate"/>
    <n v="77889"/>
    <x v="2"/>
    <s v="Divorced"/>
    <d v="2025-07-21T00:00:00"/>
    <x v="9"/>
    <n v="4"/>
    <x v="0"/>
    <x v="2"/>
    <x v="2"/>
    <x v="0"/>
  </r>
  <r>
    <s v="EMP1812"/>
    <s v="Karan Patel"/>
    <n v="35"/>
    <x v="1"/>
    <x v="4"/>
    <s v="Intern"/>
    <n v="99048"/>
    <x v="2"/>
    <s v="Divorced"/>
    <d v="2020-10-26T00:00:00"/>
    <x v="7"/>
    <n v="1"/>
    <x v="0"/>
    <x v="2"/>
    <x v="6"/>
    <x v="2"/>
  </r>
  <r>
    <s v="EMP1813"/>
    <s v="Rahul Singh"/>
    <n v="43"/>
    <x v="0"/>
    <x v="3"/>
    <s v="Junior Analyst"/>
    <n v="106857"/>
    <x v="1"/>
    <s v="Divorced"/>
    <d v="2021-08-14T00:00:00"/>
    <x v="8"/>
    <n v="3"/>
    <x v="1"/>
    <x v="0"/>
    <x v="2"/>
    <x v="0"/>
  </r>
  <r>
    <s v="EMP1814"/>
    <s v="Neha Nanda"/>
    <n v="50"/>
    <x v="2"/>
    <x v="7"/>
    <s v="Junior Analyst"/>
    <n v="114243"/>
    <x v="3"/>
    <s v="Divorced"/>
    <d v="2018-05-17T00:00:00"/>
    <x v="1"/>
    <n v="6"/>
    <x v="0"/>
    <x v="0"/>
    <x v="7"/>
    <x v="3"/>
  </r>
  <r>
    <s v="EMP1815"/>
    <s v="Amit Nanda"/>
    <n v="25"/>
    <x v="1"/>
    <x v="4"/>
    <s v="Junior Analyst"/>
    <n v="40027"/>
    <x v="0"/>
    <s v="Married"/>
    <d v="2023-08-14T00:00:00"/>
    <x v="3"/>
    <n v="3"/>
    <x v="0"/>
    <x v="1"/>
    <x v="4"/>
    <x v="1"/>
  </r>
  <r>
    <s v="EMP1816"/>
    <s v="Amit Mishra"/>
    <n v="25"/>
    <x v="0"/>
    <x v="1"/>
    <s v="Manager"/>
    <n v="111816"/>
    <x v="1"/>
    <s v="Married"/>
    <d v="2020-06-26T00:00:00"/>
    <x v="7"/>
    <n v="5"/>
    <x v="1"/>
    <x v="1"/>
    <x v="3"/>
    <x v="1"/>
  </r>
  <r>
    <s v="EMP1817"/>
    <s v="Isha Singh"/>
    <n v="27"/>
    <x v="2"/>
    <x v="5"/>
    <s v="Intern"/>
    <n v="88063"/>
    <x v="2"/>
    <s v="Single"/>
    <d v="2025-02-08T00:00:00"/>
    <x v="9"/>
    <n v="9"/>
    <x v="1"/>
    <x v="1"/>
    <x v="2"/>
    <x v="2"/>
  </r>
  <r>
    <s v="EMP1818"/>
    <s v="Neha Nanda"/>
    <n v="44"/>
    <x v="2"/>
    <x v="1"/>
    <s v="Executive"/>
    <n v="48587"/>
    <x v="3"/>
    <s v="Single"/>
    <d v="2019-06-13T00:00:00"/>
    <x v="4"/>
    <n v="5"/>
    <x v="0"/>
    <x v="2"/>
    <x v="2"/>
    <x v="0"/>
  </r>
  <r>
    <s v="EMP1819"/>
    <s v="Neha Singh"/>
    <n v="57"/>
    <x v="0"/>
    <x v="7"/>
    <s v="Senior Analyst"/>
    <n v="93083"/>
    <x v="1"/>
    <s v="Married"/>
    <d v="2020-06-13T00:00:00"/>
    <x v="7"/>
    <n v="5"/>
    <x v="0"/>
    <x v="4"/>
    <x v="7"/>
    <x v="3"/>
  </r>
  <r>
    <s v="EMP1820"/>
    <s v="Kavya Reddy"/>
    <n v="32"/>
    <x v="1"/>
    <x v="1"/>
    <s v="Associate"/>
    <n v="59896"/>
    <x v="3"/>
    <s v="Divorced"/>
    <d v="2025-02-12T00:00:00"/>
    <x v="9"/>
    <n v="9"/>
    <x v="0"/>
    <x v="0"/>
    <x v="4"/>
    <x v="2"/>
  </r>
  <r>
    <s v="EMP1821"/>
    <s v="Sneha Nanda"/>
    <n v="20"/>
    <x v="2"/>
    <x v="4"/>
    <s v="Executive"/>
    <n v="59409"/>
    <x v="3"/>
    <s v="Single"/>
    <d v="2021-10-16T00:00:00"/>
    <x v="8"/>
    <n v="1"/>
    <x v="1"/>
    <x v="1"/>
    <x v="3"/>
    <x v="1"/>
  </r>
  <r>
    <s v="EMP1822"/>
    <s v="Amit Singh"/>
    <n v="22"/>
    <x v="2"/>
    <x v="3"/>
    <s v="Team Lead"/>
    <n v="58487"/>
    <x v="0"/>
    <s v="Married"/>
    <d v="2025-09-10T00:00:00"/>
    <x v="9"/>
    <n v="2"/>
    <x v="1"/>
    <x v="1"/>
    <x v="1"/>
    <x v="1"/>
  </r>
  <r>
    <s v="EMP1823"/>
    <s v="Rohit Singh"/>
    <n v="44"/>
    <x v="0"/>
    <x v="3"/>
    <s v="Associate"/>
    <n v="38014"/>
    <x v="1"/>
    <s v="Divorced"/>
    <d v="2025-04-10T00:00:00"/>
    <x v="9"/>
    <n v="7"/>
    <x v="0"/>
    <x v="2"/>
    <x v="5"/>
    <x v="0"/>
  </r>
  <r>
    <s v="EMP1824"/>
    <s v="Isha Singh"/>
    <n v="45"/>
    <x v="1"/>
    <x v="5"/>
    <s v="Team Lead"/>
    <n v="20826"/>
    <x v="2"/>
    <s v="Married"/>
    <d v="2020-12-03T00:00:00"/>
    <x v="7"/>
    <n v="11"/>
    <x v="1"/>
    <x v="4"/>
    <x v="0"/>
    <x v="0"/>
  </r>
  <r>
    <s v="EMP1825"/>
    <s v="Tarun Sharma"/>
    <n v="53"/>
    <x v="2"/>
    <x v="2"/>
    <s v="Intern"/>
    <n v="55010"/>
    <x v="1"/>
    <s v="Divorced"/>
    <d v="2025-10-15T00:00:00"/>
    <x v="9"/>
    <n v="1"/>
    <x v="1"/>
    <x v="2"/>
    <x v="5"/>
    <x v="3"/>
  </r>
  <r>
    <s v="EMP1826"/>
    <s v="Neha Mishra"/>
    <n v="57"/>
    <x v="0"/>
    <x v="2"/>
    <s v="Intern"/>
    <n v="77969"/>
    <x v="1"/>
    <s v="Divorced"/>
    <d v="2017-09-23T00:00:00"/>
    <x v="2"/>
    <n v="2"/>
    <x v="1"/>
    <x v="3"/>
    <x v="3"/>
    <x v="3"/>
  </r>
  <r>
    <s v="EMP1827"/>
    <s v="Amit Pradhan"/>
    <n v="33"/>
    <x v="2"/>
    <x v="0"/>
    <s v="Intern"/>
    <n v="114379"/>
    <x v="0"/>
    <s v="Married"/>
    <d v="2024-04-29T00:00:00"/>
    <x v="0"/>
    <n v="7"/>
    <x v="0"/>
    <x v="1"/>
    <x v="0"/>
    <x v="2"/>
  </r>
  <r>
    <s v="EMP1828"/>
    <s v="Tarun Singh"/>
    <n v="30"/>
    <x v="0"/>
    <x v="7"/>
    <s v="Junior Analyst"/>
    <n v="64607"/>
    <x v="1"/>
    <s v="Single"/>
    <d v="2017-07-02T00:00:00"/>
    <x v="2"/>
    <n v="4"/>
    <x v="1"/>
    <x v="0"/>
    <x v="0"/>
    <x v="2"/>
  </r>
  <r>
    <s v="EMP1829"/>
    <s v="Amit Singh"/>
    <n v="45"/>
    <x v="0"/>
    <x v="6"/>
    <s v="Executive"/>
    <n v="33571"/>
    <x v="2"/>
    <s v="Married"/>
    <d v="2019-07-31T00:00:00"/>
    <x v="4"/>
    <n v="3"/>
    <x v="0"/>
    <x v="3"/>
    <x v="2"/>
    <x v="0"/>
  </r>
  <r>
    <s v="EMP1830"/>
    <s v="Isha Mishra"/>
    <n v="44"/>
    <x v="1"/>
    <x v="4"/>
    <s v="Manager"/>
    <n v="66145"/>
    <x v="0"/>
    <s v="Single"/>
    <d v="2017-02-10T00:00:00"/>
    <x v="2"/>
    <n v="9"/>
    <x v="0"/>
    <x v="3"/>
    <x v="4"/>
    <x v="0"/>
  </r>
  <r>
    <s v="EMP1831"/>
    <s v="Rahul Reddy"/>
    <n v="56"/>
    <x v="2"/>
    <x v="4"/>
    <s v="Intern"/>
    <n v="53877"/>
    <x v="0"/>
    <s v="Divorced"/>
    <d v="2018-03-20T00:00:00"/>
    <x v="1"/>
    <n v="8"/>
    <x v="1"/>
    <x v="3"/>
    <x v="0"/>
    <x v="3"/>
  </r>
  <r>
    <s v="EMP1832"/>
    <s v="Rohit Reddy"/>
    <n v="28"/>
    <x v="0"/>
    <x v="3"/>
    <s v="Intern"/>
    <n v="26322"/>
    <x v="4"/>
    <s v="Single"/>
    <d v="2020-09-24T00:00:00"/>
    <x v="7"/>
    <n v="2"/>
    <x v="0"/>
    <x v="3"/>
    <x v="1"/>
    <x v="2"/>
  </r>
  <r>
    <s v="EMP1833"/>
    <s v="Sneha Reddy"/>
    <n v="57"/>
    <x v="2"/>
    <x v="7"/>
    <s v="Associate"/>
    <n v="116763"/>
    <x v="1"/>
    <s v="Divorced"/>
    <d v="2017-07-02T00:00:00"/>
    <x v="2"/>
    <n v="4"/>
    <x v="0"/>
    <x v="0"/>
    <x v="5"/>
    <x v="3"/>
  </r>
  <r>
    <s v="EMP1834"/>
    <s v="Rahul Reddy"/>
    <n v="48"/>
    <x v="1"/>
    <x v="7"/>
    <s v="Executive"/>
    <n v="23130"/>
    <x v="4"/>
    <s v="Single"/>
    <d v="2023-07-04T00:00:00"/>
    <x v="3"/>
    <n v="4"/>
    <x v="0"/>
    <x v="2"/>
    <x v="3"/>
    <x v="3"/>
  </r>
  <r>
    <s v="EMP1835"/>
    <s v="Rahul Sharma"/>
    <n v="27"/>
    <x v="2"/>
    <x v="2"/>
    <s v="Team Lead"/>
    <n v="65652"/>
    <x v="1"/>
    <s v="Married"/>
    <d v="2023-07-26T00:00:00"/>
    <x v="3"/>
    <n v="4"/>
    <x v="0"/>
    <x v="1"/>
    <x v="3"/>
    <x v="2"/>
  </r>
  <r>
    <s v="EMP1836"/>
    <s v="Rahul Reddy"/>
    <n v="38"/>
    <x v="2"/>
    <x v="4"/>
    <s v="Team Lead"/>
    <n v="36331"/>
    <x v="2"/>
    <s v="Divorced"/>
    <d v="2019-09-11T00:00:00"/>
    <x v="4"/>
    <n v="2"/>
    <x v="1"/>
    <x v="0"/>
    <x v="4"/>
    <x v="0"/>
  </r>
  <r>
    <s v="EMP1837"/>
    <s v="Sneha Singh"/>
    <n v="22"/>
    <x v="0"/>
    <x v="6"/>
    <s v="Executive"/>
    <n v="42651"/>
    <x v="3"/>
    <s v="Single"/>
    <d v="2017-09-09T00:00:00"/>
    <x v="2"/>
    <n v="2"/>
    <x v="0"/>
    <x v="0"/>
    <x v="6"/>
    <x v="1"/>
  </r>
  <r>
    <s v="EMP1838"/>
    <s v="Rohit Pradhan"/>
    <n v="47"/>
    <x v="0"/>
    <x v="2"/>
    <s v="Junior Analyst"/>
    <n v="52167"/>
    <x v="1"/>
    <s v="Married"/>
    <d v="2021-04-20T00:00:00"/>
    <x v="8"/>
    <n v="7"/>
    <x v="0"/>
    <x v="4"/>
    <x v="0"/>
    <x v="3"/>
  </r>
  <r>
    <s v="EMP1839"/>
    <s v="Amit Reddy"/>
    <n v="33"/>
    <x v="0"/>
    <x v="2"/>
    <s v="Intern"/>
    <n v="100984"/>
    <x v="1"/>
    <s v="Divorced"/>
    <d v="2020-05-11T00:00:00"/>
    <x v="7"/>
    <n v="6"/>
    <x v="0"/>
    <x v="3"/>
    <x v="5"/>
    <x v="2"/>
  </r>
  <r>
    <s v="EMP1840"/>
    <s v="Neha Mishra"/>
    <n v="47"/>
    <x v="1"/>
    <x v="6"/>
    <s v="Executive"/>
    <n v="97116"/>
    <x v="0"/>
    <s v="Married"/>
    <d v="2017-08-01T00:00:00"/>
    <x v="2"/>
    <n v="3"/>
    <x v="0"/>
    <x v="0"/>
    <x v="0"/>
    <x v="3"/>
  </r>
  <r>
    <s v="EMP1841"/>
    <s v="Sneha Patel"/>
    <n v="25"/>
    <x v="1"/>
    <x v="3"/>
    <s v="Senior Analyst"/>
    <n v="119983"/>
    <x v="1"/>
    <s v="Single"/>
    <d v="2019-04-03T00:00:00"/>
    <x v="4"/>
    <n v="7"/>
    <x v="0"/>
    <x v="2"/>
    <x v="0"/>
    <x v="1"/>
  </r>
  <r>
    <s v="EMP1842"/>
    <s v="Priya Nanda"/>
    <n v="26"/>
    <x v="0"/>
    <x v="5"/>
    <s v="Intern"/>
    <n v="87006"/>
    <x v="3"/>
    <s v="Divorced"/>
    <d v="2025-05-25T00:00:00"/>
    <x v="9"/>
    <n v="6"/>
    <x v="1"/>
    <x v="2"/>
    <x v="6"/>
    <x v="2"/>
  </r>
  <r>
    <s v="EMP1843"/>
    <s v="Kavya Mishra"/>
    <n v="38"/>
    <x v="2"/>
    <x v="2"/>
    <s v="Manager"/>
    <n v="97621"/>
    <x v="0"/>
    <s v="Single"/>
    <d v="2019-10-02T00:00:00"/>
    <x v="4"/>
    <n v="1"/>
    <x v="1"/>
    <x v="1"/>
    <x v="6"/>
    <x v="0"/>
  </r>
  <r>
    <s v="EMP1844"/>
    <s v="Karan Reddy"/>
    <n v="58"/>
    <x v="1"/>
    <x v="4"/>
    <s v="Executive"/>
    <n v="95635"/>
    <x v="3"/>
    <s v="Single"/>
    <d v="2023-11-20T00:00:00"/>
    <x v="3"/>
    <n v="0"/>
    <x v="0"/>
    <x v="1"/>
    <x v="5"/>
    <x v="3"/>
  </r>
  <r>
    <s v="EMP1845"/>
    <s v="Tarun Reddy"/>
    <n v="37"/>
    <x v="0"/>
    <x v="3"/>
    <s v="Associate"/>
    <n v="110733"/>
    <x v="1"/>
    <s v="Divorced"/>
    <d v="2023-01-05T00:00:00"/>
    <x v="3"/>
    <n v="10"/>
    <x v="1"/>
    <x v="3"/>
    <x v="5"/>
    <x v="0"/>
  </r>
  <r>
    <s v="EMP1846"/>
    <s v="Isha Patel"/>
    <n v="49"/>
    <x v="2"/>
    <x v="2"/>
    <s v="Junior Analyst"/>
    <n v="54152"/>
    <x v="4"/>
    <s v="Divorced"/>
    <d v="2025-04-25T00:00:00"/>
    <x v="9"/>
    <n v="7"/>
    <x v="0"/>
    <x v="4"/>
    <x v="2"/>
    <x v="3"/>
  </r>
  <r>
    <s v="EMP1847"/>
    <s v="Rohit Nanda"/>
    <n v="40"/>
    <x v="0"/>
    <x v="7"/>
    <s v="Intern"/>
    <n v="28052"/>
    <x v="1"/>
    <s v="Single"/>
    <d v="2018-01-14T00:00:00"/>
    <x v="1"/>
    <n v="10"/>
    <x v="0"/>
    <x v="2"/>
    <x v="3"/>
    <x v="0"/>
  </r>
  <r>
    <s v="EMP1848"/>
    <s v="Karan Nanda"/>
    <n v="20"/>
    <x v="1"/>
    <x v="5"/>
    <s v="Junior Analyst"/>
    <n v="80869"/>
    <x v="4"/>
    <s v="Divorced"/>
    <d v="2023-10-11T00:00:00"/>
    <x v="3"/>
    <n v="1"/>
    <x v="0"/>
    <x v="3"/>
    <x v="7"/>
    <x v="1"/>
  </r>
  <r>
    <s v="EMP1849"/>
    <s v="Kavya Pradhan"/>
    <n v="20"/>
    <x v="2"/>
    <x v="1"/>
    <s v="Team Lead"/>
    <n v="110090"/>
    <x v="3"/>
    <s v="Single"/>
    <d v="2024-06-21T00:00:00"/>
    <x v="0"/>
    <n v="5"/>
    <x v="0"/>
    <x v="0"/>
    <x v="1"/>
    <x v="1"/>
  </r>
  <r>
    <s v="EMP1850"/>
    <s v="Amit Singh"/>
    <n v="53"/>
    <x v="0"/>
    <x v="5"/>
    <s v="Senior Analyst"/>
    <n v="27846"/>
    <x v="1"/>
    <s v="Divorced"/>
    <d v="2020-02-24T00:00:00"/>
    <x v="7"/>
    <n v="9"/>
    <x v="0"/>
    <x v="3"/>
    <x v="1"/>
    <x v="3"/>
  </r>
  <r>
    <s v="EMP1851"/>
    <s v="Tarun Pradhan"/>
    <n v="43"/>
    <x v="0"/>
    <x v="3"/>
    <s v="Executive"/>
    <n v="107006"/>
    <x v="4"/>
    <s v="Single"/>
    <d v="2019-06-10T00:00:00"/>
    <x v="4"/>
    <n v="5"/>
    <x v="1"/>
    <x v="3"/>
    <x v="3"/>
    <x v="0"/>
  </r>
  <r>
    <s v="EMP1852"/>
    <s v="Rohit Pradhan"/>
    <n v="20"/>
    <x v="2"/>
    <x v="1"/>
    <s v="Senior Analyst"/>
    <n v="46503"/>
    <x v="4"/>
    <s v="Single"/>
    <d v="2021-05-18T00:00:00"/>
    <x v="8"/>
    <n v="6"/>
    <x v="1"/>
    <x v="2"/>
    <x v="6"/>
    <x v="1"/>
  </r>
  <r>
    <s v="EMP1853"/>
    <s v="Rahul Reddy"/>
    <n v="49"/>
    <x v="1"/>
    <x v="2"/>
    <s v="Manager"/>
    <n v="64385"/>
    <x v="0"/>
    <s v="Married"/>
    <d v="2024-04-15T00:00:00"/>
    <x v="0"/>
    <n v="7"/>
    <x v="0"/>
    <x v="3"/>
    <x v="6"/>
    <x v="3"/>
  </r>
  <r>
    <s v="EMP1854"/>
    <s v="Rahul Sharma"/>
    <n v="47"/>
    <x v="1"/>
    <x v="0"/>
    <s v="Team Lead"/>
    <n v="29107"/>
    <x v="4"/>
    <s v="Single"/>
    <d v="2020-10-16T00:00:00"/>
    <x v="7"/>
    <n v="1"/>
    <x v="0"/>
    <x v="3"/>
    <x v="7"/>
    <x v="3"/>
  </r>
  <r>
    <s v="EMP1855"/>
    <s v="Amit Mishra"/>
    <n v="36"/>
    <x v="0"/>
    <x v="4"/>
    <s v="Senior Analyst"/>
    <n v="69820"/>
    <x v="3"/>
    <s v="Married"/>
    <d v="2020-12-27T00:00:00"/>
    <x v="7"/>
    <n v="11"/>
    <x v="0"/>
    <x v="0"/>
    <x v="3"/>
    <x v="0"/>
  </r>
  <r>
    <s v="EMP1856"/>
    <s v="Sneha Nanda"/>
    <n v="48"/>
    <x v="0"/>
    <x v="5"/>
    <s v="Intern"/>
    <n v="64365"/>
    <x v="2"/>
    <s v="Single"/>
    <d v="2020-03-19T00:00:00"/>
    <x v="7"/>
    <n v="8"/>
    <x v="0"/>
    <x v="2"/>
    <x v="4"/>
    <x v="3"/>
  </r>
  <r>
    <s v="EMP1857"/>
    <s v="Rohit Sharma"/>
    <n v="28"/>
    <x v="1"/>
    <x v="1"/>
    <s v="Senior Analyst"/>
    <n v="115507"/>
    <x v="0"/>
    <s v="Single"/>
    <d v="2023-08-28T00:00:00"/>
    <x v="3"/>
    <n v="3"/>
    <x v="0"/>
    <x v="3"/>
    <x v="3"/>
    <x v="2"/>
  </r>
  <r>
    <s v="EMP1858"/>
    <s v="Sneha Nanda"/>
    <n v="51"/>
    <x v="2"/>
    <x v="4"/>
    <s v="Intern"/>
    <n v="107356"/>
    <x v="1"/>
    <s v="Married"/>
    <d v="2024-08-10T00:00:00"/>
    <x v="0"/>
    <n v="3"/>
    <x v="1"/>
    <x v="0"/>
    <x v="0"/>
    <x v="3"/>
  </r>
  <r>
    <s v="EMP1859"/>
    <s v="Amit Sharma"/>
    <n v="26"/>
    <x v="0"/>
    <x v="5"/>
    <s v="Senior Analyst"/>
    <n v="38387"/>
    <x v="4"/>
    <s v="Single"/>
    <d v="2024-10-16T00:00:00"/>
    <x v="0"/>
    <n v="1"/>
    <x v="0"/>
    <x v="2"/>
    <x v="6"/>
    <x v="2"/>
  </r>
  <r>
    <s v="EMP1860"/>
    <s v="Tarun Reddy"/>
    <n v="20"/>
    <x v="1"/>
    <x v="4"/>
    <s v="Senior Analyst"/>
    <n v="55940"/>
    <x v="2"/>
    <s v="Single"/>
    <d v="2024-09-19T00:00:00"/>
    <x v="0"/>
    <n v="2"/>
    <x v="1"/>
    <x v="1"/>
    <x v="5"/>
    <x v="1"/>
  </r>
  <r>
    <s v="EMP1861"/>
    <s v="Karan Pradhan"/>
    <n v="35"/>
    <x v="1"/>
    <x v="7"/>
    <s v="Intern"/>
    <n v="52541"/>
    <x v="1"/>
    <s v="Divorced"/>
    <d v="2025-05-22T00:00:00"/>
    <x v="9"/>
    <n v="6"/>
    <x v="1"/>
    <x v="1"/>
    <x v="1"/>
    <x v="2"/>
  </r>
  <r>
    <s v="EMP1862"/>
    <s v="Sneha Singh"/>
    <n v="52"/>
    <x v="2"/>
    <x v="5"/>
    <s v="Associate"/>
    <n v="42729"/>
    <x v="4"/>
    <s v="Divorced"/>
    <d v="2023-04-20T00:00:00"/>
    <x v="3"/>
    <n v="7"/>
    <x v="0"/>
    <x v="1"/>
    <x v="2"/>
    <x v="3"/>
  </r>
  <r>
    <s v="EMP1863"/>
    <s v="Amit Nanda"/>
    <n v="22"/>
    <x v="1"/>
    <x v="0"/>
    <s v="Junior Analyst"/>
    <n v="37163"/>
    <x v="0"/>
    <s v="Divorced"/>
    <d v="2018-06-04T00:00:00"/>
    <x v="1"/>
    <n v="5"/>
    <x v="0"/>
    <x v="2"/>
    <x v="0"/>
    <x v="1"/>
  </r>
  <r>
    <s v="EMP1864"/>
    <s v="Tarun Reddy"/>
    <n v="39"/>
    <x v="2"/>
    <x v="0"/>
    <s v="Senior Analyst"/>
    <n v="47068"/>
    <x v="2"/>
    <s v="Married"/>
    <d v="2016-11-15T00:00:00"/>
    <x v="6"/>
    <n v="0"/>
    <x v="1"/>
    <x v="2"/>
    <x v="3"/>
    <x v="0"/>
  </r>
  <r>
    <s v="EMP1865"/>
    <s v="Sneha Patel"/>
    <n v="43"/>
    <x v="1"/>
    <x v="3"/>
    <s v="Junior Analyst"/>
    <n v="111268"/>
    <x v="1"/>
    <s v="Married"/>
    <d v="2016-09-19T00:00:00"/>
    <x v="6"/>
    <n v="2"/>
    <x v="0"/>
    <x v="2"/>
    <x v="7"/>
    <x v="0"/>
  </r>
  <r>
    <s v="EMP1866"/>
    <s v="Rahul Singh"/>
    <n v="40"/>
    <x v="0"/>
    <x v="2"/>
    <s v="Senior Analyst"/>
    <n v="79873"/>
    <x v="4"/>
    <s v="Single"/>
    <d v="2021-01-06T00:00:00"/>
    <x v="8"/>
    <n v="10"/>
    <x v="0"/>
    <x v="4"/>
    <x v="1"/>
    <x v="0"/>
  </r>
  <r>
    <s v="EMP1867"/>
    <s v="Neha Patel"/>
    <n v="39"/>
    <x v="0"/>
    <x v="7"/>
    <s v="Manager"/>
    <n v="105680"/>
    <x v="4"/>
    <s v="Single"/>
    <d v="2019-11-25T00:00:00"/>
    <x v="4"/>
    <n v="0"/>
    <x v="1"/>
    <x v="4"/>
    <x v="6"/>
    <x v="0"/>
  </r>
  <r>
    <s v="EMP1868"/>
    <s v="Priya Singh"/>
    <n v="37"/>
    <x v="0"/>
    <x v="1"/>
    <s v="Manager"/>
    <n v="29433"/>
    <x v="1"/>
    <s v="Divorced"/>
    <d v="2024-07-06T00:00:00"/>
    <x v="0"/>
    <n v="4"/>
    <x v="0"/>
    <x v="2"/>
    <x v="4"/>
    <x v="0"/>
  </r>
  <r>
    <s v="EMP1869"/>
    <s v="Priya Singh"/>
    <n v="48"/>
    <x v="0"/>
    <x v="7"/>
    <s v="Team Lead"/>
    <n v="89641"/>
    <x v="3"/>
    <s v="Married"/>
    <d v="2024-04-27T00:00:00"/>
    <x v="0"/>
    <n v="7"/>
    <x v="1"/>
    <x v="1"/>
    <x v="5"/>
    <x v="3"/>
  </r>
  <r>
    <s v="EMP1870"/>
    <s v="Rahul Pradhan"/>
    <n v="32"/>
    <x v="1"/>
    <x v="2"/>
    <s v="Associate"/>
    <n v="117530"/>
    <x v="4"/>
    <s v="Married"/>
    <d v="2020-04-16T00:00:00"/>
    <x v="7"/>
    <n v="7"/>
    <x v="1"/>
    <x v="2"/>
    <x v="0"/>
    <x v="2"/>
  </r>
  <r>
    <s v="EMP1871"/>
    <s v="Sneha Nanda"/>
    <n v="46"/>
    <x v="2"/>
    <x v="6"/>
    <s v="Team Lead"/>
    <n v="39880"/>
    <x v="3"/>
    <s v="Divorced"/>
    <d v="2017-08-19T00:00:00"/>
    <x v="2"/>
    <n v="3"/>
    <x v="1"/>
    <x v="2"/>
    <x v="7"/>
    <x v="3"/>
  </r>
  <r>
    <s v="EMP1872"/>
    <s v="Priya Singh"/>
    <n v="45"/>
    <x v="1"/>
    <x v="7"/>
    <s v="Junior Analyst"/>
    <n v="39694"/>
    <x v="4"/>
    <s v="Married"/>
    <d v="2022-06-29T00:00:00"/>
    <x v="5"/>
    <n v="5"/>
    <x v="1"/>
    <x v="3"/>
    <x v="3"/>
    <x v="0"/>
  </r>
  <r>
    <s v="EMP1873"/>
    <s v="Priya Pradhan"/>
    <n v="20"/>
    <x v="0"/>
    <x v="0"/>
    <s v="Intern"/>
    <n v="95609"/>
    <x v="0"/>
    <s v="Divorced"/>
    <d v="2021-04-17T00:00:00"/>
    <x v="8"/>
    <n v="7"/>
    <x v="1"/>
    <x v="4"/>
    <x v="4"/>
    <x v="1"/>
  </r>
  <r>
    <s v="EMP1874"/>
    <s v="Rohit Singh"/>
    <n v="37"/>
    <x v="2"/>
    <x v="7"/>
    <s v="Executive"/>
    <n v="40427"/>
    <x v="0"/>
    <s v="Divorced"/>
    <d v="2018-11-09T00:00:00"/>
    <x v="1"/>
    <n v="0"/>
    <x v="1"/>
    <x v="2"/>
    <x v="5"/>
    <x v="0"/>
  </r>
  <r>
    <s v="EMP1875"/>
    <s v="Rohit Pradhan"/>
    <n v="37"/>
    <x v="0"/>
    <x v="0"/>
    <s v="Team Lead"/>
    <n v="45521"/>
    <x v="0"/>
    <s v="Single"/>
    <d v="2023-06-17T00:00:00"/>
    <x v="3"/>
    <n v="5"/>
    <x v="1"/>
    <x v="0"/>
    <x v="6"/>
    <x v="0"/>
  </r>
  <r>
    <s v="EMP1876"/>
    <s v="Neha Sharma"/>
    <n v="55"/>
    <x v="1"/>
    <x v="5"/>
    <s v="Team Lead"/>
    <n v="71522"/>
    <x v="3"/>
    <s v="Married"/>
    <d v="2016-10-29T00:00:00"/>
    <x v="6"/>
    <n v="1"/>
    <x v="0"/>
    <x v="4"/>
    <x v="4"/>
    <x v="3"/>
  </r>
  <r>
    <s v="EMP1877"/>
    <s v="Rohit Pradhan"/>
    <n v="36"/>
    <x v="0"/>
    <x v="7"/>
    <s v="Intern"/>
    <n v="112712"/>
    <x v="2"/>
    <s v="Divorced"/>
    <d v="2019-01-27T00:00:00"/>
    <x v="4"/>
    <n v="10"/>
    <x v="0"/>
    <x v="3"/>
    <x v="4"/>
    <x v="0"/>
  </r>
  <r>
    <s v="EMP1878"/>
    <s v="Neha Patel"/>
    <n v="33"/>
    <x v="2"/>
    <x v="1"/>
    <s v="Junior Analyst"/>
    <n v="38400"/>
    <x v="1"/>
    <s v="Divorced"/>
    <d v="2024-04-30T00:00:00"/>
    <x v="0"/>
    <n v="6"/>
    <x v="1"/>
    <x v="4"/>
    <x v="5"/>
    <x v="2"/>
  </r>
  <r>
    <s v="EMP1879"/>
    <s v="Isha Sharma"/>
    <n v="51"/>
    <x v="0"/>
    <x v="4"/>
    <s v="Associate"/>
    <n v="42251"/>
    <x v="1"/>
    <s v="Single"/>
    <d v="2022-07-29T00:00:00"/>
    <x v="5"/>
    <n v="4"/>
    <x v="1"/>
    <x v="1"/>
    <x v="3"/>
    <x v="3"/>
  </r>
  <r>
    <s v="EMP1880"/>
    <s v="Rahul Patel"/>
    <n v="30"/>
    <x v="0"/>
    <x v="1"/>
    <s v="Team Lead"/>
    <n v="108094"/>
    <x v="1"/>
    <s v="Single"/>
    <d v="2017-10-17T00:00:00"/>
    <x v="2"/>
    <n v="1"/>
    <x v="0"/>
    <x v="3"/>
    <x v="4"/>
    <x v="2"/>
  </r>
  <r>
    <s v="EMP1881"/>
    <s v="Isha Singh"/>
    <n v="45"/>
    <x v="0"/>
    <x v="5"/>
    <s v="Associate"/>
    <n v="113258"/>
    <x v="0"/>
    <s v="Divorced"/>
    <d v="2017-04-21T00:00:00"/>
    <x v="2"/>
    <n v="7"/>
    <x v="1"/>
    <x v="3"/>
    <x v="7"/>
    <x v="0"/>
  </r>
  <r>
    <s v="EMP1882"/>
    <s v="Sneha Mishra"/>
    <n v="20"/>
    <x v="2"/>
    <x v="6"/>
    <s v="Executive"/>
    <n v="35324"/>
    <x v="0"/>
    <s v="Married"/>
    <d v="2017-10-14T00:00:00"/>
    <x v="2"/>
    <n v="1"/>
    <x v="0"/>
    <x v="2"/>
    <x v="2"/>
    <x v="1"/>
  </r>
  <r>
    <s v="EMP1883"/>
    <s v="Karan Singh"/>
    <n v="41"/>
    <x v="2"/>
    <x v="7"/>
    <s v="Executive"/>
    <n v="44518"/>
    <x v="2"/>
    <s v="Divorced"/>
    <d v="2021-03-02T00:00:00"/>
    <x v="8"/>
    <n v="8"/>
    <x v="0"/>
    <x v="4"/>
    <x v="6"/>
    <x v="0"/>
  </r>
  <r>
    <s v="EMP1884"/>
    <s v="Isha Pradhan"/>
    <n v="35"/>
    <x v="0"/>
    <x v="2"/>
    <s v="Team Lead"/>
    <n v="100245"/>
    <x v="0"/>
    <s v="Single"/>
    <d v="2025-06-08T00:00:00"/>
    <x v="9"/>
    <n v="5"/>
    <x v="0"/>
    <x v="2"/>
    <x v="3"/>
    <x v="2"/>
  </r>
  <r>
    <s v="EMP1885"/>
    <s v="Sneha Reddy"/>
    <n v="46"/>
    <x v="0"/>
    <x v="6"/>
    <s v="Manager"/>
    <n v="47401"/>
    <x v="1"/>
    <s v="Married"/>
    <d v="2020-07-04T00:00:00"/>
    <x v="7"/>
    <n v="4"/>
    <x v="0"/>
    <x v="4"/>
    <x v="3"/>
    <x v="3"/>
  </r>
  <r>
    <s v="EMP1886"/>
    <s v="Priya Singh"/>
    <n v="44"/>
    <x v="2"/>
    <x v="7"/>
    <s v="Executive"/>
    <n v="82463"/>
    <x v="0"/>
    <s v="Single"/>
    <d v="2017-04-29T00:00:00"/>
    <x v="2"/>
    <n v="7"/>
    <x v="1"/>
    <x v="4"/>
    <x v="2"/>
    <x v="0"/>
  </r>
  <r>
    <s v="EMP1887"/>
    <s v="Kavya Patel"/>
    <n v="27"/>
    <x v="1"/>
    <x v="7"/>
    <s v="Team Lead"/>
    <n v="23681"/>
    <x v="1"/>
    <s v="Single"/>
    <d v="2020-12-28T00:00:00"/>
    <x v="7"/>
    <n v="11"/>
    <x v="1"/>
    <x v="0"/>
    <x v="5"/>
    <x v="2"/>
  </r>
  <r>
    <s v="EMP1888"/>
    <s v="Tarun Pradhan"/>
    <n v="39"/>
    <x v="2"/>
    <x v="2"/>
    <s v="Manager"/>
    <n v="63663"/>
    <x v="3"/>
    <s v="Married"/>
    <d v="2023-08-10T00:00:00"/>
    <x v="3"/>
    <n v="3"/>
    <x v="1"/>
    <x v="4"/>
    <x v="2"/>
    <x v="0"/>
  </r>
  <r>
    <s v="EMP1889"/>
    <s v="Rahul Mishra"/>
    <n v="29"/>
    <x v="2"/>
    <x v="5"/>
    <s v="Executive"/>
    <n v="59976"/>
    <x v="2"/>
    <s v="Married"/>
    <d v="2024-04-10T00:00:00"/>
    <x v="0"/>
    <n v="7"/>
    <x v="1"/>
    <x v="2"/>
    <x v="2"/>
    <x v="2"/>
  </r>
  <r>
    <s v="EMP1890"/>
    <s v="Kavya Nanda"/>
    <n v="37"/>
    <x v="0"/>
    <x v="7"/>
    <s v="Executive"/>
    <n v="60343"/>
    <x v="1"/>
    <s v="Married"/>
    <d v="2020-02-21T00:00:00"/>
    <x v="7"/>
    <n v="9"/>
    <x v="1"/>
    <x v="3"/>
    <x v="0"/>
    <x v="0"/>
  </r>
  <r>
    <s v="EMP1891"/>
    <s v="Isha Singh"/>
    <n v="46"/>
    <x v="2"/>
    <x v="3"/>
    <s v="Associate"/>
    <n v="36116"/>
    <x v="1"/>
    <s v="Married"/>
    <d v="2020-11-17T00:00:00"/>
    <x v="7"/>
    <n v="0"/>
    <x v="1"/>
    <x v="0"/>
    <x v="1"/>
    <x v="3"/>
  </r>
  <r>
    <s v="EMP1892"/>
    <s v="Karan Reddy"/>
    <n v="34"/>
    <x v="1"/>
    <x v="7"/>
    <s v="Intern"/>
    <n v="94148"/>
    <x v="2"/>
    <s v="Divorced"/>
    <d v="2022-08-31T00:00:00"/>
    <x v="5"/>
    <n v="2"/>
    <x v="0"/>
    <x v="2"/>
    <x v="4"/>
    <x v="2"/>
  </r>
  <r>
    <s v="EMP1893"/>
    <s v="Neha Sharma"/>
    <n v="33"/>
    <x v="0"/>
    <x v="3"/>
    <s v="Junior Analyst"/>
    <n v="91187"/>
    <x v="1"/>
    <s v="Single"/>
    <d v="2016-11-08T00:00:00"/>
    <x v="6"/>
    <n v="0"/>
    <x v="1"/>
    <x v="4"/>
    <x v="5"/>
    <x v="2"/>
  </r>
  <r>
    <s v="EMP1894"/>
    <s v="Rohit Nanda"/>
    <n v="29"/>
    <x v="2"/>
    <x v="1"/>
    <s v="Executive"/>
    <n v="49784"/>
    <x v="1"/>
    <s v="Single"/>
    <d v="2024-07-24T00:00:00"/>
    <x v="0"/>
    <n v="4"/>
    <x v="0"/>
    <x v="2"/>
    <x v="5"/>
    <x v="2"/>
  </r>
  <r>
    <s v="EMP1895"/>
    <s v="Tarun Singh"/>
    <n v="21"/>
    <x v="2"/>
    <x v="1"/>
    <s v="Manager"/>
    <n v="66717"/>
    <x v="0"/>
    <s v="Divorced"/>
    <d v="2022-09-16T00:00:00"/>
    <x v="5"/>
    <n v="2"/>
    <x v="0"/>
    <x v="3"/>
    <x v="5"/>
    <x v="1"/>
  </r>
  <r>
    <s v="EMP1896"/>
    <s v="Rahul Pradhan"/>
    <n v="43"/>
    <x v="0"/>
    <x v="7"/>
    <s v="Manager"/>
    <n v="50118"/>
    <x v="0"/>
    <s v="Divorced"/>
    <d v="2025-07-04T00:00:00"/>
    <x v="9"/>
    <n v="4"/>
    <x v="1"/>
    <x v="1"/>
    <x v="5"/>
    <x v="0"/>
  </r>
  <r>
    <s v="EMP1897"/>
    <s v="Isha Singh"/>
    <n v="28"/>
    <x v="2"/>
    <x v="2"/>
    <s v="Junior Analyst"/>
    <n v="79628"/>
    <x v="3"/>
    <s v="Married"/>
    <d v="2024-12-12T00:00:00"/>
    <x v="0"/>
    <n v="11"/>
    <x v="0"/>
    <x v="4"/>
    <x v="2"/>
    <x v="2"/>
  </r>
  <r>
    <s v="EMP1898"/>
    <s v="Amit Sharma"/>
    <n v="22"/>
    <x v="2"/>
    <x v="5"/>
    <s v="Executive"/>
    <n v="83967"/>
    <x v="0"/>
    <s v="Married"/>
    <d v="2025-07-10T00:00:00"/>
    <x v="9"/>
    <n v="4"/>
    <x v="1"/>
    <x v="3"/>
    <x v="3"/>
    <x v="1"/>
  </r>
  <r>
    <s v="EMP1899"/>
    <s v="Kavya Reddy"/>
    <n v="39"/>
    <x v="2"/>
    <x v="0"/>
    <s v="Executive"/>
    <n v="73531"/>
    <x v="3"/>
    <s v="Single"/>
    <d v="2022-01-13T00:00:00"/>
    <x v="5"/>
    <n v="10"/>
    <x v="1"/>
    <x v="1"/>
    <x v="4"/>
    <x v="0"/>
  </r>
  <r>
    <s v="EMP1900"/>
    <s v="Tarun Reddy"/>
    <n v="23"/>
    <x v="0"/>
    <x v="1"/>
    <s v="Associate"/>
    <n v="42077"/>
    <x v="4"/>
    <s v="Divorced"/>
    <d v="2025-08-16T00:00:00"/>
    <x v="9"/>
    <n v="3"/>
    <x v="0"/>
    <x v="3"/>
    <x v="1"/>
    <x v="1"/>
  </r>
  <r>
    <s v="EMP1901"/>
    <s v="Neha Singh"/>
    <n v="45"/>
    <x v="1"/>
    <x v="5"/>
    <s v="Associate"/>
    <n v="25165"/>
    <x v="3"/>
    <s v="Divorced"/>
    <d v="2020-12-10T00:00:00"/>
    <x v="7"/>
    <n v="11"/>
    <x v="0"/>
    <x v="4"/>
    <x v="2"/>
    <x v="0"/>
  </r>
  <r>
    <s v="EMP1902"/>
    <s v="Sneha Sharma"/>
    <n v="43"/>
    <x v="2"/>
    <x v="3"/>
    <s v="Executive"/>
    <n v="21676"/>
    <x v="3"/>
    <s v="Single"/>
    <d v="2022-04-05T00:00:00"/>
    <x v="5"/>
    <n v="7"/>
    <x v="0"/>
    <x v="2"/>
    <x v="4"/>
    <x v="0"/>
  </r>
  <r>
    <s v="EMP1903"/>
    <s v="Kavya Sharma"/>
    <n v="39"/>
    <x v="0"/>
    <x v="0"/>
    <s v="Manager"/>
    <n v="101674"/>
    <x v="1"/>
    <s v="Married"/>
    <d v="2017-02-20T00:00:00"/>
    <x v="2"/>
    <n v="9"/>
    <x v="0"/>
    <x v="0"/>
    <x v="1"/>
    <x v="0"/>
  </r>
  <r>
    <s v="EMP1904"/>
    <s v="Rahul Sharma"/>
    <n v="40"/>
    <x v="0"/>
    <x v="2"/>
    <s v="Senior Analyst"/>
    <n v="19111"/>
    <x v="3"/>
    <s v="Married"/>
    <d v="2021-10-17T00:00:00"/>
    <x v="8"/>
    <n v="1"/>
    <x v="0"/>
    <x v="4"/>
    <x v="0"/>
    <x v="0"/>
  </r>
  <r>
    <s v="EMP1905"/>
    <s v="Neha Pradhan"/>
    <n v="26"/>
    <x v="1"/>
    <x v="1"/>
    <s v="Team Lead"/>
    <n v="115183"/>
    <x v="0"/>
    <s v="Divorced"/>
    <d v="2025-03-29T00:00:00"/>
    <x v="9"/>
    <n v="8"/>
    <x v="0"/>
    <x v="2"/>
    <x v="0"/>
    <x v="2"/>
  </r>
  <r>
    <s v="EMP1906"/>
    <s v="Isha Reddy"/>
    <n v="22"/>
    <x v="1"/>
    <x v="5"/>
    <s v="Intern"/>
    <n v="37862"/>
    <x v="2"/>
    <s v="Single"/>
    <d v="2023-03-16T00:00:00"/>
    <x v="3"/>
    <n v="8"/>
    <x v="0"/>
    <x v="1"/>
    <x v="4"/>
    <x v="1"/>
  </r>
  <r>
    <s v="EMP1907"/>
    <s v="Amit Mishra"/>
    <n v="30"/>
    <x v="2"/>
    <x v="3"/>
    <s v="Associate"/>
    <n v="76652"/>
    <x v="1"/>
    <s v="Married"/>
    <d v="2019-06-13T00:00:00"/>
    <x v="4"/>
    <n v="5"/>
    <x v="1"/>
    <x v="0"/>
    <x v="0"/>
    <x v="2"/>
  </r>
  <r>
    <s v="EMP1908"/>
    <s v="Rahul Singh"/>
    <n v="44"/>
    <x v="0"/>
    <x v="0"/>
    <s v="Team Lead"/>
    <n v="98004"/>
    <x v="0"/>
    <s v="Single"/>
    <d v="2022-07-18T00:00:00"/>
    <x v="5"/>
    <n v="4"/>
    <x v="1"/>
    <x v="2"/>
    <x v="7"/>
    <x v="0"/>
  </r>
  <r>
    <s v="EMP1909"/>
    <s v="Amit Mishra"/>
    <n v="39"/>
    <x v="2"/>
    <x v="7"/>
    <s v="Manager"/>
    <n v="83393"/>
    <x v="2"/>
    <s v="Married"/>
    <d v="2018-02-02T00:00:00"/>
    <x v="1"/>
    <n v="9"/>
    <x v="1"/>
    <x v="1"/>
    <x v="2"/>
    <x v="0"/>
  </r>
  <r>
    <s v="EMP1910"/>
    <s v="Rohit Reddy"/>
    <n v="43"/>
    <x v="1"/>
    <x v="7"/>
    <s v="Executive"/>
    <n v="27323"/>
    <x v="2"/>
    <s v="Married"/>
    <d v="2021-06-29T00:00:00"/>
    <x v="8"/>
    <n v="5"/>
    <x v="1"/>
    <x v="3"/>
    <x v="5"/>
    <x v="0"/>
  </r>
  <r>
    <s v="EMP1911"/>
    <s v="Sneha Reddy"/>
    <n v="51"/>
    <x v="0"/>
    <x v="3"/>
    <s v="Junior Analyst"/>
    <n v="55568"/>
    <x v="2"/>
    <s v="Divorced"/>
    <d v="2023-10-26T00:00:00"/>
    <x v="3"/>
    <n v="1"/>
    <x v="0"/>
    <x v="3"/>
    <x v="6"/>
    <x v="3"/>
  </r>
  <r>
    <s v="EMP1912"/>
    <s v="Karan Mishra"/>
    <n v="40"/>
    <x v="1"/>
    <x v="7"/>
    <s v="Junior Analyst"/>
    <n v="107417"/>
    <x v="4"/>
    <s v="Married"/>
    <d v="2019-02-18T00:00:00"/>
    <x v="4"/>
    <n v="9"/>
    <x v="0"/>
    <x v="0"/>
    <x v="7"/>
    <x v="0"/>
  </r>
  <r>
    <s v="EMP1913"/>
    <s v="Priya Singh"/>
    <n v="55"/>
    <x v="0"/>
    <x v="5"/>
    <s v="Senior Analyst"/>
    <n v="31801"/>
    <x v="2"/>
    <s v="Single"/>
    <d v="2022-07-31T00:00:00"/>
    <x v="5"/>
    <n v="3"/>
    <x v="1"/>
    <x v="2"/>
    <x v="4"/>
    <x v="3"/>
  </r>
  <r>
    <s v="EMP1914"/>
    <s v="Tarun Mishra"/>
    <n v="49"/>
    <x v="2"/>
    <x v="7"/>
    <s v="Junior Analyst"/>
    <n v="63735"/>
    <x v="2"/>
    <s v="Divorced"/>
    <d v="2022-03-09T00:00:00"/>
    <x v="5"/>
    <n v="8"/>
    <x v="1"/>
    <x v="2"/>
    <x v="2"/>
    <x v="3"/>
  </r>
  <r>
    <s v="EMP1915"/>
    <s v="Amit Singh"/>
    <n v="26"/>
    <x v="1"/>
    <x v="1"/>
    <s v="Junior Analyst"/>
    <n v="44145"/>
    <x v="3"/>
    <s v="Single"/>
    <d v="2019-09-29T00:00:00"/>
    <x v="4"/>
    <n v="2"/>
    <x v="1"/>
    <x v="0"/>
    <x v="1"/>
    <x v="2"/>
  </r>
  <r>
    <s v="EMP1916"/>
    <s v="Priya Singh"/>
    <n v="50"/>
    <x v="0"/>
    <x v="2"/>
    <s v="Manager"/>
    <n v="77582"/>
    <x v="4"/>
    <s v="Single"/>
    <d v="2021-06-15T00:00:00"/>
    <x v="8"/>
    <n v="5"/>
    <x v="0"/>
    <x v="1"/>
    <x v="6"/>
    <x v="3"/>
  </r>
  <r>
    <s v="EMP1917"/>
    <s v="Kavya Sharma"/>
    <n v="58"/>
    <x v="1"/>
    <x v="6"/>
    <s v="Associate"/>
    <n v="65381"/>
    <x v="2"/>
    <s v="Married"/>
    <d v="2018-07-31T00:00:00"/>
    <x v="1"/>
    <n v="3"/>
    <x v="0"/>
    <x v="1"/>
    <x v="7"/>
    <x v="3"/>
  </r>
  <r>
    <s v="EMP1918"/>
    <s v="Tarun Patel"/>
    <n v="36"/>
    <x v="2"/>
    <x v="5"/>
    <s v="Executive"/>
    <n v="28956"/>
    <x v="0"/>
    <s v="Married"/>
    <d v="2020-09-23T00:00:00"/>
    <x v="7"/>
    <n v="2"/>
    <x v="0"/>
    <x v="4"/>
    <x v="1"/>
    <x v="0"/>
  </r>
  <r>
    <s v="EMP1919"/>
    <s v="Tarun Reddy"/>
    <n v="33"/>
    <x v="2"/>
    <x v="2"/>
    <s v="Associate"/>
    <n v="42127"/>
    <x v="0"/>
    <s v="Single"/>
    <d v="2020-12-28T00:00:00"/>
    <x v="7"/>
    <n v="11"/>
    <x v="1"/>
    <x v="4"/>
    <x v="5"/>
    <x v="2"/>
  </r>
  <r>
    <s v="EMP1920"/>
    <s v="Priya Patel"/>
    <n v="46"/>
    <x v="1"/>
    <x v="4"/>
    <s v="Intern"/>
    <n v="88189"/>
    <x v="1"/>
    <s v="Divorced"/>
    <d v="2021-01-31T00:00:00"/>
    <x v="8"/>
    <n v="9"/>
    <x v="1"/>
    <x v="0"/>
    <x v="0"/>
    <x v="3"/>
  </r>
  <r>
    <s v="EMP1921"/>
    <s v="Rahul Reddy"/>
    <n v="58"/>
    <x v="0"/>
    <x v="7"/>
    <s v="Intern"/>
    <n v="112728"/>
    <x v="4"/>
    <s v="Divorced"/>
    <d v="2017-10-22T00:00:00"/>
    <x v="2"/>
    <n v="1"/>
    <x v="1"/>
    <x v="4"/>
    <x v="7"/>
    <x v="3"/>
  </r>
  <r>
    <s v="EMP1922"/>
    <s v="Amit Nanda"/>
    <n v="29"/>
    <x v="1"/>
    <x v="3"/>
    <s v="Associate"/>
    <n v="32890"/>
    <x v="2"/>
    <s v="Married"/>
    <d v="2022-01-09T00:00:00"/>
    <x v="5"/>
    <n v="10"/>
    <x v="0"/>
    <x v="3"/>
    <x v="5"/>
    <x v="2"/>
  </r>
  <r>
    <s v="EMP1923"/>
    <s v="Isha Singh"/>
    <n v="57"/>
    <x v="0"/>
    <x v="6"/>
    <s v="Intern"/>
    <n v="46655"/>
    <x v="1"/>
    <s v="Married"/>
    <d v="2023-12-30T00:00:00"/>
    <x v="3"/>
    <n v="10"/>
    <x v="0"/>
    <x v="0"/>
    <x v="0"/>
    <x v="3"/>
  </r>
  <r>
    <s v="EMP1924"/>
    <s v="Priya Patel"/>
    <n v="33"/>
    <x v="0"/>
    <x v="6"/>
    <s v="Associate"/>
    <n v="66530"/>
    <x v="3"/>
    <s v="Single"/>
    <d v="2019-07-28T00:00:00"/>
    <x v="4"/>
    <n v="4"/>
    <x v="1"/>
    <x v="0"/>
    <x v="2"/>
    <x v="2"/>
  </r>
  <r>
    <s v="EMP1925"/>
    <s v="Isha Singh"/>
    <n v="49"/>
    <x v="1"/>
    <x v="1"/>
    <s v="Senior Analyst"/>
    <n v="64101"/>
    <x v="4"/>
    <s v="Married"/>
    <d v="2022-01-19T00:00:00"/>
    <x v="5"/>
    <n v="10"/>
    <x v="1"/>
    <x v="2"/>
    <x v="5"/>
    <x v="3"/>
  </r>
  <r>
    <s v="EMP1926"/>
    <s v="Isha Nanda"/>
    <n v="43"/>
    <x v="0"/>
    <x v="5"/>
    <s v="Junior Analyst"/>
    <n v="89141"/>
    <x v="2"/>
    <s v="Married"/>
    <d v="2025-08-30T00:00:00"/>
    <x v="9"/>
    <n v="2"/>
    <x v="1"/>
    <x v="4"/>
    <x v="2"/>
    <x v="0"/>
  </r>
  <r>
    <s v="EMP1927"/>
    <s v="Sneha Mishra"/>
    <n v="26"/>
    <x v="0"/>
    <x v="6"/>
    <s v="Junior Analyst"/>
    <n v="98774"/>
    <x v="0"/>
    <s v="Married"/>
    <d v="2024-08-05T00:00:00"/>
    <x v="0"/>
    <n v="3"/>
    <x v="0"/>
    <x v="3"/>
    <x v="7"/>
    <x v="2"/>
  </r>
  <r>
    <s v="EMP1928"/>
    <s v="Rohit Mishra"/>
    <n v="46"/>
    <x v="0"/>
    <x v="0"/>
    <s v="Junior Analyst"/>
    <n v="119827"/>
    <x v="4"/>
    <s v="Married"/>
    <d v="2017-06-20T00:00:00"/>
    <x v="2"/>
    <n v="5"/>
    <x v="0"/>
    <x v="3"/>
    <x v="2"/>
    <x v="3"/>
  </r>
  <r>
    <s v="EMP1929"/>
    <s v="Neha Mishra"/>
    <n v="49"/>
    <x v="1"/>
    <x v="1"/>
    <s v="Senior Analyst"/>
    <n v="18996"/>
    <x v="1"/>
    <s v="Divorced"/>
    <d v="2019-05-14T00:00:00"/>
    <x v="4"/>
    <n v="6"/>
    <x v="1"/>
    <x v="4"/>
    <x v="3"/>
    <x v="3"/>
  </r>
  <r>
    <s v="EMP1930"/>
    <s v="Tarun Singh"/>
    <n v="35"/>
    <x v="0"/>
    <x v="1"/>
    <s v="Manager"/>
    <n v="22282"/>
    <x v="0"/>
    <s v="Single"/>
    <d v="2025-01-18T00:00:00"/>
    <x v="9"/>
    <n v="10"/>
    <x v="1"/>
    <x v="0"/>
    <x v="6"/>
    <x v="2"/>
  </r>
  <r>
    <s v="EMP1931"/>
    <s v="Neha Pradhan"/>
    <n v="56"/>
    <x v="1"/>
    <x v="0"/>
    <s v="Junior Analyst"/>
    <n v="90841"/>
    <x v="1"/>
    <s v="Divorced"/>
    <d v="2023-05-31T00:00:00"/>
    <x v="3"/>
    <n v="5"/>
    <x v="1"/>
    <x v="2"/>
    <x v="0"/>
    <x v="3"/>
  </r>
  <r>
    <s v="EMP1932"/>
    <s v="Amit Singh"/>
    <n v="44"/>
    <x v="2"/>
    <x v="5"/>
    <s v="Senior Analyst"/>
    <n v="70837"/>
    <x v="4"/>
    <s v="Single"/>
    <d v="2021-02-02T00:00:00"/>
    <x v="8"/>
    <n v="9"/>
    <x v="0"/>
    <x v="2"/>
    <x v="5"/>
    <x v="0"/>
  </r>
  <r>
    <s v="EMP1933"/>
    <s v="Karan Sharma"/>
    <n v="56"/>
    <x v="1"/>
    <x v="2"/>
    <s v="Executive"/>
    <n v="90470"/>
    <x v="3"/>
    <s v="Single"/>
    <d v="2017-03-25T00:00:00"/>
    <x v="2"/>
    <n v="8"/>
    <x v="0"/>
    <x v="2"/>
    <x v="0"/>
    <x v="3"/>
  </r>
  <r>
    <s v="EMP1934"/>
    <s v="Rahul Singh"/>
    <n v="57"/>
    <x v="0"/>
    <x v="6"/>
    <s v="Intern"/>
    <n v="99015"/>
    <x v="4"/>
    <s v="Single"/>
    <d v="2022-08-07T00:00:00"/>
    <x v="5"/>
    <n v="3"/>
    <x v="1"/>
    <x v="2"/>
    <x v="5"/>
    <x v="3"/>
  </r>
  <r>
    <s v="EMP1935"/>
    <s v="Isha Singh"/>
    <n v="42"/>
    <x v="0"/>
    <x v="0"/>
    <s v="Executive"/>
    <n v="103527"/>
    <x v="3"/>
    <s v="Single"/>
    <d v="2022-03-11T00:00:00"/>
    <x v="5"/>
    <n v="8"/>
    <x v="0"/>
    <x v="3"/>
    <x v="3"/>
    <x v="0"/>
  </r>
  <r>
    <s v="EMP1936"/>
    <s v="Rahul Patel"/>
    <n v="25"/>
    <x v="0"/>
    <x v="6"/>
    <s v="Team Lead"/>
    <n v="101674"/>
    <x v="0"/>
    <s v="Single"/>
    <d v="2021-05-02T00:00:00"/>
    <x v="8"/>
    <n v="6"/>
    <x v="0"/>
    <x v="2"/>
    <x v="5"/>
    <x v="1"/>
  </r>
  <r>
    <s v="EMP1937"/>
    <s v="Rohit Patel"/>
    <n v="31"/>
    <x v="0"/>
    <x v="7"/>
    <s v="Associate"/>
    <n v="82781"/>
    <x v="3"/>
    <s v="Single"/>
    <d v="2020-07-26T00:00:00"/>
    <x v="7"/>
    <n v="4"/>
    <x v="0"/>
    <x v="3"/>
    <x v="7"/>
    <x v="2"/>
  </r>
  <r>
    <s v="EMP1938"/>
    <s v="Tarun Sharma"/>
    <n v="51"/>
    <x v="2"/>
    <x v="7"/>
    <s v="Intern"/>
    <n v="45563"/>
    <x v="2"/>
    <s v="Married"/>
    <d v="2019-09-14T00:00:00"/>
    <x v="4"/>
    <n v="2"/>
    <x v="1"/>
    <x v="1"/>
    <x v="5"/>
    <x v="3"/>
  </r>
  <r>
    <s v="EMP1939"/>
    <s v="Rohit Sharma"/>
    <n v="31"/>
    <x v="2"/>
    <x v="6"/>
    <s v="Senior Analyst"/>
    <n v="33362"/>
    <x v="3"/>
    <s v="Married"/>
    <d v="2023-01-26T00:00:00"/>
    <x v="3"/>
    <n v="10"/>
    <x v="0"/>
    <x v="1"/>
    <x v="3"/>
    <x v="2"/>
  </r>
  <r>
    <s v="EMP1940"/>
    <s v="Sneha Pradhan"/>
    <n v="58"/>
    <x v="0"/>
    <x v="6"/>
    <s v="Team Lead"/>
    <n v="85894"/>
    <x v="1"/>
    <s v="Single"/>
    <d v="2025-11-27T00:00:00"/>
    <x v="9"/>
    <n v="0"/>
    <x v="1"/>
    <x v="2"/>
    <x v="4"/>
    <x v="3"/>
  </r>
  <r>
    <s v="EMP1941"/>
    <s v="Rahul Patel"/>
    <n v="28"/>
    <x v="0"/>
    <x v="7"/>
    <s v="Intern"/>
    <n v="113386"/>
    <x v="1"/>
    <s v="Married"/>
    <d v="2019-04-03T00:00:00"/>
    <x v="4"/>
    <n v="7"/>
    <x v="1"/>
    <x v="1"/>
    <x v="2"/>
    <x v="2"/>
  </r>
  <r>
    <s v="EMP1942"/>
    <s v="Neha Singh"/>
    <n v="55"/>
    <x v="2"/>
    <x v="2"/>
    <s v="Intern"/>
    <n v="79216"/>
    <x v="2"/>
    <s v="Married"/>
    <d v="2021-12-07T00:00:00"/>
    <x v="8"/>
    <n v="11"/>
    <x v="1"/>
    <x v="1"/>
    <x v="3"/>
    <x v="3"/>
  </r>
  <r>
    <s v="EMP1943"/>
    <s v="Amit Pradhan"/>
    <n v="37"/>
    <x v="1"/>
    <x v="7"/>
    <s v="Associate"/>
    <n v="94499"/>
    <x v="4"/>
    <s v="Married"/>
    <d v="2018-01-16T00:00:00"/>
    <x v="1"/>
    <n v="10"/>
    <x v="0"/>
    <x v="3"/>
    <x v="0"/>
    <x v="0"/>
  </r>
  <r>
    <s v="EMP1944"/>
    <s v="Isha Nanda"/>
    <n v="58"/>
    <x v="2"/>
    <x v="2"/>
    <s v="Team Lead"/>
    <n v="59779"/>
    <x v="0"/>
    <s v="Divorced"/>
    <d v="2020-06-24T00:00:00"/>
    <x v="7"/>
    <n v="5"/>
    <x v="1"/>
    <x v="1"/>
    <x v="6"/>
    <x v="3"/>
  </r>
  <r>
    <s v="EMP1945"/>
    <s v="Neha Singh"/>
    <n v="24"/>
    <x v="1"/>
    <x v="5"/>
    <s v="Team Lead"/>
    <n v="22424"/>
    <x v="3"/>
    <s v="Divorced"/>
    <d v="2020-10-12T00:00:00"/>
    <x v="7"/>
    <n v="1"/>
    <x v="1"/>
    <x v="0"/>
    <x v="6"/>
    <x v="1"/>
  </r>
  <r>
    <s v="EMP1946"/>
    <s v="Tarun Sharma"/>
    <n v="27"/>
    <x v="0"/>
    <x v="3"/>
    <s v="Associate"/>
    <n v="74280"/>
    <x v="1"/>
    <s v="Married"/>
    <d v="2018-12-08T00:00:00"/>
    <x v="1"/>
    <n v="11"/>
    <x v="0"/>
    <x v="1"/>
    <x v="6"/>
    <x v="2"/>
  </r>
  <r>
    <s v="EMP1947"/>
    <s v="Neha Pradhan"/>
    <n v="40"/>
    <x v="0"/>
    <x v="6"/>
    <s v="Intern"/>
    <n v="59758"/>
    <x v="0"/>
    <s v="Divorced"/>
    <d v="2019-11-16T00:00:00"/>
    <x v="4"/>
    <n v="0"/>
    <x v="0"/>
    <x v="3"/>
    <x v="6"/>
    <x v="0"/>
  </r>
  <r>
    <s v="EMP1948"/>
    <s v="Priya Reddy"/>
    <n v="24"/>
    <x v="1"/>
    <x v="2"/>
    <s v="Executive"/>
    <n v="96879"/>
    <x v="4"/>
    <s v="Single"/>
    <d v="2017-05-04T00:00:00"/>
    <x v="2"/>
    <n v="6"/>
    <x v="1"/>
    <x v="0"/>
    <x v="2"/>
    <x v="1"/>
  </r>
  <r>
    <s v="EMP1949"/>
    <s v="Kavya Singh"/>
    <n v="46"/>
    <x v="2"/>
    <x v="1"/>
    <s v="Associate"/>
    <n v="59652"/>
    <x v="3"/>
    <s v="Single"/>
    <d v="2018-05-25T00:00:00"/>
    <x v="1"/>
    <n v="6"/>
    <x v="0"/>
    <x v="3"/>
    <x v="1"/>
    <x v="3"/>
  </r>
  <r>
    <s v="EMP1950"/>
    <s v="Rahul Patel"/>
    <n v="46"/>
    <x v="0"/>
    <x v="7"/>
    <s v="Executive"/>
    <n v="77347"/>
    <x v="4"/>
    <s v="Married"/>
    <d v="2022-10-25T00:00:00"/>
    <x v="5"/>
    <n v="1"/>
    <x v="1"/>
    <x v="1"/>
    <x v="7"/>
    <x v="3"/>
  </r>
  <r>
    <s v="EMP1951"/>
    <s v="Rohit Sharma"/>
    <n v="56"/>
    <x v="0"/>
    <x v="4"/>
    <s v="Executive"/>
    <n v="55272"/>
    <x v="2"/>
    <s v="Single"/>
    <d v="2022-03-03T00:00:00"/>
    <x v="5"/>
    <n v="8"/>
    <x v="0"/>
    <x v="4"/>
    <x v="7"/>
    <x v="3"/>
  </r>
  <r>
    <s v="EMP1952"/>
    <s v="Sneha Nanda"/>
    <n v="26"/>
    <x v="1"/>
    <x v="2"/>
    <s v="Senior Analyst"/>
    <n v="54002"/>
    <x v="3"/>
    <s v="Married"/>
    <d v="2017-01-29T00:00:00"/>
    <x v="2"/>
    <n v="10"/>
    <x v="1"/>
    <x v="3"/>
    <x v="7"/>
    <x v="2"/>
  </r>
  <r>
    <s v="EMP1953"/>
    <s v="Tarun Patel"/>
    <n v="49"/>
    <x v="1"/>
    <x v="7"/>
    <s v="Team Lead"/>
    <n v="67008"/>
    <x v="0"/>
    <s v="Single"/>
    <d v="2018-09-12T00:00:00"/>
    <x v="1"/>
    <n v="2"/>
    <x v="0"/>
    <x v="2"/>
    <x v="5"/>
    <x v="3"/>
  </r>
  <r>
    <s v="EMP1954"/>
    <s v="Sneha Patel"/>
    <n v="47"/>
    <x v="0"/>
    <x v="5"/>
    <s v="Executive"/>
    <n v="29536"/>
    <x v="3"/>
    <s v="Divorced"/>
    <d v="2016-03-29T00:00:00"/>
    <x v="6"/>
    <n v="8"/>
    <x v="0"/>
    <x v="4"/>
    <x v="7"/>
    <x v="3"/>
  </r>
  <r>
    <s v="EMP1955"/>
    <s v="Sneha Sharma"/>
    <n v="39"/>
    <x v="0"/>
    <x v="2"/>
    <s v="Intern"/>
    <n v="61165"/>
    <x v="4"/>
    <s v="Married"/>
    <d v="2019-03-19T00:00:00"/>
    <x v="4"/>
    <n v="8"/>
    <x v="0"/>
    <x v="1"/>
    <x v="1"/>
    <x v="0"/>
  </r>
  <r>
    <s v="EMP1956"/>
    <s v="Sneha Pradhan"/>
    <n v="40"/>
    <x v="0"/>
    <x v="1"/>
    <s v="Junior Analyst"/>
    <n v="101480"/>
    <x v="0"/>
    <s v="Divorced"/>
    <d v="2022-02-07T00:00:00"/>
    <x v="5"/>
    <n v="9"/>
    <x v="0"/>
    <x v="0"/>
    <x v="1"/>
    <x v="0"/>
  </r>
  <r>
    <s v="EMP1957"/>
    <s v="Isha Patel"/>
    <n v="40"/>
    <x v="2"/>
    <x v="4"/>
    <s v="Manager"/>
    <n v="47600"/>
    <x v="3"/>
    <s v="Married"/>
    <d v="2024-02-29T00:00:00"/>
    <x v="0"/>
    <n v="9"/>
    <x v="0"/>
    <x v="4"/>
    <x v="4"/>
    <x v="0"/>
  </r>
  <r>
    <s v="EMP1958"/>
    <s v="Priya Singh"/>
    <n v="24"/>
    <x v="0"/>
    <x v="4"/>
    <s v="Executive"/>
    <n v="25899"/>
    <x v="0"/>
    <s v="Divorced"/>
    <d v="2018-08-11T00:00:00"/>
    <x v="1"/>
    <n v="3"/>
    <x v="1"/>
    <x v="3"/>
    <x v="4"/>
    <x v="1"/>
  </r>
  <r>
    <s v="EMP1959"/>
    <s v="Isha Sharma"/>
    <n v="41"/>
    <x v="0"/>
    <x v="3"/>
    <s v="Senior Analyst"/>
    <n v="117678"/>
    <x v="2"/>
    <s v="Divorced"/>
    <d v="2017-11-29T00:00:00"/>
    <x v="2"/>
    <n v="0"/>
    <x v="0"/>
    <x v="1"/>
    <x v="4"/>
    <x v="0"/>
  </r>
  <r>
    <s v="EMP1960"/>
    <s v="Neha Nanda"/>
    <n v="48"/>
    <x v="2"/>
    <x v="0"/>
    <s v="Executive"/>
    <n v="70455"/>
    <x v="0"/>
    <s v="Married"/>
    <d v="2020-12-05T00:00:00"/>
    <x v="7"/>
    <n v="11"/>
    <x v="0"/>
    <x v="4"/>
    <x v="2"/>
    <x v="3"/>
  </r>
  <r>
    <s v="EMP1961"/>
    <s v="Amit Nanda"/>
    <n v="26"/>
    <x v="2"/>
    <x v="7"/>
    <s v="Manager"/>
    <n v="49531"/>
    <x v="2"/>
    <s v="Single"/>
    <d v="2019-03-06T00:00:00"/>
    <x v="4"/>
    <n v="8"/>
    <x v="0"/>
    <x v="3"/>
    <x v="1"/>
    <x v="2"/>
  </r>
  <r>
    <s v="EMP1962"/>
    <s v="Neha Patel"/>
    <n v="27"/>
    <x v="2"/>
    <x v="7"/>
    <s v="Junior Analyst"/>
    <n v="64455"/>
    <x v="1"/>
    <s v="Single"/>
    <d v="2020-08-20T00:00:00"/>
    <x v="7"/>
    <n v="3"/>
    <x v="1"/>
    <x v="0"/>
    <x v="6"/>
    <x v="2"/>
  </r>
  <r>
    <s v="EMP1963"/>
    <s v="Rahul Nanda"/>
    <n v="37"/>
    <x v="1"/>
    <x v="7"/>
    <s v="Intern"/>
    <n v="24440"/>
    <x v="2"/>
    <s v="Divorced"/>
    <d v="2020-12-03T00:00:00"/>
    <x v="7"/>
    <n v="11"/>
    <x v="0"/>
    <x v="4"/>
    <x v="4"/>
    <x v="0"/>
  </r>
  <r>
    <s v="EMP1964"/>
    <s v="Tarun Pradhan"/>
    <n v="58"/>
    <x v="1"/>
    <x v="4"/>
    <s v="Junior Analyst"/>
    <n v="85976"/>
    <x v="0"/>
    <s v="Divorced"/>
    <d v="2016-09-29T00:00:00"/>
    <x v="6"/>
    <n v="2"/>
    <x v="0"/>
    <x v="2"/>
    <x v="4"/>
    <x v="3"/>
  </r>
  <r>
    <s v="EMP1965"/>
    <s v="Sneha Sharma"/>
    <n v="22"/>
    <x v="2"/>
    <x v="2"/>
    <s v="Manager"/>
    <n v="49295"/>
    <x v="4"/>
    <s v="Single"/>
    <d v="2019-04-11T00:00:00"/>
    <x v="4"/>
    <n v="7"/>
    <x v="0"/>
    <x v="0"/>
    <x v="0"/>
    <x v="1"/>
  </r>
  <r>
    <s v="EMP1966"/>
    <s v="Tarun Nanda"/>
    <n v="26"/>
    <x v="0"/>
    <x v="2"/>
    <s v="Executive"/>
    <n v="82903"/>
    <x v="1"/>
    <s v="Single"/>
    <d v="2020-01-31T00:00:00"/>
    <x v="7"/>
    <n v="9"/>
    <x v="1"/>
    <x v="0"/>
    <x v="3"/>
    <x v="2"/>
  </r>
  <r>
    <s v="EMP1967"/>
    <s v="Rahul Sharma"/>
    <n v="31"/>
    <x v="2"/>
    <x v="4"/>
    <s v="Senior Analyst"/>
    <n v="114874"/>
    <x v="1"/>
    <s v="Single"/>
    <d v="2019-09-20T00:00:00"/>
    <x v="4"/>
    <n v="2"/>
    <x v="0"/>
    <x v="1"/>
    <x v="5"/>
    <x v="2"/>
  </r>
  <r>
    <s v="EMP1968"/>
    <s v="Neha Nanda"/>
    <n v="29"/>
    <x v="0"/>
    <x v="4"/>
    <s v="Senior Analyst"/>
    <n v="74088"/>
    <x v="0"/>
    <s v="Single"/>
    <d v="2019-02-22T00:00:00"/>
    <x v="4"/>
    <n v="9"/>
    <x v="0"/>
    <x v="1"/>
    <x v="7"/>
    <x v="2"/>
  </r>
  <r>
    <s v="EMP1969"/>
    <s v="Kavya Patel"/>
    <n v="50"/>
    <x v="2"/>
    <x v="6"/>
    <s v="Associate"/>
    <n v="82003"/>
    <x v="1"/>
    <s v="Married"/>
    <d v="2017-05-31T00:00:00"/>
    <x v="2"/>
    <n v="5"/>
    <x v="0"/>
    <x v="2"/>
    <x v="3"/>
    <x v="3"/>
  </r>
  <r>
    <s v="EMP1970"/>
    <s v="Priya Reddy"/>
    <n v="52"/>
    <x v="0"/>
    <x v="5"/>
    <s v="Manager"/>
    <n v="119614"/>
    <x v="0"/>
    <s v="Married"/>
    <d v="2025-03-14T00:00:00"/>
    <x v="9"/>
    <n v="8"/>
    <x v="1"/>
    <x v="3"/>
    <x v="1"/>
    <x v="3"/>
  </r>
  <r>
    <s v="EMP1971"/>
    <s v="Neha Reddy"/>
    <n v="36"/>
    <x v="2"/>
    <x v="4"/>
    <s v="Senior Analyst"/>
    <n v="51231"/>
    <x v="2"/>
    <s v="Single"/>
    <d v="2025-06-20T00:00:00"/>
    <x v="9"/>
    <n v="5"/>
    <x v="1"/>
    <x v="4"/>
    <x v="6"/>
    <x v="0"/>
  </r>
  <r>
    <s v="EMP1972"/>
    <s v="Karan Mishra"/>
    <n v="58"/>
    <x v="1"/>
    <x v="7"/>
    <s v="Intern"/>
    <n v="53381"/>
    <x v="4"/>
    <s v="Divorced"/>
    <d v="2023-05-12T00:00:00"/>
    <x v="3"/>
    <n v="6"/>
    <x v="0"/>
    <x v="1"/>
    <x v="0"/>
    <x v="3"/>
  </r>
  <r>
    <s v="EMP1973"/>
    <s v="Priya Singh"/>
    <n v="29"/>
    <x v="1"/>
    <x v="4"/>
    <s v="Executive"/>
    <n v="22050"/>
    <x v="4"/>
    <s v="Divorced"/>
    <d v="2023-12-28T00:00:00"/>
    <x v="3"/>
    <n v="11"/>
    <x v="1"/>
    <x v="4"/>
    <x v="4"/>
    <x v="2"/>
  </r>
  <r>
    <s v="EMP1974"/>
    <s v="Sneha Pradhan"/>
    <n v="44"/>
    <x v="2"/>
    <x v="7"/>
    <s v="Intern"/>
    <n v="53903"/>
    <x v="4"/>
    <s v="Married"/>
    <d v="2022-02-04T00:00:00"/>
    <x v="5"/>
    <n v="9"/>
    <x v="0"/>
    <x v="4"/>
    <x v="6"/>
    <x v="0"/>
  </r>
  <r>
    <s v="EMP1975"/>
    <s v="Neha Nanda"/>
    <n v="57"/>
    <x v="1"/>
    <x v="2"/>
    <s v="Executive"/>
    <n v="58543"/>
    <x v="0"/>
    <s v="Divorced"/>
    <d v="2022-01-07T00:00:00"/>
    <x v="5"/>
    <n v="10"/>
    <x v="1"/>
    <x v="0"/>
    <x v="2"/>
    <x v="3"/>
  </r>
  <r>
    <s v="EMP1976"/>
    <s v="Tarun Mishra"/>
    <n v="49"/>
    <x v="2"/>
    <x v="3"/>
    <s v="Manager"/>
    <n v="55802"/>
    <x v="0"/>
    <s v="Married"/>
    <d v="2023-11-15T00:00:00"/>
    <x v="3"/>
    <n v="0"/>
    <x v="0"/>
    <x v="3"/>
    <x v="5"/>
    <x v="3"/>
  </r>
  <r>
    <s v="EMP1977"/>
    <s v="Karan Patel"/>
    <n v="55"/>
    <x v="2"/>
    <x v="5"/>
    <s v="Junior Analyst"/>
    <n v="57799"/>
    <x v="3"/>
    <s v="Single"/>
    <d v="2025-02-25T00:00:00"/>
    <x v="9"/>
    <n v="9"/>
    <x v="1"/>
    <x v="2"/>
    <x v="1"/>
    <x v="3"/>
  </r>
  <r>
    <s v="EMP1978"/>
    <s v="Rahul Pradhan"/>
    <n v="38"/>
    <x v="2"/>
    <x v="7"/>
    <s v="Junior Analyst"/>
    <n v="24972"/>
    <x v="3"/>
    <s v="Single"/>
    <d v="2021-01-04T00:00:00"/>
    <x v="8"/>
    <n v="10"/>
    <x v="1"/>
    <x v="2"/>
    <x v="7"/>
    <x v="0"/>
  </r>
  <r>
    <s v="EMP1979"/>
    <s v="Rohit Pradhan"/>
    <n v="42"/>
    <x v="1"/>
    <x v="5"/>
    <s v="Intern"/>
    <n v="29272"/>
    <x v="3"/>
    <s v="Single"/>
    <d v="2024-05-28T00:00:00"/>
    <x v="0"/>
    <n v="6"/>
    <x v="0"/>
    <x v="3"/>
    <x v="2"/>
    <x v="0"/>
  </r>
  <r>
    <s v="EMP1980"/>
    <s v="Rohit Pradhan"/>
    <n v="22"/>
    <x v="1"/>
    <x v="3"/>
    <s v="Associate"/>
    <n v="50601"/>
    <x v="2"/>
    <s v="Married"/>
    <d v="2020-08-29T00:00:00"/>
    <x v="7"/>
    <n v="3"/>
    <x v="0"/>
    <x v="4"/>
    <x v="3"/>
    <x v="1"/>
  </r>
  <r>
    <s v="EMP1981"/>
    <s v="Kavya Patel"/>
    <n v="31"/>
    <x v="2"/>
    <x v="1"/>
    <s v="Senior Analyst"/>
    <n v="106987"/>
    <x v="4"/>
    <s v="Single"/>
    <d v="2023-11-06T00:00:00"/>
    <x v="3"/>
    <n v="0"/>
    <x v="0"/>
    <x v="4"/>
    <x v="5"/>
    <x v="2"/>
  </r>
  <r>
    <s v="EMP1982"/>
    <s v="Tarun Reddy"/>
    <n v="32"/>
    <x v="1"/>
    <x v="2"/>
    <s v="Senior Analyst"/>
    <n v="29219"/>
    <x v="4"/>
    <s v="Divorced"/>
    <d v="2021-05-10T00:00:00"/>
    <x v="8"/>
    <n v="6"/>
    <x v="0"/>
    <x v="3"/>
    <x v="0"/>
    <x v="2"/>
  </r>
  <r>
    <s v="EMP1983"/>
    <s v="Sneha Pradhan"/>
    <n v="53"/>
    <x v="1"/>
    <x v="3"/>
    <s v="Intern"/>
    <n v="84036"/>
    <x v="3"/>
    <s v="Married"/>
    <d v="2020-02-27T00:00:00"/>
    <x v="7"/>
    <n v="9"/>
    <x v="1"/>
    <x v="3"/>
    <x v="0"/>
    <x v="3"/>
  </r>
  <r>
    <s v="EMP1984"/>
    <s v="Tarun Nanda"/>
    <n v="21"/>
    <x v="2"/>
    <x v="6"/>
    <s v="Junior Analyst"/>
    <n v="118502"/>
    <x v="0"/>
    <s v="Single"/>
    <d v="2023-01-31T00:00:00"/>
    <x v="3"/>
    <n v="9"/>
    <x v="1"/>
    <x v="1"/>
    <x v="6"/>
    <x v="1"/>
  </r>
  <r>
    <s v="EMP1985"/>
    <s v="Amit Reddy"/>
    <n v="54"/>
    <x v="2"/>
    <x v="2"/>
    <s v="Associate"/>
    <n v="25017"/>
    <x v="2"/>
    <s v="Single"/>
    <d v="2020-09-14T00:00:00"/>
    <x v="7"/>
    <n v="2"/>
    <x v="0"/>
    <x v="3"/>
    <x v="1"/>
    <x v="3"/>
  </r>
  <r>
    <s v="EMP1986"/>
    <s v="Rahul Sharma"/>
    <n v="23"/>
    <x v="1"/>
    <x v="7"/>
    <s v="Team Lead"/>
    <n v="61710"/>
    <x v="0"/>
    <s v="Married"/>
    <d v="2022-07-12T00:00:00"/>
    <x v="5"/>
    <n v="4"/>
    <x v="1"/>
    <x v="4"/>
    <x v="7"/>
    <x v="1"/>
  </r>
  <r>
    <s v="EMP1987"/>
    <s v="Sneha Singh"/>
    <n v="57"/>
    <x v="2"/>
    <x v="6"/>
    <s v="Executive"/>
    <n v="109956"/>
    <x v="4"/>
    <s v="Single"/>
    <d v="2022-06-28T00:00:00"/>
    <x v="5"/>
    <n v="5"/>
    <x v="1"/>
    <x v="1"/>
    <x v="4"/>
    <x v="3"/>
  </r>
  <r>
    <s v="EMP1988"/>
    <s v="Amit Patel"/>
    <n v="39"/>
    <x v="2"/>
    <x v="6"/>
    <s v="Team Lead"/>
    <n v="81564"/>
    <x v="1"/>
    <s v="Single"/>
    <d v="2016-12-09T00:00:00"/>
    <x v="6"/>
    <n v="11"/>
    <x v="0"/>
    <x v="1"/>
    <x v="2"/>
    <x v="0"/>
  </r>
  <r>
    <s v="EMP1989"/>
    <s v="Karan Sharma"/>
    <n v="35"/>
    <x v="0"/>
    <x v="7"/>
    <s v="Manager"/>
    <n v="80094"/>
    <x v="4"/>
    <s v="Married"/>
    <d v="2020-07-26T00:00:00"/>
    <x v="7"/>
    <n v="4"/>
    <x v="0"/>
    <x v="2"/>
    <x v="3"/>
    <x v="2"/>
  </r>
  <r>
    <s v="EMP1990"/>
    <s v="Tarun Nanda"/>
    <n v="31"/>
    <x v="0"/>
    <x v="2"/>
    <s v="Intern"/>
    <n v="98315"/>
    <x v="2"/>
    <s v="Divorced"/>
    <d v="2023-02-08T00:00:00"/>
    <x v="3"/>
    <n v="9"/>
    <x v="0"/>
    <x v="3"/>
    <x v="5"/>
    <x v="2"/>
  </r>
  <r>
    <s v="EMP1991"/>
    <s v="Rahul Pradhan"/>
    <n v="29"/>
    <x v="2"/>
    <x v="0"/>
    <s v="Team Lead"/>
    <n v="40383"/>
    <x v="4"/>
    <s v="Single"/>
    <d v="2021-07-11T00:00:00"/>
    <x v="8"/>
    <n v="4"/>
    <x v="1"/>
    <x v="4"/>
    <x v="3"/>
    <x v="2"/>
  </r>
  <r>
    <s v="EMP1992"/>
    <s v="Sneha Reddy"/>
    <n v="51"/>
    <x v="1"/>
    <x v="2"/>
    <s v="Junior Analyst"/>
    <n v="69273"/>
    <x v="0"/>
    <s v="Married"/>
    <d v="2020-11-10T00:00:00"/>
    <x v="7"/>
    <n v="0"/>
    <x v="1"/>
    <x v="1"/>
    <x v="7"/>
    <x v="3"/>
  </r>
  <r>
    <s v="EMP1993"/>
    <s v="Rohit Nanda"/>
    <n v="27"/>
    <x v="2"/>
    <x v="1"/>
    <s v="Team Lead"/>
    <n v="19444"/>
    <x v="3"/>
    <s v="Single"/>
    <d v="2023-06-03T00:00:00"/>
    <x v="3"/>
    <n v="5"/>
    <x v="1"/>
    <x v="2"/>
    <x v="6"/>
    <x v="2"/>
  </r>
  <r>
    <s v="EMP1994"/>
    <s v="Amit Nanda"/>
    <n v="49"/>
    <x v="1"/>
    <x v="6"/>
    <s v="Senior Analyst"/>
    <n v="38750"/>
    <x v="4"/>
    <s v="Divorced"/>
    <d v="2018-07-20T00:00:00"/>
    <x v="1"/>
    <n v="4"/>
    <x v="1"/>
    <x v="0"/>
    <x v="0"/>
    <x v="3"/>
  </r>
  <r>
    <s v="EMP1995"/>
    <s v="Karan Sharma"/>
    <n v="31"/>
    <x v="2"/>
    <x v="5"/>
    <s v="Intern"/>
    <n v="64119"/>
    <x v="4"/>
    <s v="Married"/>
    <d v="2021-05-04T00:00:00"/>
    <x v="8"/>
    <n v="6"/>
    <x v="0"/>
    <x v="4"/>
    <x v="3"/>
    <x v="2"/>
  </r>
  <r>
    <s v="EMP1996"/>
    <s v="Tarun Sharma"/>
    <n v="50"/>
    <x v="1"/>
    <x v="4"/>
    <s v="Intern"/>
    <n v="97408"/>
    <x v="1"/>
    <s v="Divorced"/>
    <d v="2024-02-18T00:00:00"/>
    <x v="0"/>
    <n v="9"/>
    <x v="1"/>
    <x v="1"/>
    <x v="6"/>
    <x v="3"/>
  </r>
  <r>
    <s v="EMP1997"/>
    <s v="Kavya Reddy"/>
    <n v="42"/>
    <x v="2"/>
    <x v="1"/>
    <s v="Manager"/>
    <n v="26856"/>
    <x v="0"/>
    <s v="Divorced"/>
    <d v="2017-12-20T00:00:00"/>
    <x v="2"/>
    <n v="11"/>
    <x v="0"/>
    <x v="2"/>
    <x v="2"/>
    <x v="0"/>
  </r>
  <r>
    <s v="EMP1998"/>
    <s v="Isha Singh"/>
    <n v="50"/>
    <x v="1"/>
    <x v="0"/>
    <s v="Associate"/>
    <n v="119153"/>
    <x v="1"/>
    <s v="Single"/>
    <d v="2018-02-19T00:00:00"/>
    <x v="1"/>
    <n v="9"/>
    <x v="1"/>
    <x v="3"/>
    <x v="2"/>
    <x v="3"/>
  </r>
  <r>
    <s v="EMP1999"/>
    <s v="Rahul Reddy"/>
    <n v="36"/>
    <x v="0"/>
    <x v="6"/>
    <s v="Manager"/>
    <n v="116295"/>
    <x v="2"/>
    <s v="Married"/>
    <d v="2022-12-27T00:00:00"/>
    <x v="5"/>
    <n v="11"/>
    <x v="0"/>
    <x v="1"/>
    <x v="6"/>
    <x v="0"/>
  </r>
  <r>
    <s v="EMP2000"/>
    <s v="Sneha Singh"/>
    <n v="48"/>
    <x v="1"/>
    <x v="5"/>
    <s v="Team Lead"/>
    <n v="101544"/>
    <x v="4"/>
    <s v="Single"/>
    <d v="2018-05-19T00:00:00"/>
    <x v="1"/>
    <n v="6"/>
    <x v="1"/>
    <x v="3"/>
    <x v="1"/>
    <x v="3"/>
  </r>
  <r>
    <s v="EMP2001"/>
    <s v="Rohit Pradhan"/>
    <n v="32"/>
    <x v="2"/>
    <x v="5"/>
    <s v="Associate"/>
    <n v="74893"/>
    <x v="4"/>
    <s v="Single"/>
    <d v="2017-02-24T00:00:00"/>
    <x v="2"/>
    <n v="9"/>
    <x v="0"/>
    <x v="2"/>
    <x v="4"/>
    <x v="2"/>
  </r>
  <r>
    <s v="EMP2002"/>
    <s v="Rahul Mishra"/>
    <n v="28"/>
    <x v="0"/>
    <x v="3"/>
    <s v="Junior Analyst"/>
    <n v="119500"/>
    <x v="4"/>
    <s v="Divorced"/>
    <d v="2025-11-17T00:00:00"/>
    <x v="9"/>
    <n v="0"/>
    <x v="0"/>
    <x v="4"/>
    <x v="5"/>
    <x v="2"/>
  </r>
  <r>
    <s v="EMP2003"/>
    <s v="Karan Nanda"/>
    <n v="32"/>
    <x v="0"/>
    <x v="4"/>
    <s v="Senior Analyst"/>
    <n v="83647"/>
    <x v="3"/>
    <s v="Divorced"/>
    <d v="2022-06-14T00:00:00"/>
    <x v="5"/>
    <n v="5"/>
    <x v="0"/>
    <x v="2"/>
    <x v="1"/>
    <x v="2"/>
  </r>
  <r>
    <s v="EMP2004"/>
    <s v="Tarun Singh"/>
    <n v="44"/>
    <x v="0"/>
    <x v="7"/>
    <s v="Associate"/>
    <n v="34671"/>
    <x v="4"/>
    <s v="Married"/>
    <d v="2017-04-26T00:00:00"/>
    <x v="2"/>
    <n v="7"/>
    <x v="0"/>
    <x v="3"/>
    <x v="4"/>
    <x v="0"/>
  </r>
  <r>
    <s v="EMP2005"/>
    <s v="Rahul Reddy"/>
    <n v="54"/>
    <x v="1"/>
    <x v="6"/>
    <s v="Associate"/>
    <n v="47362"/>
    <x v="3"/>
    <s v="Married"/>
    <d v="2020-07-25T00:00:00"/>
    <x v="7"/>
    <n v="4"/>
    <x v="1"/>
    <x v="2"/>
    <x v="5"/>
    <x v="3"/>
  </r>
  <r>
    <s v="EMP2006"/>
    <s v="Rohit Sharma"/>
    <n v="54"/>
    <x v="2"/>
    <x v="0"/>
    <s v="Team Lead"/>
    <n v="85863"/>
    <x v="4"/>
    <s v="Married"/>
    <d v="2020-08-30T00:00:00"/>
    <x v="7"/>
    <n v="2"/>
    <x v="0"/>
    <x v="0"/>
    <x v="2"/>
    <x v="3"/>
  </r>
  <r>
    <s v="EMP2007"/>
    <s v="Kavya Nanda"/>
    <n v="36"/>
    <x v="2"/>
    <x v="6"/>
    <s v="Senior Analyst"/>
    <n v="22230"/>
    <x v="2"/>
    <s v="Married"/>
    <d v="2018-06-08T00:00:00"/>
    <x v="1"/>
    <n v="5"/>
    <x v="1"/>
    <x v="2"/>
    <x v="5"/>
    <x v="0"/>
  </r>
  <r>
    <s v="EMP2008"/>
    <s v="Priya Reddy"/>
    <n v="41"/>
    <x v="2"/>
    <x v="6"/>
    <s v="Junior Analyst"/>
    <n v="48882"/>
    <x v="0"/>
    <s v="Divorced"/>
    <d v="2023-01-10T00:00:00"/>
    <x v="3"/>
    <n v="10"/>
    <x v="0"/>
    <x v="4"/>
    <x v="2"/>
    <x v="0"/>
  </r>
  <r>
    <s v="EMP2009"/>
    <s v="Tarun Reddy"/>
    <n v="25"/>
    <x v="2"/>
    <x v="4"/>
    <s v="Senior Analyst"/>
    <n v="34969"/>
    <x v="0"/>
    <s v="Single"/>
    <d v="2016-08-01T00:00:00"/>
    <x v="6"/>
    <n v="3"/>
    <x v="1"/>
    <x v="0"/>
    <x v="4"/>
    <x v="1"/>
  </r>
  <r>
    <s v="EMP2010"/>
    <s v="Neha Nanda"/>
    <n v="50"/>
    <x v="1"/>
    <x v="0"/>
    <s v="Manager"/>
    <n v="20810"/>
    <x v="0"/>
    <s v="Single"/>
    <d v="2022-03-06T00:00:00"/>
    <x v="5"/>
    <n v="8"/>
    <x v="1"/>
    <x v="2"/>
    <x v="1"/>
    <x v="3"/>
  </r>
  <r>
    <s v="EMP2011"/>
    <s v="Rahul Nanda"/>
    <n v="44"/>
    <x v="2"/>
    <x v="5"/>
    <s v="Intern"/>
    <n v="74324"/>
    <x v="2"/>
    <s v="Divorced"/>
    <d v="2017-09-24T00:00:00"/>
    <x v="2"/>
    <n v="2"/>
    <x v="0"/>
    <x v="3"/>
    <x v="2"/>
    <x v="0"/>
  </r>
  <r>
    <s v="EMP2012"/>
    <s v="Kavya Patel"/>
    <n v="42"/>
    <x v="0"/>
    <x v="3"/>
    <s v="Manager"/>
    <n v="75216"/>
    <x v="1"/>
    <s v="Single"/>
    <d v="2017-03-20T00:00:00"/>
    <x v="2"/>
    <n v="8"/>
    <x v="0"/>
    <x v="1"/>
    <x v="0"/>
    <x v="0"/>
  </r>
  <r>
    <s v="EMP2013"/>
    <s v="Karan Reddy"/>
    <n v="22"/>
    <x v="0"/>
    <x v="0"/>
    <s v="Manager"/>
    <n v="25455"/>
    <x v="0"/>
    <s v="Single"/>
    <d v="2021-02-07T00:00:00"/>
    <x v="8"/>
    <n v="9"/>
    <x v="0"/>
    <x v="4"/>
    <x v="7"/>
    <x v="1"/>
  </r>
  <r>
    <s v="EMP2014"/>
    <s v="Neha Patel"/>
    <n v="58"/>
    <x v="2"/>
    <x v="0"/>
    <s v="Executive"/>
    <n v="56327"/>
    <x v="4"/>
    <s v="Married"/>
    <d v="2021-07-21T00:00:00"/>
    <x v="8"/>
    <n v="4"/>
    <x v="0"/>
    <x v="2"/>
    <x v="2"/>
    <x v="3"/>
  </r>
  <r>
    <s v="EMP2015"/>
    <s v="Rohit Reddy"/>
    <n v="33"/>
    <x v="1"/>
    <x v="3"/>
    <s v="Junior Analyst"/>
    <n v="46873"/>
    <x v="3"/>
    <s v="Married"/>
    <d v="2024-12-07T00:00:00"/>
    <x v="0"/>
    <n v="11"/>
    <x v="1"/>
    <x v="1"/>
    <x v="3"/>
    <x v="2"/>
  </r>
  <r>
    <s v="EMP2016"/>
    <s v="Neha Singh"/>
    <n v="54"/>
    <x v="2"/>
    <x v="7"/>
    <s v="Senior Analyst"/>
    <n v="25077"/>
    <x v="2"/>
    <s v="Divorced"/>
    <d v="2023-02-28T00:00:00"/>
    <x v="3"/>
    <n v="9"/>
    <x v="1"/>
    <x v="4"/>
    <x v="2"/>
    <x v="3"/>
  </r>
  <r>
    <s v="EMP2017"/>
    <s v="Priya Pradhan"/>
    <n v="53"/>
    <x v="0"/>
    <x v="2"/>
    <s v="Team Lead"/>
    <n v="115243"/>
    <x v="1"/>
    <s v="Single"/>
    <d v="2020-05-12T00:00:00"/>
    <x v="7"/>
    <n v="6"/>
    <x v="0"/>
    <x v="2"/>
    <x v="4"/>
    <x v="3"/>
  </r>
  <r>
    <s v="EMP2018"/>
    <s v="Isha Singh"/>
    <n v="49"/>
    <x v="0"/>
    <x v="6"/>
    <s v="Associate"/>
    <n v="83392"/>
    <x v="0"/>
    <s v="Married"/>
    <d v="2019-04-21T00:00:00"/>
    <x v="4"/>
    <n v="7"/>
    <x v="1"/>
    <x v="4"/>
    <x v="2"/>
    <x v="3"/>
  </r>
  <r>
    <s v="EMP2019"/>
    <s v="Rahul Patel"/>
    <n v="44"/>
    <x v="1"/>
    <x v="6"/>
    <s v="Junior Analyst"/>
    <n v="68146"/>
    <x v="2"/>
    <s v="Single"/>
    <d v="2018-09-14T00:00:00"/>
    <x v="1"/>
    <n v="2"/>
    <x v="0"/>
    <x v="3"/>
    <x v="5"/>
    <x v="0"/>
  </r>
  <r>
    <s v="EMP2020"/>
    <s v="Tarun Reddy"/>
    <n v="23"/>
    <x v="2"/>
    <x v="2"/>
    <s v="Team Lead"/>
    <n v="22103"/>
    <x v="3"/>
    <s v="Single"/>
    <d v="2023-01-05T00:00:00"/>
    <x v="3"/>
    <n v="10"/>
    <x v="1"/>
    <x v="4"/>
    <x v="4"/>
    <x v="1"/>
  </r>
  <r>
    <s v="EMP2021"/>
    <s v="Rahul Patel"/>
    <n v="47"/>
    <x v="1"/>
    <x v="6"/>
    <s v="Team Lead"/>
    <n v="32314"/>
    <x v="2"/>
    <s v="Divorced"/>
    <d v="2023-10-15T00:00:00"/>
    <x v="3"/>
    <n v="1"/>
    <x v="1"/>
    <x v="0"/>
    <x v="1"/>
    <x v="3"/>
  </r>
  <r>
    <s v="EMP2022"/>
    <s v="Tarun Reddy"/>
    <n v="56"/>
    <x v="2"/>
    <x v="2"/>
    <s v="Junior Analyst"/>
    <n v="39305"/>
    <x v="2"/>
    <s v="Divorced"/>
    <d v="2018-11-09T00:00:00"/>
    <x v="1"/>
    <n v="0"/>
    <x v="0"/>
    <x v="2"/>
    <x v="3"/>
    <x v="3"/>
  </r>
  <r>
    <s v="EMP2023"/>
    <s v="Rohit Sharma"/>
    <n v="35"/>
    <x v="2"/>
    <x v="2"/>
    <s v="Team Lead"/>
    <n v="62241"/>
    <x v="2"/>
    <s v="Single"/>
    <d v="2023-02-02T00:00:00"/>
    <x v="3"/>
    <n v="9"/>
    <x v="1"/>
    <x v="4"/>
    <x v="3"/>
    <x v="2"/>
  </r>
  <r>
    <s v="EMP2024"/>
    <s v="Rohit Mishra"/>
    <n v="58"/>
    <x v="0"/>
    <x v="7"/>
    <s v="Team Lead"/>
    <n v="58225"/>
    <x v="3"/>
    <s v="Married"/>
    <d v="2025-09-09T00:00:00"/>
    <x v="9"/>
    <n v="2"/>
    <x v="0"/>
    <x v="3"/>
    <x v="1"/>
    <x v="3"/>
  </r>
  <r>
    <s v="EMP2025"/>
    <s v="Rahul Nanda"/>
    <n v="20"/>
    <x v="1"/>
    <x v="6"/>
    <s v="Junior Analyst"/>
    <n v="65018"/>
    <x v="4"/>
    <s v="Single"/>
    <d v="2020-10-07T00:00:00"/>
    <x v="7"/>
    <n v="1"/>
    <x v="0"/>
    <x v="0"/>
    <x v="2"/>
    <x v="1"/>
  </r>
  <r>
    <s v="EMP2026"/>
    <s v="Rohit Reddy"/>
    <n v="55"/>
    <x v="1"/>
    <x v="7"/>
    <s v="Executive"/>
    <n v="75729"/>
    <x v="3"/>
    <s v="Married"/>
    <d v="2019-02-05T00:00:00"/>
    <x v="4"/>
    <n v="9"/>
    <x v="1"/>
    <x v="1"/>
    <x v="4"/>
    <x v="3"/>
  </r>
  <r>
    <s v="EMP2027"/>
    <s v="Amit Pradhan"/>
    <n v="23"/>
    <x v="0"/>
    <x v="7"/>
    <s v="Manager"/>
    <n v="103799"/>
    <x v="1"/>
    <s v="Divorced"/>
    <d v="2021-11-13T00:00:00"/>
    <x v="8"/>
    <n v="0"/>
    <x v="1"/>
    <x v="0"/>
    <x v="6"/>
    <x v="1"/>
  </r>
  <r>
    <s v="EMP2028"/>
    <s v="Rahul Reddy"/>
    <n v="34"/>
    <x v="0"/>
    <x v="2"/>
    <s v="Manager"/>
    <n v="51743"/>
    <x v="3"/>
    <s v="Divorced"/>
    <d v="2024-03-29T00:00:00"/>
    <x v="0"/>
    <n v="8"/>
    <x v="0"/>
    <x v="0"/>
    <x v="4"/>
    <x v="2"/>
  </r>
  <r>
    <s v="EMP2029"/>
    <s v="Neha Sharma"/>
    <n v="24"/>
    <x v="2"/>
    <x v="4"/>
    <s v="Team Lead"/>
    <n v="32835"/>
    <x v="0"/>
    <s v="Single"/>
    <d v="2018-06-22T00:00:00"/>
    <x v="1"/>
    <n v="5"/>
    <x v="1"/>
    <x v="0"/>
    <x v="6"/>
    <x v="1"/>
  </r>
  <r>
    <s v="EMP2030"/>
    <s v="Tarun Sharma"/>
    <n v="47"/>
    <x v="1"/>
    <x v="5"/>
    <s v="Senior Analyst"/>
    <n v="21236"/>
    <x v="4"/>
    <s v="Married"/>
    <d v="2019-12-11T00:00:00"/>
    <x v="4"/>
    <n v="11"/>
    <x v="1"/>
    <x v="4"/>
    <x v="1"/>
    <x v="3"/>
  </r>
  <r>
    <s v="EMP2031"/>
    <s v="Rohit Reddy"/>
    <n v="21"/>
    <x v="0"/>
    <x v="3"/>
    <s v="Senior Analyst"/>
    <n v="23847"/>
    <x v="1"/>
    <s v="Divorced"/>
    <d v="2016-06-21T00:00:00"/>
    <x v="6"/>
    <n v="5"/>
    <x v="0"/>
    <x v="0"/>
    <x v="4"/>
    <x v="1"/>
  </r>
  <r>
    <s v="EMP2032"/>
    <s v="Neha Reddy"/>
    <n v="52"/>
    <x v="2"/>
    <x v="3"/>
    <s v="Junior Analyst"/>
    <n v="46163"/>
    <x v="4"/>
    <s v="Single"/>
    <d v="2023-07-22T00:00:00"/>
    <x v="3"/>
    <n v="4"/>
    <x v="0"/>
    <x v="3"/>
    <x v="2"/>
    <x v="3"/>
  </r>
  <r>
    <s v="EMP2033"/>
    <s v="Sneha Pradhan"/>
    <n v="56"/>
    <x v="2"/>
    <x v="1"/>
    <s v="Intern"/>
    <n v="88643"/>
    <x v="0"/>
    <s v="Divorced"/>
    <d v="2025-02-19T00:00:00"/>
    <x v="9"/>
    <n v="9"/>
    <x v="0"/>
    <x v="0"/>
    <x v="1"/>
    <x v="3"/>
  </r>
  <r>
    <s v="EMP2034"/>
    <s v="Karan Reddy"/>
    <n v="48"/>
    <x v="1"/>
    <x v="2"/>
    <s v="Associate"/>
    <n v="43562"/>
    <x v="4"/>
    <s v="Married"/>
    <d v="2018-12-03T00:00:00"/>
    <x v="1"/>
    <n v="11"/>
    <x v="1"/>
    <x v="1"/>
    <x v="6"/>
    <x v="3"/>
  </r>
  <r>
    <s v="EMP2035"/>
    <s v="Priya Nanda"/>
    <n v="40"/>
    <x v="2"/>
    <x v="7"/>
    <s v="Executive"/>
    <n v="108842"/>
    <x v="2"/>
    <s v="Divorced"/>
    <d v="2020-10-13T00:00:00"/>
    <x v="7"/>
    <n v="1"/>
    <x v="1"/>
    <x v="2"/>
    <x v="6"/>
    <x v="0"/>
  </r>
  <r>
    <s v="EMP2036"/>
    <s v="Karan Reddy"/>
    <n v="24"/>
    <x v="1"/>
    <x v="4"/>
    <s v="Executive"/>
    <n v="97327"/>
    <x v="2"/>
    <s v="Married"/>
    <d v="2018-10-06T00:00:00"/>
    <x v="1"/>
    <n v="1"/>
    <x v="0"/>
    <x v="0"/>
    <x v="4"/>
    <x v="1"/>
  </r>
  <r>
    <s v="EMP2037"/>
    <s v="Tarun Singh"/>
    <n v="57"/>
    <x v="2"/>
    <x v="5"/>
    <s v="Senior Analyst"/>
    <n v="97370"/>
    <x v="3"/>
    <s v="Married"/>
    <d v="2019-09-15T00:00:00"/>
    <x v="4"/>
    <n v="2"/>
    <x v="0"/>
    <x v="2"/>
    <x v="0"/>
    <x v="3"/>
  </r>
  <r>
    <s v="EMP2038"/>
    <s v="Tarun Reddy"/>
    <n v="29"/>
    <x v="2"/>
    <x v="4"/>
    <s v="Associate"/>
    <n v="100920"/>
    <x v="1"/>
    <s v="Single"/>
    <d v="2021-04-11T00:00:00"/>
    <x v="8"/>
    <n v="7"/>
    <x v="0"/>
    <x v="1"/>
    <x v="2"/>
    <x v="2"/>
  </r>
  <r>
    <s v="EMP2039"/>
    <s v="Tarun Patel"/>
    <n v="55"/>
    <x v="2"/>
    <x v="4"/>
    <s v="Manager"/>
    <n v="115367"/>
    <x v="1"/>
    <s v="Single"/>
    <d v="2025-07-15T00:00:00"/>
    <x v="9"/>
    <n v="4"/>
    <x v="1"/>
    <x v="2"/>
    <x v="5"/>
    <x v="3"/>
  </r>
  <r>
    <s v="EMP2040"/>
    <s v="Sneha Pradhan"/>
    <n v="52"/>
    <x v="2"/>
    <x v="1"/>
    <s v="Senior Analyst"/>
    <n v="73359"/>
    <x v="1"/>
    <s v="Married"/>
    <d v="2024-01-01T00:00:00"/>
    <x v="0"/>
    <n v="10"/>
    <x v="0"/>
    <x v="4"/>
    <x v="2"/>
    <x v="3"/>
  </r>
  <r>
    <s v="EMP2041"/>
    <s v="Neha Mishra"/>
    <n v="41"/>
    <x v="2"/>
    <x v="7"/>
    <s v="Manager"/>
    <n v="112657"/>
    <x v="0"/>
    <s v="Divorced"/>
    <d v="2020-03-01T00:00:00"/>
    <x v="7"/>
    <n v="8"/>
    <x v="1"/>
    <x v="3"/>
    <x v="1"/>
    <x v="0"/>
  </r>
  <r>
    <s v="EMP2042"/>
    <s v="Tarun Patel"/>
    <n v="50"/>
    <x v="2"/>
    <x v="5"/>
    <s v="Executive"/>
    <n v="114133"/>
    <x v="4"/>
    <s v="Divorced"/>
    <d v="2017-02-15T00:00:00"/>
    <x v="2"/>
    <n v="9"/>
    <x v="0"/>
    <x v="2"/>
    <x v="6"/>
    <x v="3"/>
  </r>
  <r>
    <s v="EMP2043"/>
    <s v="Isha Nanda"/>
    <n v="40"/>
    <x v="1"/>
    <x v="5"/>
    <s v="Intern"/>
    <n v="84672"/>
    <x v="4"/>
    <s v="Married"/>
    <d v="2024-11-08T00:00:00"/>
    <x v="0"/>
    <n v="0"/>
    <x v="0"/>
    <x v="1"/>
    <x v="3"/>
    <x v="0"/>
  </r>
  <r>
    <s v="EMP2044"/>
    <s v="Isha Patel"/>
    <n v="23"/>
    <x v="2"/>
    <x v="1"/>
    <s v="Senior Analyst"/>
    <n v="55389"/>
    <x v="2"/>
    <s v="Married"/>
    <d v="2024-09-04T00:00:00"/>
    <x v="0"/>
    <n v="2"/>
    <x v="0"/>
    <x v="1"/>
    <x v="7"/>
    <x v="1"/>
  </r>
  <r>
    <s v="EMP2045"/>
    <s v="Priya Nanda"/>
    <n v="53"/>
    <x v="1"/>
    <x v="3"/>
    <s v="Senior Analyst"/>
    <n v="31037"/>
    <x v="3"/>
    <s v="Single"/>
    <d v="2017-07-07T00:00:00"/>
    <x v="2"/>
    <n v="4"/>
    <x v="1"/>
    <x v="4"/>
    <x v="1"/>
    <x v="3"/>
  </r>
  <r>
    <s v="EMP2046"/>
    <s v="Isha Pradhan"/>
    <n v="30"/>
    <x v="1"/>
    <x v="2"/>
    <s v="Associate"/>
    <n v="97451"/>
    <x v="0"/>
    <s v="Single"/>
    <d v="2023-08-29T00:00:00"/>
    <x v="3"/>
    <n v="3"/>
    <x v="1"/>
    <x v="1"/>
    <x v="2"/>
    <x v="2"/>
  </r>
  <r>
    <s v="EMP2047"/>
    <s v="Priya Reddy"/>
    <n v="52"/>
    <x v="0"/>
    <x v="6"/>
    <s v="Manager"/>
    <n v="96432"/>
    <x v="4"/>
    <s v="Divorced"/>
    <d v="2025-02-22T00:00:00"/>
    <x v="9"/>
    <n v="9"/>
    <x v="0"/>
    <x v="2"/>
    <x v="1"/>
    <x v="3"/>
  </r>
  <r>
    <s v="EMP2048"/>
    <s v="Rahul Patel"/>
    <n v="33"/>
    <x v="1"/>
    <x v="1"/>
    <s v="Junior Analyst"/>
    <n v="113956"/>
    <x v="4"/>
    <s v="Single"/>
    <d v="2025-07-03T00:00:00"/>
    <x v="9"/>
    <n v="4"/>
    <x v="1"/>
    <x v="4"/>
    <x v="2"/>
    <x v="2"/>
  </r>
  <r>
    <s v="EMP2049"/>
    <s v="Sneha Nanda"/>
    <n v="47"/>
    <x v="1"/>
    <x v="2"/>
    <s v="Associate"/>
    <n v="29385"/>
    <x v="1"/>
    <s v="Married"/>
    <d v="2024-05-22T00:00:00"/>
    <x v="0"/>
    <n v="6"/>
    <x v="0"/>
    <x v="4"/>
    <x v="2"/>
    <x v="3"/>
  </r>
  <r>
    <s v="EMP2050"/>
    <s v="Priya Singh"/>
    <n v="24"/>
    <x v="1"/>
    <x v="5"/>
    <s v="Senior Analyst"/>
    <n v="84461"/>
    <x v="3"/>
    <s v="Married"/>
    <d v="2023-04-05T00:00:00"/>
    <x v="3"/>
    <n v="7"/>
    <x v="0"/>
    <x v="4"/>
    <x v="7"/>
    <x v="1"/>
  </r>
  <r>
    <s v="EMP2051"/>
    <s v="Tarun Sharma"/>
    <n v="53"/>
    <x v="1"/>
    <x v="0"/>
    <s v="Intern"/>
    <n v="91160"/>
    <x v="0"/>
    <s v="Divorced"/>
    <d v="2023-03-22T00:00:00"/>
    <x v="3"/>
    <n v="8"/>
    <x v="0"/>
    <x v="1"/>
    <x v="5"/>
    <x v="3"/>
  </r>
  <r>
    <s v="EMP2052"/>
    <s v="Kavya Nanda"/>
    <n v="34"/>
    <x v="2"/>
    <x v="0"/>
    <s v="Junior Analyst"/>
    <n v="52771"/>
    <x v="1"/>
    <s v="Married"/>
    <d v="2025-04-24T00:00:00"/>
    <x v="9"/>
    <n v="7"/>
    <x v="0"/>
    <x v="3"/>
    <x v="3"/>
    <x v="2"/>
  </r>
  <r>
    <s v="EMP2053"/>
    <s v="Amit Pradhan"/>
    <n v="25"/>
    <x v="2"/>
    <x v="0"/>
    <s v="Junior Analyst"/>
    <n v="18419"/>
    <x v="0"/>
    <s v="Married"/>
    <d v="2022-06-10T00:00:00"/>
    <x v="5"/>
    <n v="5"/>
    <x v="0"/>
    <x v="1"/>
    <x v="7"/>
    <x v="1"/>
  </r>
  <r>
    <s v="EMP2054"/>
    <s v="Tarun Singh"/>
    <n v="36"/>
    <x v="2"/>
    <x v="1"/>
    <s v="Team Lead"/>
    <n v="100709"/>
    <x v="1"/>
    <s v="Divorced"/>
    <d v="2020-02-05T00:00:00"/>
    <x v="7"/>
    <n v="9"/>
    <x v="1"/>
    <x v="0"/>
    <x v="5"/>
    <x v="0"/>
  </r>
  <r>
    <s v="EMP2055"/>
    <s v="Rohit Mishra"/>
    <n v="34"/>
    <x v="1"/>
    <x v="4"/>
    <s v="Associate"/>
    <n v="82254"/>
    <x v="2"/>
    <s v="Divorced"/>
    <d v="2020-03-10T00:00:00"/>
    <x v="7"/>
    <n v="8"/>
    <x v="1"/>
    <x v="4"/>
    <x v="2"/>
    <x v="2"/>
  </r>
  <r>
    <s v="EMP2056"/>
    <s v="Priya Sharma"/>
    <n v="38"/>
    <x v="1"/>
    <x v="4"/>
    <s v="Executive"/>
    <n v="60650"/>
    <x v="2"/>
    <s v="Single"/>
    <d v="2018-02-28T00:00:00"/>
    <x v="1"/>
    <n v="9"/>
    <x v="1"/>
    <x v="4"/>
    <x v="2"/>
    <x v="0"/>
  </r>
  <r>
    <s v="EMP2057"/>
    <s v="Neha Singh"/>
    <n v="45"/>
    <x v="2"/>
    <x v="5"/>
    <s v="Junior Analyst"/>
    <n v="119408"/>
    <x v="2"/>
    <s v="Divorced"/>
    <d v="2020-10-21T00:00:00"/>
    <x v="7"/>
    <n v="1"/>
    <x v="0"/>
    <x v="2"/>
    <x v="3"/>
    <x v="0"/>
  </r>
  <r>
    <s v="EMP2058"/>
    <s v="Rohit Reddy"/>
    <n v="33"/>
    <x v="1"/>
    <x v="6"/>
    <s v="Associate"/>
    <n v="91696"/>
    <x v="3"/>
    <s v="Married"/>
    <d v="2023-10-03T00:00:00"/>
    <x v="3"/>
    <n v="1"/>
    <x v="1"/>
    <x v="3"/>
    <x v="0"/>
    <x v="2"/>
  </r>
  <r>
    <s v="EMP2059"/>
    <s v="Isha Nanda"/>
    <n v="45"/>
    <x v="1"/>
    <x v="6"/>
    <s v="Junior Analyst"/>
    <n v="53168"/>
    <x v="1"/>
    <s v="Married"/>
    <d v="2023-04-28T00:00:00"/>
    <x v="3"/>
    <n v="7"/>
    <x v="0"/>
    <x v="4"/>
    <x v="1"/>
    <x v="0"/>
  </r>
  <r>
    <s v="EMP2060"/>
    <s v="Tarun Pradhan"/>
    <n v="56"/>
    <x v="0"/>
    <x v="0"/>
    <s v="Manager"/>
    <n v="99957"/>
    <x v="4"/>
    <s v="Divorced"/>
    <d v="2019-11-19T00:00:00"/>
    <x v="4"/>
    <n v="0"/>
    <x v="0"/>
    <x v="0"/>
    <x v="7"/>
    <x v="3"/>
  </r>
  <r>
    <s v="EMP2061"/>
    <s v="Rahul Mishra"/>
    <n v="44"/>
    <x v="0"/>
    <x v="3"/>
    <s v="Associate"/>
    <n v="64229"/>
    <x v="4"/>
    <s v="Single"/>
    <d v="2023-07-13T00:00:00"/>
    <x v="3"/>
    <n v="4"/>
    <x v="0"/>
    <x v="0"/>
    <x v="4"/>
    <x v="0"/>
  </r>
  <r>
    <s v="EMP2062"/>
    <s v="Neha Reddy"/>
    <n v="32"/>
    <x v="0"/>
    <x v="1"/>
    <s v="Executive"/>
    <n v="112086"/>
    <x v="3"/>
    <s v="Single"/>
    <d v="2020-05-18T00:00:00"/>
    <x v="7"/>
    <n v="6"/>
    <x v="1"/>
    <x v="3"/>
    <x v="4"/>
    <x v="2"/>
  </r>
  <r>
    <s v="EMP2063"/>
    <s v="Karan Singh"/>
    <n v="35"/>
    <x v="0"/>
    <x v="6"/>
    <s v="Associate"/>
    <n v="20625"/>
    <x v="4"/>
    <s v="Single"/>
    <d v="2021-10-23T00:00:00"/>
    <x v="8"/>
    <n v="1"/>
    <x v="1"/>
    <x v="3"/>
    <x v="7"/>
    <x v="2"/>
  </r>
  <r>
    <s v="EMP2064"/>
    <s v="Amit Patel"/>
    <n v="39"/>
    <x v="0"/>
    <x v="0"/>
    <s v="Associate"/>
    <n v="100779"/>
    <x v="1"/>
    <s v="Single"/>
    <d v="2019-03-29T00:00:00"/>
    <x v="4"/>
    <n v="8"/>
    <x v="0"/>
    <x v="3"/>
    <x v="0"/>
    <x v="0"/>
  </r>
  <r>
    <s v="EMP2065"/>
    <s v="Amit Mishra"/>
    <n v="37"/>
    <x v="0"/>
    <x v="7"/>
    <s v="Team Lead"/>
    <n v="27684"/>
    <x v="2"/>
    <s v="Single"/>
    <d v="2016-05-08T00:00:00"/>
    <x v="6"/>
    <n v="6"/>
    <x v="0"/>
    <x v="2"/>
    <x v="0"/>
    <x v="0"/>
  </r>
  <r>
    <s v="EMP2066"/>
    <s v="Priya Mishra"/>
    <n v="58"/>
    <x v="1"/>
    <x v="3"/>
    <s v="Team Lead"/>
    <n v="73725"/>
    <x v="0"/>
    <s v="Married"/>
    <d v="2019-04-05T00:00:00"/>
    <x v="4"/>
    <n v="7"/>
    <x v="1"/>
    <x v="1"/>
    <x v="2"/>
    <x v="3"/>
  </r>
  <r>
    <s v="EMP2067"/>
    <s v="Rohit Singh"/>
    <n v="56"/>
    <x v="1"/>
    <x v="1"/>
    <s v="Junior Analyst"/>
    <n v="56173"/>
    <x v="0"/>
    <s v="Single"/>
    <d v="2020-09-28T00:00:00"/>
    <x v="7"/>
    <n v="2"/>
    <x v="1"/>
    <x v="3"/>
    <x v="3"/>
    <x v="3"/>
  </r>
  <r>
    <s v="EMP2068"/>
    <s v="Karan Reddy"/>
    <n v="35"/>
    <x v="1"/>
    <x v="6"/>
    <s v="Intern"/>
    <n v="83147"/>
    <x v="2"/>
    <s v="Married"/>
    <d v="2024-09-27T00:00:00"/>
    <x v="0"/>
    <n v="2"/>
    <x v="0"/>
    <x v="3"/>
    <x v="4"/>
    <x v="2"/>
  </r>
  <r>
    <s v="EMP2069"/>
    <s v="Kavya Sharma"/>
    <n v="45"/>
    <x v="0"/>
    <x v="4"/>
    <s v="Junior Analyst"/>
    <n v="66473"/>
    <x v="4"/>
    <s v="Single"/>
    <d v="2023-05-24T00:00:00"/>
    <x v="3"/>
    <n v="6"/>
    <x v="1"/>
    <x v="4"/>
    <x v="5"/>
    <x v="0"/>
  </r>
  <r>
    <s v="EMP2070"/>
    <s v="Sneha Sharma"/>
    <n v="55"/>
    <x v="0"/>
    <x v="0"/>
    <s v="Team Lead"/>
    <n v="82200"/>
    <x v="1"/>
    <s v="Single"/>
    <d v="2017-10-08T00:00:00"/>
    <x v="2"/>
    <n v="1"/>
    <x v="1"/>
    <x v="0"/>
    <x v="1"/>
    <x v="3"/>
  </r>
  <r>
    <s v="EMP2071"/>
    <s v="Karan Singh"/>
    <n v="56"/>
    <x v="0"/>
    <x v="6"/>
    <s v="Junior Analyst"/>
    <n v="118585"/>
    <x v="3"/>
    <s v="Married"/>
    <d v="2019-09-05T00:00:00"/>
    <x v="4"/>
    <n v="2"/>
    <x v="1"/>
    <x v="1"/>
    <x v="7"/>
    <x v="3"/>
  </r>
  <r>
    <s v="EMP2072"/>
    <s v="Neha Singh"/>
    <n v="56"/>
    <x v="2"/>
    <x v="1"/>
    <s v="Senior Analyst"/>
    <n v="18730"/>
    <x v="1"/>
    <s v="Divorced"/>
    <d v="2025-02-05T00:00:00"/>
    <x v="9"/>
    <n v="9"/>
    <x v="1"/>
    <x v="0"/>
    <x v="1"/>
    <x v="3"/>
  </r>
  <r>
    <s v="EMP2073"/>
    <s v="Neha Singh"/>
    <n v="35"/>
    <x v="1"/>
    <x v="4"/>
    <s v="Junior Analyst"/>
    <n v="110912"/>
    <x v="4"/>
    <s v="Divorced"/>
    <d v="2025-10-25T00:00:00"/>
    <x v="9"/>
    <n v="1"/>
    <x v="0"/>
    <x v="2"/>
    <x v="0"/>
    <x v="2"/>
  </r>
  <r>
    <s v="EMP2074"/>
    <s v="Sneha Nanda"/>
    <n v="28"/>
    <x v="0"/>
    <x v="5"/>
    <s v="Intern"/>
    <n v="86149"/>
    <x v="0"/>
    <s v="Single"/>
    <d v="2018-05-26T00:00:00"/>
    <x v="1"/>
    <n v="6"/>
    <x v="1"/>
    <x v="2"/>
    <x v="7"/>
    <x v="2"/>
  </r>
  <r>
    <s v="EMP2075"/>
    <s v="Tarun Nanda"/>
    <n v="30"/>
    <x v="2"/>
    <x v="4"/>
    <s v="Intern"/>
    <n v="36332"/>
    <x v="4"/>
    <s v="Married"/>
    <d v="2020-08-30T00:00:00"/>
    <x v="7"/>
    <n v="2"/>
    <x v="0"/>
    <x v="4"/>
    <x v="2"/>
    <x v="2"/>
  </r>
  <r>
    <s v="EMP2076"/>
    <s v="Tarun Patel"/>
    <n v="37"/>
    <x v="2"/>
    <x v="3"/>
    <s v="Senior Analyst"/>
    <n v="98622"/>
    <x v="4"/>
    <s v="Divorced"/>
    <d v="2018-01-17T00:00:00"/>
    <x v="1"/>
    <n v="10"/>
    <x v="0"/>
    <x v="4"/>
    <x v="4"/>
    <x v="0"/>
  </r>
  <r>
    <s v="EMP2077"/>
    <s v="Kavya Singh"/>
    <n v="43"/>
    <x v="2"/>
    <x v="2"/>
    <s v="Junior Analyst"/>
    <n v="79880"/>
    <x v="1"/>
    <s v="Married"/>
    <d v="2024-07-23T00:00:00"/>
    <x v="0"/>
    <n v="4"/>
    <x v="0"/>
    <x v="1"/>
    <x v="1"/>
    <x v="0"/>
  </r>
  <r>
    <s v="EMP2078"/>
    <s v="Rahul Patel"/>
    <n v="46"/>
    <x v="0"/>
    <x v="5"/>
    <s v="Manager"/>
    <n v="79668"/>
    <x v="0"/>
    <s v="Married"/>
    <d v="2024-01-20T00:00:00"/>
    <x v="0"/>
    <n v="10"/>
    <x v="0"/>
    <x v="1"/>
    <x v="2"/>
    <x v="3"/>
  </r>
  <r>
    <s v="EMP2079"/>
    <s v="Karan Nanda"/>
    <n v="41"/>
    <x v="0"/>
    <x v="6"/>
    <s v="Junior Analyst"/>
    <n v="99916"/>
    <x v="4"/>
    <s v="Single"/>
    <d v="2016-12-07T00:00:00"/>
    <x v="6"/>
    <n v="11"/>
    <x v="1"/>
    <x v="0"/>
    <x v="4"/>
    <x v="0"/>
  </r>
  <r>
    <s v="EMP2080"/>
    <s v="Neha Singh"/>
    <n v="20"/>
    <x v="0"/>
    <x v="2"/>
    <s v="Associate"/>
    <n v="55249"/>
    <x v="2"/>
    <s v="Divorced"/>
    <d v="2024-05-13T00:00:00"/>
    <x v="0"/>
    <n v="6"/>
    <x v="1"/>
    <x v="4"/>
    <x v="0"/>
    <x v="1"/>
  </r>
  <r>
    <s v="EMP2081"/>
    <s v="Rohit Reddy"/>
    <n v="54"/>
    <x v="2"/>
    <x v="0"/>
    <s v="Team Lead"/>
    <n v="28154"/>
    <x v="1"/>
    <s v="Single"/>
    <d v="2024-05-18T00:00:00"/>
    <x v="0"/>
    <n v="6"/>
    <x v="0"/>
    <x v="4"/>
    <x v="5"/>
    <x v="3"/>
  </r>
  <r>
    <s v="EMP2082"/>
    <s v="Rohit Reddy"/>
    <n v="26"/>
    <x v="0"/>
    <x v="1"/>
    <s v="Team Lead"/>
    <n v="61274"/>
    <x v="4"/>
    <s v="Divorced"/>
    <d v="2019-04-18T00:00:00"/>
    <x v="4"/>
    <n v="7"/>
    <x v="1"/>
    <x v="1"/>
    <x v="5"/>
    <x v="2"/>
  </r>
  <r>
    <s v="EMP2083"/>
    <s v="Rahul Mishra"/>
    <n v="34"/>
    <x v="0"/>
    <x v="7"/>
    <s v="Executive"/>
    <n v="98599"/>
    <x v="1"/>
    <s v="Single"/>
    <d v="2021-07-08T00:00:00"/>
    <x v="8"/>
    <n v="4"/>
    <x v="0"/>
    <x v="4"/>
    <x v="2"/>
    <x v="2"/>
  </r>
  <r>
    <s v="EMP2084"/>
    <s v="Rahul Pradhan"/>
    <n v="52"/>
    <x v="1"/>
    <x v="1"/>
    <s v="Junior Analyst"/>
    <n v="105142"/>
    <x v="3"/>
    <s v="Married"/>
    <d v="2021-10-18T00:00:00"/>
    <x v="8"/>
    <n v="1"/>
    <x v="0"/>
    <x v="1"/>
    <x v="0"/>
    <x v="3"/>
  </r>
  <r>
    <s v="EMP2085"/>
    <s v="Tarun Mishra"/>
    <n v="44"/>
    <x v="2"/>
    <x v="4"/>
    <s v="Senior Analyst"/>
    <n v="64529"/>
    <x v="4"/>
    <s v="Married"/>
    <d v="2022-02-19T00:00:00"/>
    <x v="5"/>
    <n v="9"/>
    <x v="0"/>
    <x v="0"/>
    <x v="4"/>
    <x v="0"/>
  </r>
  <r>
    <s v="EMP2086"/>
    <s v="Amit Singh"/>
    <n v="37"/>
    <x v="2"/>
    <x v="5"/>
    <s v="Team Lead"/>
    <n v="75310"/>
    <x v="2"/>
    <s v="Married"/>
    <d v="2023-12-25T00:00:00"/>
    <x v="3"/>
    <n v="11"/>
    <x v="1"/>
    <x v="2"/>
    <x v="0"/>
    <x v="0"/>
  </r>
  <r>
    <s v="EMP2087"/>
    <s v="Neha Pradhan"/>
    <n v="21"/>
    <x v="1"/>
    <x v="4"/>
    <s v="Intern"/>
    <n v="119023"/>
    <x v="3"/>
    <s v="Divorced"/>
    <d v="2020-12-10T00:00:00"/>
    <x v="7"/>
    <n v="11"/>
    <x v="0"/>
    <x v="0"/>
    <x v="4"/>
    <x v="1"/>
  </r>
  <r>
    <s v="EMP2088"/>
    <s v="Tarun Patel"/>
    <n v="31"/>
    <x v="2"/>
    <x v="6"/>
    <s v="Junior Analyst"/>
    <n v="43668"/>
    <x v="3"/>
    <s v="Divorced"/>
    <d v="2018-05-16T00:00:00"/>
    <x v="1"/>
    <n v="6"/>
    <x v="0"/>
    <x v="0"/>
    <x v="3"/>
    <x v="2"/>
  </r>
  <r>
    <s v="EMP2089"/>
    <s v="Neha Sharma"/>
    <n v="43"/>
    <x v="1"/>
    <x v="6"/>
    <s v="Senior Analyst"/>
    <n v="97531"/>
    <x v="0"/>
    <s v="Divorced"/>
    <d v="2019-04-09T00:00:00"/>
    <x v="4"/>
    <n v="7"/>
    <x v="1"/>
    <x v="3"/>
    <x v="7"/>
    <x v="0"/>
  </r>
  <r>
    <s v="EMP2090"/>
    <s v="Rohit Patel"/>
    <n v="23"/>
    <x v="2"/>
    <x v="6"/>
    <s v="Junior Analyst"/>
    <n v="112113"/>
    <x v="4"/>
    <s v="Divorced"/>
    <d v="2021-04-13T00:00:00"/>
    <x v="8"/>
    <n v="7"/>
    <x v="1"/>
    <x v="1"/>
    <x v="1"/>
    <x v="1"/>
  </r>
  <r>
    <s v="EMP2091"/>
    <s v="Karan Mishra"/>
    <n v="26"/>
    <x v="0"/>
    <x v="3"/>
    <s v="Team Lead"/>
    <n v="21779"/>
    <x v="1"/>
    <s v="Divorced"/>
    <d v="2024-06-10T00:00:00"/>
    <x v="0"/>
    <n v="5"/>
    <x v="0"/>
    <x v="1"/>
    <x v="2"/>
    <x v="2"/>
  </r>
  <r>
    <s v="EMP2092"/>
    <s v="Tarun Mishra"/>
    <n v="27"/>
    <x v="0"/>
    <x v="4"/>
    <s v="Intern"/>
    <n v="101555"/>
    <x v="0"/>
    <s v="Married"/>
    <d v="2017-04-12T00:00:00"/>
    <x v="2"/>
    <n v="7"/>
    <x v="1"/>
    <x v="1"/>
    <x v="7"/>
    <x v="2"/>
  </r>
  <r>
    <s v="EMP2093"/>
    <s v="Neha Mishra"/>
    <n v="40"/>
    <x v="2"/>
    <x v="5"/>
    <s v="Intern"/>
    <n v="94919"/>
    <x v="3"/>
    <s v="Divorced"/>
    <d v="2016-05-06T00:00:00"/>
    <x v="6"/>
    <n v="6"/>
    <x v="1"/>
    <x v="3"/>
    <x v="7"/>
    <x v="0"/>
  </r>
  <r>
    <s v="EMP2094"/>
    <s v="Sneha Pradhan"/>
    <n v="52"/>
    <x v="0"/>
    <x v="2"/>
    <s v="Executive"/>
    <n v="29005"/>
    <x v="2"/>
    <s v="Single"/>
    <d v="2019-04-11T00:00:00"/>
    <x v="4"/>
    <n v="7"/>
    <x v="0"/>
    <x v="0"/>
    <x v="0"/>
    <x v="3"/>
  </r>
  <r>
    <s v="EMP2095"/>
    <s v="Amit Singh"/>
    <n v="20"/>
    <x v="1"/>
    <x v="2"/>
    <s v="Senior Analyst"/>
    <n v="91473"/>
    <x v="0"/>
    <s v="Married"/>
    <d v="2021-05-31T00:00:00"/>
    <x v="8"/>
    <n v="5"/>
    <x v="0"/>
    <x v="0"/>
    <x v="1"/>
    <x v="1"/>
  </r>
  <r>
    <s v="EMP2096"/>
    <s v="Sneha Sharma"/>
    <n v="25"/>
    <x v="0"/>
    <x v="7"/>
    <s v="Senior Analyst"/>
    <n v="42334"/>
    <x v="4"/>
    <s v="Divorced"/>
    <d v="2016-05-30T00:00:00"/>
    <x v="6"/>
    <n v="5"/>
    <x v="0"/>
    <x v="2"/>
    <x v="4"/>
    <x v="1"/>
  </r>
  <r>
    <s v="EMP2097"/>
    <s v="Neha Nanda"/>
    <n v="25"/>
    <x v="2"/>
    <x v="0"/>
    <s v="Associate"/>
    <n v="58341"/>
    <x v="1"/>
    <s v="Divorced"/>
    <d v="2024-08-29T00:00:00"/>
    <x v="0"/>
    <n v="3"/>
    <x v="0"/>
    <x v="4"/>
    <x v="7"/>
    <x v="1"/>
  </r>
  <r>
    <s v="EMP2098"/>
    <s v="Tarun Singh"/>
    <n v="38"/>
    <x v="0"/>
    <x v="2"/>
    <s v="Team Lead"/>
    <n v="36405"/>
    <x v="3"/>
    <s v="Married"/>
    <d v="2018-09-20T00:00:00"/>
    <x v="1"/>
    <n v="2"/>
    <x v="0"/>
    <x v="4"/>
    <x v="4"/>
    <x v="0"/>
  </r>
  <r>
    <s v="EMP2099"/>
    <s v="Amit Patel"/>
    <n v="36"/>
    <x v="2"/>
    <x v="4"/>
    <s v="Manager"/>
    <n v="52674"/>
    <x v="2"/>
    <s v="Married"/>
    <d v="2022-09-04T00:00:00"/>
    <x v="5"/>
    <n v="2"/>
    <x v="1"/>
    <x v="4"/>
    <x v="1"/>
    <x v="0"/>
  </r>
  <r>
    <s v="EMP2100"/>
    <s v="Amit Sharma"/>
    <n v="57"/>
    <x v="1"/>
    <x v="5"/>
    <s v="Team Lead"/>
    <n v="88510"/>
    <x v="1"/>
    <s v="Divorced"/>
    <d v="2021-01-19T00:00:00"/>
    <x v="8"/>
    <n v="10"/>
    <x v="1"/>
    <x v="4"/>
    <x v="4"/>
    <x v="3"/>
  </r>
  <r>
    <s v="EMP2101"/>
    <s v="Neha Singh"/>
    <n v="52"/>
    <x v="2"/>
    <x v="2"/>
    <s v="Team Lead"/>
    <n v="29895"/>
    <x v="1"/>
    <s v="Married"/>
    <d v="2018-08-19T00:00:00"/>
    <x v="1"/>
    <n v="3"/>
    <x v="1"/>
    <x v="4"/>
    <x v="7"/>
    <x v="3"/>
  </r>
  <r>
    <s v="EMP2102"/>
    <s v="Sneha Reddy"/>
    <n v="31"/>
    <x v="1"/>
    <x v="5"/>
    <s v="Team Lead"/>
    <n v="79242"/>
    <x v="3"/>
    <s v="Married"/>
    <d v="2022-07-05T00:00:00"/>
    <x v="5"/>
    <n v="4"/>
    <x v="1"/>
    <x v="0"/>
    <x v="7"/>
    <x v="2"/>
  </r>
  <r>
    <s v="EMP2103"/>
    <s v="Neha Singh"/>
    <n v="26"/>
    <x v="2"/>
    <x v="3"/>
    <s v="Executive"/>
    <n v="19035"/>
    <x v="2"/>
    <s v="Married"/>
    <d v="2019-12-09T00:00:00"/>
    <x v="4"/>
    <n v="11"/>
    <x v="1"/>
    <x v="2"/>
    <x v="5"/>
    <x v="2"/>
  </r>
  <r>
    <s v="EMP2104"/>
    <s v="Neha Patel"/>
    <n v="30"/>
    <x v="1"/>
    <x v="5"/>
    <s v="Manager"/>
    <n v="116572"/>
    <x v="2"/>
    <s v="Divorced"/>
    <d v="2021-04-21T00:00:00"/>
    <x v="8"/>
    <n v="7"/>
    <x v="1"/>
    <x v="3"/>
    <x v="1"/>
    <x v="2"/>
  </r>
  <r>
    <s v="EMP2105"/>
    <s v="Priya Patel"/>
    <n v="43"/>
    <x v="2"/>
    <x v="3"/>
    <s v="Intern"/>
    <n v="81249"/>
    <x v="2"/>
    <s v="Married"/>
    <d v="2016-08-20T00:00:00"/>
    <x v="6"/>
    <n v="3"/>
    <x v="0"/>
    <x v="0"/>
    <x v="2"/>
    <x v="0"/>
  </r>
  <r>
    <s v="EMP2106"/>
    <s v="Tarun Nanda"/>
    <n v="37"/>
    <x v="2"/>
    <x v="1"/>
    <s v="Manager"/>
    <n v="95735"/>
    <x v="1"/>
    <s v="Divorced"/>
    <d v="2018-01-19T00:00:00"/>
    <x v="1"/>
    <n v="10"/>
    <x v="1"/>
    <x v="0"/>
    <x v="4"/>
    <x v="0"/>
  </r>
  <r>
    <s v="EMP2107"/>
    <s v="Kavya Mishra"/>
    <n v="28"/>
    <x v="0"/>
    <x v="3"/>
    <s v="Manager"/>
    <n v="25051"/>
    <x v="3"/>
    <s v="Single"/>
    <d v="2025-03-04T00:00:00"/>
    <x v="9"/>
    <n v="8"/>
    <x v="1"/>
    <x v="3"/>
    <x v="0"/>
    <x v="2"/>
  </r>
  <r>
    <s v="EMP2108"/>
    <s v="Amit Nanda"/>
    <n v="20"/>
    <x v="2"/>
    <x v="5"/>
    <s v="Executive"/>
    <n v="44267"/>
    <x v="3"/>
    <s v="Married"/>
    <d v="2017-02-01T00:00:00"/>
    <x v="2"/>
    <n v="9"/>
    <x v="0"/>
    <x v="1"/>
    <x v="4"/>
    <x v="1"/>
  </r>
  <r>
    <s v="EMP2109"/>
    <s v="Tarun Sharma"/>
    <n v="35"/>
    <x v="0"/>
    <x v="3"/>
    <s v="Junior Analyst"/>
    <n v="18648"/>
    <x v="1"/>
    <s v="Married"/>
    <d v="2017-04-22T00:00:00"/>
    <x v="2"/>
    <n v="7"/>
    <x v="1"/>
    <x v="0"/>
    <x v="0"/>
    <x v="2"/>
  </r>
  <r>
    <s v="EMP2110"/>
    <s v="Priya Nanda"/>
    <n v="44"/>
    <x v="1"/>
    <x v="0"/>
    <s v="Manager"/>
    <n v="118015"/>
    <x v="2"/>
    <s v="Single"/>
    <d v="2019-10-03T00:00:00"/>
    <x v="4"/>
    <n v="1"/>
    <x v="0"/>
    <x v="3"/>
    <x v="6"/>
    <x v="0"/>
  </r>
  <r>
    <s v="EMP2111"/>
    <s v="Rohit Mishra"/>
    <n v="47"/>
    <x v="2"/>
    <x v="1"/>
    <s v="Manager"/>
    <n v="88007"/>
    <x v="3"/>
    <s v="Married"/>
    <d v="2023-09-12T00:00:00"/>
    <x v="3"/>
    <n v="2"/>
    <x v="0"/>
    <x v="1"/>
    <x v="5"/>
    <x v="3"/>
  </r>
  <r>
    <s v="EMP2112"/>
    <s v="Priya Patel"/>
    <n v="43"/>
    <x v="1"/>
    <x v="6"/>
    <s v="Team Lead"/>
    <n v="98028"/>
    <x v="2"/>
    <s v="Single"/>
    <d v="2023-06-05T00:00:00"/>
    <x v="3"/>
    <n v="5"/>
    <x v="0"/>
    <x v="1"/>
    <x v="1"/>
    <x v="0"/>
  </r>
  <r>
    <s v="EMP2113"/>
    <s v="Priya Sharma"/>
    <n v="33"/>
    <x v="1"/>
    <x v="1"/>
    <s v="Senior Analyst"/>
    <n v="30170"/>
    <x v="2"/>
    <s v="Divorced"/>
    <d v="2018-03-15T00:00:00"/>
    <x v="1"/>
    <n v="8"/>
    <x v="1"/>
    <x v="1"/>
    <x v="3"/>
    <x v="2"/>
  </r>
  <r>
    <s v="EMP2114"/>
    <s v="Rohit Nanda"/>
    <n v="50"/>
    <x v="0"/>
    <x v="2"/>
    <s v="Executive"/>
    <n v="73277"/>
    <x v="1"/>
    <s v="Married"/>
    <d v="2023-11-02T00:00:00"/>
    <x v="3"/>
    <n v="0"/>
    <x v="0"/>
    <x v="3"/>
    <x v="2"/>
    <x v="3"/>
  </r>
  <r>
    <s v="EMP2115"/>
    <s v="Neha Singh"/>
    <n v="26"/>
    <x v="2"/>
    <x v="1"/>
    <s v="Executive"/>
    <n v="19602"/>
    <x v="3"/>
    <s v="Single"/>
    <d v="2022-08-18T00:00:00"/>
    <x v="5"/>
    <n v="3"/>
    <x v="1"/>
    <x v="3"/>
    <x v="7"/>
    <x v="2"/>
  </r>
  <r>
    <s v="EMP2116"/>
    <s v="Isha Singh"/>
    <n v="45"/>
    <x v="1"/>
    <x v="6"/>
    <s v="Junior Analyst"/>
    <n v="57708"/>
    <x v="3"/>
    <s v="Divorced"/>
    <d v="2023-04-19T00:00:00"/>
    <x v="3"/>
    <n v="7"/>
    <x v="0"/>
    <x v="0"/>
    <x v="1"/>
    <x v="0"/>
  </r>
  <r>
    <s v="EMP2117"/>
    <s v="Karan Patel"/>
    <n v="50"/>
    <x v="2"/>
    <x v="3"/>
    <s v="Senior Analyst"/>
    <n v="88126"/>
    <x v="0"/>
    <s v="Single"/>
    <d v="2020-12-09T00:00:00"/>
    <x v="7"/>
    <n v="11"/>
    <x v="1"/>
    <x v="2"/>
    <x v="5"/>
    <x v="3"/>
  </r>
  <r>
    <s v="EMP2118"/>
    <s v="Rahul Patel"/>
    <n v="57"/>
    <x v="1"/>
    <x v="0"/>
    <s v="Associate"/>
    <n v="85488"/>
    <x v="4"/>
    <s v="Divorced"/>
    <d v="2021-04-15T00:00:00"/>
    <x v="8"/>
    <n v="7"/>
    <x v="1"/>
    <x v="2"/>
    <x v="1"/>
    <x v="3"/>
  </r>
  <r>
    <s v="EMP2119"/>
    <s v="Rohit Sharma"/>
    <n v="27"/>
    <x v="1"/>
    <x v="4"/>
    <s v="Manager"/>
    <n v="66117"/>
    <x v="4"/>
    <s v="Divorced"/>
    <d v="2020-04-29T00:00:00"/>
    <x v="7"/>
    <n v="7"/>
    <x v="1"/>
    <x v="3"/>
    <x v="6"/>
    <x v="2"/>
  </r>
  <r>
    <s v="EMP2120"/>
    <s v="Rohit Mishra"/>
    <n v="21"/>
    <x v="2"/>
    <x v="2"/>
    <s v="Senior Analyst"/>
    <n v="41426"/>
    <x v="3"/>
    <s v="Married"/>
    <d v="2016-05-19T00:00:00"/>
    <x v="6"/>
    <n v="6"/>
    <x v="1"/>
    <x v="4"/>
    <x v="3"/>
    <x v="1"/>
  </r>
  <r>
    <s v="EMP2121"/>
    <s v="Rahul Reddy"/>
    <n v="27"/>
    <x v="1"/>
    <x v="6"/>
    <s v="Intern"/>
    <n v="87634"/>
    <x v="2"/>
    <s v="Single"/>
    <d v="2018-02-24T00:00:00"/>
    <x v="1"/>
    <n v="9"/>
    <x v="0"/>
    <x v="0"/>
    <x v="2"/>
    <x v="2"/>
  </r>
  <r>
    <s v="EMP2122"/>
    <s v="Amit Singh"/>
    <n v="29"/>
    <x v="2"/>
    <x v="4"/>
    <s v="Senior Analyst"/>
    <n v="74505"/>
    <x v="3"/>
    <s v="Married"/>
    <d v="2023-11-30T00:00:00"/>
    <x v="3"/>
    <n v="11"/>
    <x v="0"/>
    <x v="0"/>
    <x v="1"/>
    <x v="2"/>
  </r>
  <r>
    <s v="EMP2123"/>
    <s v="Rahul Sharma"/>
    <n v="40"/>
    <x v="1"/>
    <x v="6"/>
    <s v="Team Lead"/>
    <n v="37234"/>
    <x v="0"/>
    <s v="Married"/>
    <d v="2021-12-07T00:00:00"/>
    <x v="8"/>
    <n v="11"/>
    <x v="0"/>
    <x v="4"/>
    <x v="3"/>
    <x v="0"/>
  </r>
  <r>
    <s v="EMP2124"/>
    <s v="Tarun Nanda"/>
    <n v="21"/>
    <x v="0"/>
    <x v="2"/>
    <s v="Intern"/>
    <n v="112580"/>
    <x v="0"/>
    <s v="Married"/>
    <d v="2017-06-28T00:00:00"/>
    <x v="2"/>
    <n v="5"/>
    <x v="0"/>
    <x v="0"/>
    <x v="3"/>
    <x v="1"/>
  </r>
  <r>
    <s v="EMP2125"/>
    <s v="Rohit Reddy"/>
    <n v="52"/>
    <x v="2"/>
    <x v="0"/>
    <s v="Associate"/>
    <n v="108997"/>
    <x v="0"/>
    <s v="Married"/>
    <d v="2022-08-13T00:00:00"/>
    <x v="5"/>
    <n v="3"/>
    <x v="1"/>
    <x v="1"/>
    <x v="0"/>
    <x v="3"/>
  </r>
  <r>
    <s v="EMP2126"/>
    <s v="Rohit Singh"/>
    <n v="31"/>
    <x v="1"/>
    <x v="6"/>
    <s v="Junior Analyst"/>
    <n v="97249"/>
    <x v="1"/>
    <s v="Divorced"/>
    <d v="2019-05-20T00:00:00"/>
    <x v="4"/>
    <n v="6"/>
    <x v="1"/>
    <x v="2"/>
    <x v="0"/>
    <x v="2"/>
  </r>
  <r>
    <s v="EMP2127"/>
    <s v="Priya Sharma"/>
    <n v="46"/>
    <x v="2"/>
    <x v="5"/>
    <s v="Senior Analyst"/>
    <n v="54014"/>
    <x v="2"/>
    <s v="Divorced"/>
    <d v="2025-01-17T00:00:00"/>
    <x v="9"/>
    <n v="10"/>
    <x v="1"/>
    <x v="2"/>
    <x v="4"/>
    <x v="3"/>
  </r>
  <r>
    <s v="EMP2128"/>
    <s v="Priya Sharma"/>
    <n v="40"/>
    <x v="0"/>
    <x v="7"/>
    <s v="Senior Analyst"/>
    <n v="98135"/>
    <x v="4"/>
    <s v="Married"/>
    <d v="2022-10-12T00:00:00"/>
    <x v="5"/>
    <n v="1"/>
    <x v="1"/>
    <x v="0"/>
    <x v="6"/>
    <x v="0"/>
  </r>
  <r>
    <s v="EMP2129"/>
    <s v="Karan Nanda"/>
    <n v="50"/>
    <x v="2"/>
    <x v="6"/>
    <s v="Senior Analyst"/>
    <n v="62951"/>
    <x v="3"/>
    <s v="Married"/>
    <d v="2025-05-30T00:00:00"/>
    <x v="9"/>
    <n v="5"/>
    <x v="1"/>
    <x v="1"/>
    <x v="1"/>
    <x v="3"/>
  </r>
  <r>
    <s v="EMP2130"/>
    <s v="Isha Pradhan"/>
    <n v="54"/>
    <x v="2"/>
    <x v="5"/>
    <s v="Junior Analyst"/>
    <n v="106209"/>
    <x v="3"/>
    <s v="Married"/>
    <d v="2016-07-19T00:00:00"/>
    <x v="6"/>
    <n v="4"/>
    <x v="0"/>
    <x v="3"/>
    <x v="6"/>
    <x v="3"/>
  </r>
  <r>
    <s v="EMP2131"/>
    <s v="Sneha Pradhan"/>
    <n v="53"/>
    <x v="1"/>
    <x v="2"/>
    <s v="Associate"/>
    <n v="56249"/>
    <x v="3"/>
    <s v="Married"/>
    <d v="2023-10-01T00:00:00"/>
    <x v="3"/>
    <n v="1"/>
    <x v="1"/>
    <x v="2"/>
    <x v="5"/>
    <x v="3"/>
  </r>
  <r>
    <s v="EMP2132"/>
    <s v="Kavya Reddy"/>
    <n v="30"/>
    <x v="2"/>
    <x v="3"/>
    <s v="Junior Analyst"/>
    <n v="92041"/>
    <x v="2"/>
    <s v="Single"/>
    <d v="2024-08-11T00:00:00"/>
    <x v="0"/>
    <n v="3"/>
    <x v="1"/>
    <x v="0"/>
    <x v="1"/>
    <x v="2"/>
  </r>
  <r>
    <s v="EMP2133"/>
    <s v="Priya Nanda"/>
    <n v="54"/>
    <x v="0"/>
    <x v="1"/>
    <s v="Associate"/>
    <n v="97576"/>
    <x v="0"/>
    <s v="Single"/>
    <d v="2020-08-15T00:00:00"/>
    <x v="7"/>
    <n v="3"/>
    <x v="0"/>
    <x v="1"/>
    <x v="2"/>
    <x v="3"/>
  </r>
  <r>
    <s v="EMP2134"/>
    <s v="Kavya Patel"/>
    <n v="31"/>
    <x v="0"/>
    <x v="1"/>
    <s v="Junior Analyst"/>
    <n v="90098"/>
    <x v="3"/>
    <s v="Single"/>
    <d v="2020-11-15T00:00:00"/>
    <x v="7"/>
    <n v="0"/>
    <x v="1"/>
    <x v="4"/>
    <x v="6"/>
    <x v="2"/>
  </r>
  <r>
    <s v="EMP2135"/>
    <s v="Sneha Singh"/>
    <n v="40"/>
    <x v="2"/>
    <x v="1"/>
    <s v="Associate"/>
    <n v="47504"/>
    <x v="2"/>
    <s v="Married"/>
    <d v="2024-09-02T00:00:00"/>
    <x v="0"/>
    <n v="2"/>
    <x v="1"/>
    <x v="4"/>
    <x v="1"/>
    <x v="0"/>
  </r>
  <r>
    <s v="EMP2136"/>
    <s v="Amit Mishra"/>
    <n v="31"/>
    <x v="1"/>
    <x v="2"/>
    <s v="Team Lead"/>
    <n v="18437"/>
    <x v="3"/>
    <s v="Married"/>
    <d v="2023-07-18T00:00:00"/>
    <x v="3"/>
    <n v="4"/>
    <x v="0"/>
    <x v="2"/>
    <x v="0"/>
    <x v="2"/>
  </r>
  <r>
    <s v="EMP2137"/>
    <s v="Kavya Singh"/>
    <n v="46"/>
    <x v="1"/>
    <x v="1"/>
    <s v="Intern"/>
    <n v="42756"/>
    <x v="0"/>
    <s v="Divorced"/>
    <d v="2018-09-13T00:00:00"/>
    <x v="1"/>
    <n v="2"/>
    <x v="0"/>
    <x v="0"/>
    <x v="2"/>
    <x v="3"/>
  </r>
  <r>
    <s v="EMP2138"/>
    <s v="Kavya Reddy"/>
    <n v="46"/>
    <x v="0"/>
    <x v="3"/>
    <s v="Executive"/>
    <n v="97929"/>
    <x v="1"/>
    <s v="Divorced"/>
    <d v="2023-03-15T00:00:00"/>
    <x v="3"/>
    <n v="8"/>
    <x v="1"/>
    <x v="2"/>
    <x v="6"/>
    <x v="3"/>
  </r>
  <r>
    <s v="EMP2139"/>
    <s v="Rahul Singh"/>
    <n v="58"/>
    <x v="2"/>
    <x v="1"/>
    <s v="Team Lead"/>
    <n v="90359"/>
    <x v="1"/>
    <s v="Single"/>
    <d v="2021-04-27T00:00:00"/>
    <x v="8"/>
    <n v="7"/>
    <x v="1"/>
    <x v="1"/>
    <x v="5"/>
    <x v="3"/>
  </r>
  <r>
    <s v="EMP2140"/>
    <s v="Isha Singh"/>
    <n v="32"/>
    <x v="1"/>
    <x v="5"/>
    <s v="Manager"/>
    <n v="56401"/>
    <x v="0"/>
    <s v="Single"/>
    <d v="2022-08-30T00:00:00"/>
    <x v="5"/>
    <n v="2"/>
    <x v="1"/>
    <x v="3"/>
    <x v="4"/>
    <x v="2"/>
  </r>
  <r>
    <s v="EMP2141"/>
    <s v="Kavya Nanda"/>
    <n v="35"/>
    <x v="0"/>
    <x v="4"/>
    <s v="Intern"/>
    <n v="83564"/>
    <x v="0"/>
    <s v="Divorced"/>
    <d v="2025-07-31T00:00:00"/>
    <x v="9"/>
    <n v="3"/>
    <x v="1"/>
    <x v="1"/>
    <x v="4"/>
    <x v="2"/>
  </r>
  <r>
    <s v="EMP2142"/>
    <s v="Isha Singh"/>
    <n v="24"/>
    <x v="0"/>
    <x v="6"/>
    <s v="Intern"/>
    <n v="107394"/>
    <x v="2"/>
    <s v="Divorced"/>
    <d v="2021-06-16T00:00:00"/>
    <x v="8"/>
    <n v="5"/>
    <x v="1"/>
    <x v="2"/>
    <x v="0"/>
    <x v="1"/>
  </r>
  <r>
    <s v="EMP2143"/>
    <s v="Rohit Singh"/>
    <n v="54"/>
    <x v="0"/>
    <x v="6"/>
    <s v="Junior Analyst"/>
    <n v="75477"/>
    <x v="0"/>
    <s v="Married"/>
    <d v="2025-04-15T00:00:00"/>
    <x v="9"/>
    <n v="7"/>
    <x v="1"/>
    <x v="2"/>
    <x v="6"/>
    <x v="3"/>
  </r>
  <r>
    <s v="EMP2144"/>
    <s v="Tarun Singh"/>
    <n v="52"/>
    <x v="2"/>
    <x v="4"/>
    <s v="Associate"/>
    <n v="74175"/>
    <x v="0"/>
    <s v="Single"/>
    <d v="2017-10-27T00:00:00"/>
    <x v="2"/>
    <n v="1"/>
    <x v="1"/>
    <x v="0"/>
    <x v="2"/>
    <x v="3"/>
  </r>
  <r>
    <s v="EMP2145"/>
    <s v="Amit Patel"/>
    <n v="46"/>
    <x v="2"/>
    <x v="3"/>
    <s v="Executive"/>
    <n v="36605"/>
    <x v="2"/>
    <s v="Single"/>
    <d v="2019-02-25T00:00:00"/>
    <x v="4"/>
    <n v="9"/>
    <x v="0"/>
    <x v="4"/>
    <x v="2"/>
    <x v="3"/>
  </r>
  <r>
    <s v="EMP2146"/>
    <s v="Isha Singh"/>
    <n v="51"/>
    <x v="0"/>
    <x v="2"/>
    <s v="Senior Analyst"/>
    <n v="62884"/>
    <x v="2"/>
    <s v="Married"/>
    <d v="2025-01-06T00:00:00"/>
    <x v="9"/>
    <n v="10"/>
    <x v="1"/>
    <x v="4"/>
    <x v="3"/>
    <x v="3"/>
  </r>
  <r>
    <s v="EMP2147"/>
    <s v="Kavya Sharma"/>
    <n v="28"/>
    <x v="0"/>
    <x v="2"/>
    <s v="Executive"/>
    <n v="21400"/>
    <x v="3"/>
    <s v="Divorced"/>
    <d v="2020-04-02T00:00:00"/>
    <x v="7"/>
    <n v="7"/>
    <x v="1"/>
    <x v="4"/>
    <x v="5"/>
    <x v="2"/>
  </r>
  <r>
    <s v="EMP2148"/>
    <s v="Kavya Singh"/>
    <n v="39"/>
    <x v="1"/>
    <x v="4"/>
    <s v="Senior Analyst"/>
    <n v="106247"/>
    <x v="1"/>
    <s v="Divorced"/>
    <d v="2025-03-20T00:00:00"/>
    <x v="9"/>
    <n v="8"/>
    <x v="0"/>
    <x v="1"/>
    <x v="3"/>
    <x v="0"/>
  </r>
  <r>
    <s v="EMP2149"/>
    <s v="Tarun Patel"/>
    <n v="34"/>
    <x v="0"/>
    <x v="0"/>
    <s v="Senior Analyst"/>
    <n v="94445"/>
    <x v="1"/>
    <s v="Divorced"/>
    <d v="2016-04-27T00:00:00"/>
    <x v="6"/>
    <n v="7"/>
    <x v="1"/>
    <x v="4"/>
    <x v="0"/>
    <x v="2"/>
  </r>
  <r>
    <s v="EMP2150"/>
    <s v="Isha Reddy"/>
    <n v="30"/>
    <x v="1"/>
    <x v="5"/>
    <s v="Associate"/>
    <n v="94957"/>
    <x v="4"/>
    <s v="Married"/>
    <d v="2022-01-20T00:00:00"/>
    <x v="5"/>
    <n v="10"/>
    <x v="1"/>
    <x v="3"/>
    <x v="1"/>
    <x v="2"/>
  </r>
  <r>
    <s v="EMP2151"/>
    <s v="Amit Mishra"/>
    <n v="53"/>
    <x v="1"/>
    <x v="5"/>
    <s v="Junior Analyst"/>
    <n v="81438"/>
    <x v="0"/>
    <s v="Divorced"/>
    <d v="2016-11-29T00:00:00"/>
    <x v="6"/>
    <n v="0"/>
    <x v="1"/>
    <x v="1"/>
    <x v="3"/>
    <x v="3"/>
  </r>
  <r>
    <s v="EMP2152"/>
    <s v="Priya Pradhan"/>
    <n v="29"/>
    <x v="1"/>
    <x v="7"/>
    <s v="Executive"/>
    <n v="103196"/>
    <x v="3"/>
    <s v="Married"/>
    <d v="2021-05-03T00:00:00"/>
    <x v="8"/>
    <n v="6"/>
    <x v="0"/>
    <x v="0"/>
    <x v="4"/>
    <x v="2"/>
  </r>
  <r>
    <s v="EMP2153"/>
    <s v="Priya Patel"/>
    <n v="22"/>
    <x v="1"/>
    <x v="7"/>
    <s v="Team Lead"/>
    <n v="61190"/>
    <x v="0"/>
    <s v="Married"/>
    <d v="2022-05-23T00:00:00"/>
    <x v="5"/>
    <n v="6"/>
    <x v="0"/>
    <x v="2"/>
    <x v="1"/>
    <x v="1"/>
  </r>
  <r>
    <s v="EMP2154"/>
    <s v="Kavya Reddy"/>
    <n v="35"/>
    <x v="0"/>
    <x v="2"/>
    <s v="Executive"/>
    <n v="114919"/>
    <x v="1"/>
    <s v="Single"/>
    <d v="2023-12-02T00:00:00"/>
    <x v="3"/>
    <n v="11"/>
    <x v="1"/>
    <x v="1"/>
    <x v="7"/>
    <x v="2"/>
  </r>
  <r>
    <s v="EMP2155"/>
    <s v="Kavya Patel"/>
    <n v="55"/>
    <x v="1"/>
    <x v="7"/>
    <s v="Executive"/>
    <n v="115400"/>
    <x v="0"/>
    <s v="Single"/>
    <d v="2022-01-17T00:00:00"/>
    <x v="5"/>
    <n v="10"/>
    <x v="1"/>
    <x v="2"/>
    <x v="4"/>
    <x v="3"/>
  </r>
  <r>
    <s v="EMP2156"/>
    <s v="Priya Pradhan"/>
    <n v="57"/>
    <x v="2"/>
    <x v="4"/>
    <s v="Manager"/>
    <n v="78852"/>
    <x v="4"/>
    <s v="Single"/>
    <d v="2019-10-06T00:00:00"/>
    <x v="4"/>
    <n v="1"/>
    <x v="0"/>
    <x v="1"/>
    <x v="1"/>
    <x v="3"/>
  </r>
  <r>
    <s v="EMP2157"/>
    <s v="Sneha Nanda"/>
    <n v="25"/>
    <x v="1"/>
    <x v="0"/>
    <s v="Team Lead"/>
    <n v="31090"/>
    <x v="4"/>
    <s v="Single"/>
    <d v="2022-11-23T00:00:00"/>
    <x v="5"/>
    <n v="0"/>
    <x v="1"/>
    <x v="4"/>
    <x v="7"/>
    <x v="1"/>
  </r>
  <r>
    <s v="EMP2158"/>
    <s v="Kavya Nanda"/>
    <n v="27"/>
    <x v="2"/>
    <x v="4"/>
    <s v="Intern"/>
    <n v="119894"/>
    <x v="1"/>
    <s v="Divorced"/>
    <d v="2025-03-22T00:00:00"/>
    <x v="9"/>
    <n v="8"/>
    <x v="1"/>
    <x v="2"/>
    <x v="3"/>
    <x v="2"/>
  </r>
  <r>
    <s v="EMP2159"/>
    <s v="Tarun Reddy"/>
    <n v="37"/>
    <x v="1"/>
    <x v="5"/>
    <s v="Team Lead"/>
    <n v="61075"/>
    <x v="2"/>
    <s v="Divorced"/>
    <d v="2019-05-15T00:00:00"/>
    <x v="4"/>
    <n v="6"/>
    <x v="1"/>
    <x v="4"/>
    <x v="4"/>
    <x v="0"/>
  </r>
  <r>
    <s v="EMP2160"/>
    <s v="Neha Patel"/>
    <n v="55"/>
    <x v="2"/>
    <x v="2"/>
    <s v="Junior Analyst"/>
    <n v="100040"/>
    <x v="0"/>
    <s v="Single"/>
    <d v="2021-08-27T00:00:00"/>
    <x v="8"/>
    <n v="3"/>
    <x v="0"/>
    <x v="4"/>
    <x v="1"/>
    <x v="3"/>
  </r>
  <r>
    <s v="EMP2161"/>
    <s v="Isha Pradhan"/>
    <n v="31"/>
    <x v="0"/>
    <x v="1"/>
    <s v="Senior Analyst"/>
    <n v="106208"/>
    <x v="0"/>
    <s v="Married"/>
    <d v="2020-01-10T00:00:00"/>
    <x v="7"/>
    <n v="10"/>
    <x v="0"/>
    <x v="1"/>
    <x v="2"/>
    <x v="2"/>
  </r>
  <r>
    <s v="EMP2162"/>
    <s v="Priya Pradhan"/>
    <n v="39"/>
    <x v="2"/>
    <x v="2"/>
    <s v="Associate"/>
    <n v="59945"/>
    <x v="4"/>
    <s v="Married"/>
    <d v="2017-05-04T00:00:00"/>
    <x v="2"/>
    <n v="6"/>
    <x v="1"/>
    <x v="0"/>
    <x v="4"/>
    <x v="0"/>
  </r>
  <r>
    <s v="EMP2163"/>
    <s v="Kavya Singh"/>
    <n v="29"/>
    <x v="1"/>
    <x v="5"/>
    <s v="Associate"/>
    <n v="43153"/>
    <x v="2"/>
    <s v="Single"/>
    <d v="2025-09-29T00:00:00"/>
    <x v="9"/>
    <n v="2"/>
    <x v="0"/>
    <x v="0"/>
    <x v="5"/>
    <x v="2"/>
  </r>
  <r>
    <s v="EMP2164"/>
    <s v="Neha Reddy"/>
    <n v="50"/>
    <x v="2"/>
    <x v="1"/>
    <s v="Senior Analyst"/>
    <n v="113219"/>
    <x v="1"/>
    <s v="Married"/>
    <d v="2021-06-24T00:00:00"/>
    <x v="8"/>
    <n v="5"/>
    <x v="1"/>
    <x v="4"/>
    <x v="5"/>
    <x v="3"/>
  </r>
  <r>
    <s v="EMP2165"/>
    <s v="Rohit Patel"/>
    <n v="42"/>
    <x v="2"/>
    <x v="3"/>
    <s v="Senior Analyst"/>
    <n v="76944"/>
    <x v="2"/>
    <s v="Divorced"/>
    <d v="2020-08-06T00:00:00"/>
    <x v="7"/>
    <n v="3"/>
    <x v="1"/>
    <x v="2"/>
    <x v="0"/>
    <x v="0"/>
  </r>
  <r>
    <s v="EMP2166"/>
    <s v="Rahul Nanda"/>
    <n v="42"/>
    <x v="2"/>
    <x v="5"/>
    <s v="Associate"/>
    <n v="77885"/>
    <x v="3"/>
    <s v="Single"/>
    <d v="2025-05-13T00:00:00"/>
    <x v="9"/>
    <n v="6"/>
    <x v="0"/>
    <x v="1"/>
    <x v="3"/>
    <x v="0"/>
  </r>
  <r>
    <s v="EMP2167"/>
    <s v="Rohit Mishra"/>
    <n v="43"/>
    <x v="0"/>
    <x v="3"/>
    <s v="Associate"/>
    <n v="74033"/>
    <x v="2"/>
    <s v="Married"/>
    <d v="2022-06-11T00:00:00"/>
    <x v="5"/>
    <n v="5"/>
    <x v="0"/>
    <x v="1"/>
    <x v="1"/>
    <x v="0"/>
  </r>
  <r>
    <s v="EMP2168"/>
    <s v="Rohit Sharma"/>
    <n v="24"/>
    <x v="0"/>
    <x v="5"/>
    <s v="Intern"/>
    <n v="60661"/>
    <x v="2"/>
    <s v="Divorced"/>
    <d v="2022-11-01T00:00:00"/>
    <x v="5"/>
    <n v="0"/>
    <x v="1"/>
    <x v="2"/>
    <x v="0"/>
    <x v="1"/>
  </r>
  <r>
    <s v="EMP2169"/>
    <s v="Isha Pradhan"/>
    <n v="37"/>
    <x v="2"/>
    <x v="1"/>
    <s v="Manager"/>
    <n v="25774"/>
    <x v="0"/>
    <s v="Divorced"/>
    <d v="2020-01-11T00:00:00"/>
    <x v="7"/>
    <n v="10"/>
    <x v="1"/>
    <x v="0"/>
    <x v="6"/>
    <x v="0"/>
  </r>
  <r>
    <s v="EMP2170"/>
    <s v="Isha Patel"/>
    <n v="27"/>
    <x v="1"/>
    <x v="5"/>
    <s v="Manager"/>
    <n v="116281"/>
    <x v="3"/>
    <s v="Divorced"/>
    <d v="2020-10-28T00:00:00"/>
    <x v="7"/>
    <n v="1"/>
    <x v="0"/>
    <x v="1"/>
    <x v="3"/>
    <x v="2"/>
  </r>
  <r>
    <s v="EMP2171"/>
    <s v="Kavya Pradhan"/>
    <n v="55"/>
    <x v="0"/>
    <x v="4"/>
    <s v="Senior Analyst"/>
    <n v="50142"/>
    <x v="4"/>
    <s v="Divorced"/>
    <d v="2024-09-27T00:00:00"/>
    <x v="0"/>
    <n v="2"/>
    <x v="1"/>
    <x v="0"/>
    <x v="3"/>
    <x v="3"/>
  </r>
  <r>
    <s v="EMP2172"/>
    <s v="Rahul Pradhan"/>
    <n v="24"/>
    <x v="2"/>
    <x v="3"/>
    <s v="Associate"/>
    <n v="65347"/>
    <x v="2"/>
    <s v="Divorced"/>
    <d v="2018-08-05T00:00:00"/>
    <x v="1"/>
    <n v="3"/>
    <x v="0"/>
    <x v="4"/>
    <x v="1"/>
    <x v="1"/>
  </r>
  <r>
    <s v="EMP2173"/>
    <s v="Priya Nanda"/>
    <n v="43"/>
    <x v="1"/>
    <x v="0"/>
    <s v="Intern"/>
    <n v="106823"/>
    <x v="3"/>
    <s v="Married"/>
    <d v="2022-12-15T00:00:00"/>
    <x v="5"/>
    <n v="11"/>
    <x v="0"/>
    <x v="1"/>
    <x v="2"/>
    <x v="0"/>
  </r>
  <r>
    <s v="EMP2174"/>
    <s v="Tarun Nanda"/>
    <n v="45"/>
    <x v="1"/>
    <x v="6"/>
    <s v="Manager"/>
    <n v="87258"/>
    <x v="4"/>
    <s v="Married"/>
    <d v="2016-05-14T00:00:00"/>
    <x v="6"/>
    <n v="6"/>
    <x v="1"/>
    <x v="2"/>
    <x v="6"/>
    <x v="0"/>
  </r>
  <r>
    <s v="EMP2175"/>
    <s v="Karan Nanda"/>
    <n v="38"/>
    <x v="2"/>
    <x v="3"/>
    <s v="Manager"/>
    <n v="101148"/>
    <x v="0"/>
    <s v="Divorced"/>
    <d v="2017-03-21T00:00:00"/>
    <x v="2"/>
    <n v="8"/>
    <x v="0"/>
    <x v="0"/>
    <x v="5"/>
    <x v="0"/>
  </r>
  <r>
    <s v="EMP2176"/>
    <s v="Karan Mishra"/>
    <n v="25"/>
    <x v="2"/>
    <x v="4"/>
    <s v="Intern"/>
    <n v="97958"/>
    <x v="1"/>
    <s v="Single"/>
    <d v="2024-10-15T00:00:00"/>
    <x v="0"/>
    <n v="1"/>
    <x v="1"/>
    <x v="4"/>
    <x v="1"/>
    <x v="1"/>
  </r>
  <r>
    <s v="EMP2177"/>
    <s v="Isha Singh"/>
    <n v="29"/>
    <x v="2"/>
    <x v="3"/>
    <s v="Executive"/>
    <n v="27571"/>
    <x v="4"/>
    <s v="Married"/>
    <d v="2021-04-11T00:00:00"/>
    <x v="8"/>
    <n v="7"/>
    <x v="1"/>
    <x v="2"/>
    <x v="0"/>
    <x v="2"/>
  </r>
  <r>
    <s v="EMP2178"/>
    <s v="Kavya Patel"/>
    <n v="20"/>
    <x v="2"/>
    <x v="1"/>
    <s v="Manager"/>
    <n v="20473"/>
    <x v="1"/>
    <s v="Married"/>
    <d v="2020-12-22T00:00:00"/>
    <x v="7"/>
    <n v="11"/>
    <x v="0"/>
    <x v="4"/>
    <x v="4"/>
    <x v="1"/>
  </r>
  <r>
    <s v="EMP2179"/>
    <s v="Kavya Singh"/>
    <n v="40"/>
    <x v="2"/>
    <x v="4"/>
    <s v="Intern"/>
    <n v="103670"/>
    <x v="1"/>
    <s v="Divorced"/>
    <d v="2020-02-29T00:00:00"/>
    <x v="7"/>
    <n v="9"/>
    <x v="0"/>
    <x v="1"/>
    <x v="5"/>
    <x v="0"/>
  </r>
  <r>
    <s v="EMP2180"/>
    <s v="Priya Patel"/>
    <n v="31"/>
    <x v="0"/>
    <x v="6"/>
    <s v="Team Lead"/>
    <n v="87916"/>
    <x v="0"/>
    <s v="Single"/>
    <d v="2022-03-30T00:00:00"/>
    <x v="5"/>
    <n v="7"/>
    <x v="1"/>
    <x v="2"/>
    <x v="6"/>
    <x v="2"/>
  </r>
  <r>
    <s v="EMP2181"/>
    <s v="Neha Pradhan"/>
    <n v="33"/>
    <x v="0"/>
    <x v="2"/>
    <s v="Junior Analyst"/>
    <n v="39402"/>
    <x v="3"/>
    <s v="Single"/>
    <d v="2018-08-15T00:00:00"/>
    <x v="1"/>
    <n v="3"/>
    <x v="1"/>
    <x v="2"/>
    <x v="5"/>
    <x v="2"/>
  </r>
  <r>
    <s v="EMP2182"/>
    <s v="Isha Sharma"/>
    <n v="44"/>
    <x v="0"/>
    <x v="4"/>
    <s v="Associate"/>
    <n v="115510"/>
    <x v="1"/>
    <s v="Married"/>
    <d v="2016-09-26T00:00:00"/>
    <x v="6"/>
    <n v="2"/>
    <x v="1"/>
    <x v="3"/>
    <x v="0"/>
    <x v="0"/>
  </r>
  <r>
    <s v="EMP2183"/>
    <s v="Priya Pradhan"/>
    <n v="44"/>
    <x v="2"/>
    <x v="7"/>
    <s v="Executive"/>
    <n v="30170"/>
    <x v="4"/>
    <s v="Divorced"/>
    <d v="2024-04-23T00:00:00"/>
    <x v="0"/>
    <n v="7"/>
    <x v="0"/>
    <x v="1"/>
    <x v="4"/>
    <x v="0"/>
  </r>
  <r>
    <s v="EMP2184"/>
    <s v="Sneha Nanda"/>
    <n v="58"/>
    <x v="1"/>
    <x v="3"/>
    <s v="Executive"/>
    <n v="72411"/>
    <x v="1"/>
    <s v="Single"/>
    <d v="2025-02-25T00:00:00"/>
    <x v="9"/>
    <n v="9"/>
    <x v="1"/>
    <x v="3"/>
    <x v="3"/>
    <x v="3"/>
  </r>
  <r>
    <s v="EMP2185"/>
    <s v="Karan Sharma"/>
    <n v="49"/>
    <x v="0"/>
    <x v="6"/>
    <s v="Associate"/>
    <n v="67811"/>
    <x v="2"/>
    <s v="Married"/>
    <d v="2025-10-20T00:00:00"/>
    <x v="9"/>
    <n v="1"/>
    <x v="0"/>
    <x v="4"/>
    <x v="6"/>
    <x v="3"/>
  </r>
  <r>
    <s v="EMP2186"/>
    <s v="Rohit Mishra"/>
    <n v="24"/>
    <x v="1"/>
    <x v="2"/>
    <s v="Intern"/>
    <n v="48062"/>
    <x v="0"/>
    <s v="Divorced"/>
    <d v="2023-05-28T00:00:00"/>
    <x v="3"/>
    <n v="6"/>
    <x v="1"/>
    <x v="3"/>
    <x v="7"/>
    <x v="1"/>
  </r>
  <r>
    <s v="EMP2187"/>
    <s v="Rohit Singh"/>
    <n v="40"/>
    <x v="0"/>
    <x v="5"/>
    <s v="Executive"/>
    <n v="50636"/>
    <x v="4"/>
    <s v="Single"/>
    <d v="2017-08-15T00:00:00"/>
    <x v="2"/>
    <n v="3"/>
    <x v="0"/>
    <x v="1"/>
    <x v="1"/>
    <x v="0"/>
  </r>
  <r>
    <s v="EMP2188"/>
    <s v="Rahul Sharma"/>
    <n v="58"/>
    <x v="0"/>
    <x v="2"/>
    <s v="Team Lead"/>
    <n v="66719"/>
    <x v="2"/>
    <s v="Single"/>
    <d v="2020-11-20T00:00:00"/>
    <x v="7"/>
    <n v="0"/>
    <x v="0"/>
    <x v="1"/>
    <x v="5"/>
    <x v="3"/>
  </r>
  <r>
    <s v="EMP2189"/>
    <s v="Amit Patel"/>
    <n v="27"/>
    <x v="0"/>
    <x v="6"/>
    <s v="Executive"/>
    <n v="83215"/>
    <x v="3"/>
    <s v="Married"/>
    <d v="2023-03-14T00:00:00"/>
    <x v="3"/>
    <n v="8"/>
    <x v="1"/>
    <x v="4"/>
    <x v="6"/>
    <x v="2"/>
  </r>
  <r>
    <s v="EMP2190"/>
    <s v="Rahul Mishra"/>
    <n v="21"/>
    <x v="1"/>
    <x v="6"/>
    <s v="Manager"/>
    <n v="79669"/>
    <x v="1"/>
    <s v="Married"/>
    <d v="2016-09-15T00:00:00"/>
    <x v="6"/>
    <n v="2"/>
    <x v="1"/>
    <x v="0"/>
    <x v="5"/>
    <x v="1"/>
  </r>
  <r>
    <s v="EMP2191"/>
    <s v="Amit Sharma"/>
    <n v="20"/>
    <x v="1"/>
    <x v="0"/>
    <s v="Junior Analyst"/>
    <n v="30074"/>
    <x v="0"/>
    <s v="Single"/>
    <d v="2021-07-09T00:00:00"/>
    <x v="8"/>
    <n v="4"/>
    <x v="1"/>
    <x v="3"/>
    <x v="1"/>
    <x v="1"/>
  </r>
  <r>
    <s v="EMP2192"/>
    <s v="Amit Mishra"/>
    <n v="58"/>
    <x v="2"/>
    <x v="6"/>
    <s v="Junior Analyst"/>
    <n v="58819"/>
    <x v="2"/>
    <s v="Married"/>
    <d v="2017-08-16T00:00:00"/>
    <x v="2"/>
    <n v="3"/>
    <x v="1"/>
    <x v="0"/>
    <x v="6"/>
    <x v="3"/>
  </r>
  <r>
    <s v="EMP2193"/>
    <s v="Kavya Singh"/>
    <n v="26"/>
    <x v="1"/>
    <x v="4"/>
    <s v="Associate"/>
    <n v="116136"/>
    <x v="4"/>
    <s v="Single"/>
    <d v="2017-08-06T00:00:00"/>
    <x v="2"/>
    <n v="3"/>
    <x v="0"/>
    <x v="0"/>
    <x v="5"/>
    <x v="2"/>
  </r>
  <r>
    <s v="EMP2194"/>
    <s v="Amit Pradhan"/>
    <n v="25"/>
    <x v="2"/>
    <x v="7"/>
    <s v="Junior Analyst"/>
    <n v="112013"/>
    <x v="3"/>
    <s v="Divorced"/>
    <d v="2017-05-14T00:00:00"/>
    <x v="2"/>
    <n v="6"/>
    <x v="0"/>
    <x v="1"/>
    <x v="3"/>
    <x v="1"/>
  </r>
  <r>
    <s v="EMP2195"/>
    <s v="Amit Singh"/>
    <n v="39"/>
    <x v="1"/>
    <x v="4"/>
    <s v="Team Lead"/>
    <n v="105602"/>
    <x v="4"/>
    <s v="Divorced"/>
    <d v="2022-08-29T00:00:00"/>
    <x v="5"/>
    <n v="3"/>
    <x v="1"/>
    <x v="1"/>
    <x v="6"/>
    <x v="0"/>
  </r>
  <r>
    <s v="EMP2196"/>
    <s v="Tarun Patel"/>
    <n v="29"/>
    <x v="2"/>
    <x v="6"/>
    <s v="Associate"/>
    <n v="116033"/>
    <x v="2"/>
    <s v="Divorced"/>
    <d v="2016-09-21T00:00:00"/>
    <x v="6"/>
    <n v="2"/>
    <x v="0"/>
    <x v="1"/>
    <x v="7"/>
    <x v="2"/>
  </r>
  <r>
    <s v="EMP2197"/>
    <s v="Amit Singh"/>
    <n v="22"/>
    <x v="0"/>
    <x v="5"/>
    <s v="Senior Analyst"/>
    <n v="70004"/>
    <x v="0"/>
    <s v="Divorced"/>
    <d v="2021-07-30T00:00:00"/>
    <x v="8"/>
    <n v="3"/>
    <x v="1"/>
    <x v="4"/>
    <x v="4"/>
    <x v="1"/>
  </r>
  <r>
    <s v="EMP2198"/>
    <s v="Kavya Nanda"/>
    <n v="48"/>
    <x v="0"/>
    <x v="4"/>
    <s v="Senior Analyst"/>
    <n v="99436"/>
    <x v="4"/>
    <s v="Married"/>
    <d v="2017-07-04T00:00:00"/>
    <x v="2"/>
    <n v="4"/>
    <x v="1"/>
    <x v="0"/>
    <x v="6"/>
    <x v="3"/>
  </r>
  <r>
    <s v="EMP2199"/>
    <s v="Neha Pradhan"/>
    <n v="36"/>
    <x v="1"/>
    <x v="4"/>
    <s v="Team Lead"/>
    <n v="119188"/>
    <x v="2"/>
    <s v="Divorced"/>
    <d v="2017-04-08T00:00:00"/>
    <x v="2"/>
    <n v="7"/>
    <x v="1"/>
    <x v="0"/>
    <x v="3"/>
    <x v="0"/>
  </r>
  <r>
    <s v="EMP2200"/>
    <s v="Sneha Mishra"/>
    <n v="43"/>
    <x v="1"/>
    <x v="6"/>
    <s v="Executive"/>
    <n v="89213"/>
    <x v="0"/>
    <s v="Single"/>
    <d v="2021-04-25T00:00:00"/>
    <x v="8"/>
    <n v="7"/>
    <x v="0"/>
    <x v="2"/>
    <x v="3"/>
    <x v="0"/>
  </r>
  <r>
    <s v="EMP2201"/>
    <s v="Amit Mishra"/>
    <n v="42"/>
    <x v="1"/>
    <x v="4"/>
    <s v="Team Lead"/>
    <n v="75168"/>
    <x v="0"/>
    <s v="Divorced"/>
    <d v="2018-03-26T00:00:00"/>
    <x v="1"/>
    <n v="8"/>
    <x v="1"/>
    <x v="0"/>
    <x v="4"/>
    <x v="0"/>
  </r>
  <r>
    <s v="EMP2202"/>
    <s v="Amit Mishra"/>
    <n v="34"/>
    <x v="0"/>
    <x v="0"/>
    <s v="Intern"/>
    <n v="114129"/>
    <x v="3"/>
    <s v="Divorced"/>
    <d v="2022-12-04T00:00:00"/>
    <x v="5"/>
    <n v="11"/>
    <x v="0"/>
    <x v="0"/>
    <x v="7"/>
    <x v="2"/>
  </r>
  <r>
    <s v="EMP2203"/>
    <s v="Karan Patel"/>
    <n v="54"/>
    <x v="0"/>
    <x v="5"/>
    <s v="Executive"/>
    <n v="67082"/>
    <x v="0"/>
    <s v="Divorced"/>
    <d v="2018-01-16T00:00:00"/>
    <x v="1"/>
    <n v="10"/>
    <x v="0"/>
    <x v="1"/>
    <x v="0"/>
    <x v="3"/>
  </r>
  <r>
    <s v="EMP2204"/>
    <s v="Priya Patel"/>
    <n v="23"/>
    <x v="1"/>
    <x v="2"/>
    <s v="Team Lead"/>
    <n v="69088"/>
    <x v="2"/>
    <s v="Married"/>
    <d v="2021-06-07T00:00:00"/>
    <x v="8"/>
    <n v="5"/>
    <x v="1"/>
    <x v="1"/>
    <x v="3"/>
    <x v="1"/>
  </r>
  <r>
    <s v="EMP2205"/>
    <s v="Rahul Sharma"/>
    <n v="36"/>
    <x v="2"/>
    <x v="2"/>
    <s v="Intern"/>
    <n v="45361"/>
    <x v="4"/>
    <s v="Divorced"/>
    <d v="2016-12-07T00:00:00"/>
    <x v="6"/>
    <n v="11"/>
    <x v="0"/>
    <x v="3"/>
    <x v="5"/>
    <x v="0"/>
  </r>
  <r>
    <s v="EMP2206"/>
    <s v="Amit Nanda"/>
    <n v="30"/>
    <x v="0"/>
    <x v="1"/>
    <s v="Intern"/>
    <n v="38898"/>
    <x v="2"/>
    <s v="Married"/>
    <d v="2022-10-26T00:00:00"/>
    <x v="5"/>
    <n v="1"/>
    <x v="0"/>
    <x v="1"/>
    <x v="6"/>
    <x v="2"/>
  </r>
  <r>
    <s v="EMP2207"/>
    <s v="Sneha Pradhan"/>
    <n v="37"/>
    <x v="0"/>
    <x v="1"/>
    <s v="Intern"/>
    <n v="34183"/>
    <x v="4"/>
    <s v="Divorced"/>
    <d v="2017-11-20T00:00:00"/>
    <x v="2"/>
    <n v="0"/>
    <x v="0"/>
    <x v="3"/>
    <x v="5"/>
    <x v="0"/>
  </r>
  <r>
    <s v="EMP2208"/>
    <s v="Rohit Mishra"/>
    <n v="40"/>
    <x v="0"/>
    <x v="7"/>
    <s v="Senior Analyst"/>
    <n v="86238"/>
    <x v="4"/>
    <s v="Single"/>
    <d v="2024-11-02T00:00:00"/>
    <x v="0"/>
    <n v="0"/>
    <x v="1"/>
    <x v="1"/>
    <x v="1"/>
    <x v="0"/>
  </r>
  <r>
    <s v="EMP2209"/>
    <s v="Rohit Mishra"/>
    <n v="27"/>
    <x v="2"/>
    <x v="4"/>
    <s v="Manager"/>
    <n v="38142"/>
    <x v="3"/>
    <s v="Married"/>
    <d v="2016-08-23T00:00:00"/>
    <x v="6"/>
    <n v="3"/>
    <x v="1"/>
    <x v="4"/>
    <x v="2"/>
    <x v="2"/>
  </r>
  <r>
    <s v="EMP2210"/>
    <s v="Isha Nanda"/>
    <n v="57"/>
    <x v="0"/>
    <x v="4"/>
    <s v="Senior Analyst"/>
    <n v="117412"/>
    <x v="1"/>
    <s v="Divorced"/>
    <d v="2017-05-05T00:00:00"/>
    <x v="2"/>
    <n v="6"/>
    <x v="0"/>
    <x v="0"/>
    <x v="6"/>
    <x v="3"/>
  </r>
  <r>
    <s v="EMP2211"/>
    <s v="Priya Mishra"/>
    <n v="51"/>
    <x v="2"/>
    <x v="1"/>
    <s v="Manager"/>
    <n v="73269"/>
    <x v="0"/>
    <s v="Married"/>
    <d v="2025-08-19T00:00:00"/>
    <x v="9"/>
    <n v="3"/>
    <x v="1"/>
    <x v="4"/>
    <x v="6"/>
    <x v="3"/>
  </r>
  <r>
    <s v="EMP2212"/>
    <s v="Tarun Singh"/>
    <n v="36"/>
    <x v="1"/>
    <x v="7"/>
    <s v="Manager"/>
    <n v="19694"/>
    <x v="2"/>
    <s v="Single"/>
    <d v="2022-10-03T00:00:00"/>
    <x v="5"/>
    <n v="1"/>
    <x v="1"/>
    <x v="1"/>
    <x v="0"/>
    <x v="0"/>
  </r>
  <r>
    <s v="EMP2213"/>
    <s v="Rohit Sharma"/>
    <n v="51"/>
    <x v="2"/>
    <x v="1"/>
    <s v="Team Lead"/>
    <n v="97511"/>
    <x v="2"/>
    <s v="Single"/>
    <d v="2022-12-07T00:00:00"/>
    <x v="5"/>
    <n v="11"/>
    <x v="0"/>
    <x v="0"/>
    <x v="2"/>
    <x v="3"/>
  </r>
  <r>
    <s v="EMP2214"/>
    <s v="Kavya Sharma"/>
    <n v="27"/>
    <x v="0"/>
    <x v="3"/>
    <s v="Intern"/>
    <n v="94037"/>
    <x v="4"/>
    <s v="Married"/>
    <d v="2025-04-30T00:00:00"/>
    <x v="9"/>
    <n v="6"/>
    <x v="1"/>
    <x v="2"/>
    <x v="6"/>
    <x v="2"/>
  </r>
  <r>
    <s v="EMP2215"/>
    <s v="Isha Mishra"/>
    <n v="49"/>
    <x v="2"/>
    <x v="6"/>
    <s v="Associate"/>
    <n v="70257"/>
    <x v="2"/>
    <s v="Divorced"/>
    <d v="2016-06-22T00:00:00"/>
    <x v="6"/>
    <n v="5"/>
    <x v="0"/>
    <x v="0"/>
    <x v="5"/>
    <x v="3"/>
  </r>
  <r>
    <s v="EMP2216"/>
    <s v="Rahul Singh"/>
    <n v="41"/>
    <x v="0"/>
    <x v="2"/>
    <s v="Associate"/>
    <n v="72020"/>
    <x v="0"/>
    <s v="Divorced"/>
    <d v="2021-04-22T00:00:00"/>
    <x v="8"/>
    <n v="7"/>
    <x v="1"/>
    <x v="4"/>
    <x v="6"/>
    <x v="0"/>
  </r>
  <r>
    <s v="EMP2217"/>
    <s v="Neha Pradhan"/>
    <n v="37"/>
    <x v="1"/>
    <x v="6"/>
    <s v="Junior Analyst"/>
    <n v="60534"/>
    <x v="3"/>
    <s v="Single"/>
    <d v="2018-07-14T00:00:00"/>
    <x v="1"/>
    <n v="4"/>
    <x v="1"/>
    <x v="3"/>
    <x v="6"/>
    <x v="0"/>
  </r>
  <r>
    <s v="EMP2218"/>
    <s v="Amit Mishra"/>
    <n v="51"/>
    <x v="0"/>
    <x v="3"/>
    <s v="Team Lead"/>
    <n v="64111"/>
    <x v="4"/>
    <s v="Divorced"/>
    <d v="2025-03-19T00:00:00"/>
    <x v="9"/>
    <n v="8"/>
    <x v="0"/>
    <x v="4"/>
    <x v="3"/>
    <x v="3"/>
  </r>
  <r>
    <s v="EMP2219"/>
    <s v="Sneha Singh"/>
    <n v="25"/>
    <x v="2"/>
    <x v="1"/>
    <s v="Team Lead"/>
    <n v="59015"/>
    <x v="2"/>
    <s v="Divorced"/>
    <d v="2018-04-10T00:00:00"/>
    <x v="1"/>
    <n v="7"/>
    <x v="1"/>
    <x v="1"/>
    <x v="3"/>
    <x v="1"/>
  </r>
  <r>
    <s v="EMP2220"/>
    <s v="Isha Patel"/>
    <n v="41"/>
    <x v="1"/>
    <x v="3"/>
    <s v="Executive"/>
    <n v="116929"/>
    <x v="1"/>
    <s v="Married"/>
    <d v="2016-05-13T00:00:00"/>
    <x v="6"/>
    <n v="6"/>
    <x v="0"/>
    <x v="1"/>
    <x v="3"/>
    <x v="0"/>
  </r>
  <r>
    <s v="EMP2221"/>
    <s v="Karan Singh"/>
    <n v="55"/>
    <x v="1"/>
    <x v="5"/>
    <s v="Team Lead"/>
    <n v="70162"/>
    <x v="0"/>
    <s v="Single"/>
    <d v="2017-03-26T00:00:00"/>
    <x v="2"/>
    <n v="8"/>
    <x v="0"/>
    <x v="0"/>
    <x v="0"/>
    <x v="3"/>
  </r>
  <r>
    <s v="EMP2222"/>
    <s v="Rohit Pradhan"/>
    <n v="41"/>
    <x v="2"/>
    <x v="3"/>
    <s v="Executive"/>
    <n v="70003"/>
    <x v="2"/>
    <s v="Single"/>
    <d v="2025-08-30T00:00:00"/>
    <x v="9"/>
    <n v="2"/>
    <x v="1"/>
    <x v="0"/>
    <x v="2"/>
    <x v="0"/>
  </r>
  <r>
    <s v="EMP2223"/>
    <s v="Neha Pradhan"/>
    <n v="48"/>
    <x v="0"/>
    <x v="0"/>
    <s v="Executive"/>
    <n v="89825"/>
    <x v="3"/>
    <s v="Single"/>
    <d v="2021-09-24T00:00:00"/>
    <x v="8"/>
    <n v="2"/>
    <x v="0"/>
    <x v="1"/>
    <x v="4"/>
    <x v="3"/>
  </r>
  <r>
    <s v="EMP2224"/>
    <s v="Priya Nanda"/>
    <n v="33"/>
    <x v="0"/>
    <x v="6"/>
    <s v="Executive"/>
    <n v="56901"/>
    <x v="0"/>
    <s v="Divorced"/>
    <d v="2021-08-09T00:00:00"/>
    <x v="8"/>
    <n v="3"/>
    <x v="1"/>
    <x v="3"/>
    <x v="4"/>
    <x v="2"/>
  </r>
  <r>
    <s v="EMP2225"/>
    <s v="Tarun Pradhan"/>
    <n v="53"/>
    <x v="2"/>
    <x v="1"/>
    <s v="Team Lead"/>
    <n v="100215"/>
    <x v="2"/>
    <s v="Divorced"/>
    <d v="2019-02-13T00:00:00"/>
    <x v="4"/>
    <n v="9"/>
    <x v="1"/>
    <x v="4"/>
    <x v="0"/>
    <x v="3"/>
  </r>
  <r>
    <s v="EMP2226"/>
    <s v="Neha Patel"/>
    <n v="35"/>
    <x v="1"/>
    <x v="3"/>
    <s v="Intern"/>
    <n v="28097"/>
    <x v="1"/>
    <s v="Married"/>
    <d v="2025-10-30T00:00:00"/>
    <x v="9"/>
    <n v="0"/>
    <x v="0"/>
    <x v="0"/>
    <x v="5"/>
    <x v="2"/>
  </r>
  <r>
    <s v="EMP2227"/>
    <s v="Sneha Mishra"/>
    <n v="52"/>
    <x v="2"/>
    <x v="4"/>
    <s v="Senior Analyst"/>
    <n v="88170"/>
    <x v="0"/>
    <s v="Divorced"/>
    <d v="2018-09-28T00:00:00"/>
    <x v="1"/>
    <n v="2"/>
    <x v="1"/>
    <x v="0"/>
    <x v="4"/>
    <x v="3"/>
  </r>
  <r>
    <s v="EMP2228"/>
    <s v="Isha Patel"/>
    <n v="56"/>
    <x v="0"/>
    <x v="4"/>
    <s v="Junior Analyst"/>
    <n v="99108"/>
    <x v="2"/>
    <s v="Divorced"/>
    <d v="2021-01-28T00:00:00"/>
    <x v="8"/>
    <n v="10"/>
    <x v="0"/>
    <x v="1"/>
    <x v="7"/>
    <x v="3"/>
  </r>
  <r>
    <s v="EMP2229"/>
    <s v="Karan Nanda"/>
    <n v="55"/>
    <x v="2"/>
    <x v="6"/>
    <s v="Junior Analyst"/>
    <n v="63561"/>
    <x v="1"/>
    <s v="Single"/>
    <d v="2023-11-01T00:00:00"/>
    <x v="3"/>
    <n v="0"/>
    <x v="1"/>
    <x v="2"/>
    <x v="3"/>
    <x v="3"/>
  </r>
  <r>
    <s v="EMP2230"/>
    <s v="Kavya Patel"/>
    <n v="21"/>
    <x v="2"/>
    <x v="4"/>
    <s v="Intern"/>
    <n v="74469"/>
    <x v="1"/>
    <s v="Married"/>
    <d v="2018-08-07T00:00:00"/>
    <x v="1"/>
    <n v="3"/>
    <x v="1"/>
    <x v="4"/>
    <x v="3"/>
    <x v="1"/>
  </r>
  <r>
    <s v="EMP2231"/>
    <s v="Neha Pradhan"/>
    <n v="56"/>
    <x v="2"/>
    <x v="1"/>
    <s v="Associate"/>
    <n v="36904"/>
    <x v="4"/>
    <s v="Divorced"/>
    <d v="2022-10-07T00:00:00"/>
    <x v="5"/>
    <n v="1"/>
    <x v="1"/>
    <x v="2"/>
    <x v="7"/>
    <x v="3"/>
  </r>
  <r>
    <s v="EMP2232"/>
    <s v="Neha Reddy"/>
    <n v="27"/>
    <x v="0"/>
    <x v="7"/>
    <s v="Junior Analyst"/>
    <n v="87438"/>
    <x v="1"/>
    <s v="Divorced"/>
    <d v="2018-05-15T00:00:00"/>
    <x v="1"/>
    <n v="6"/>
    <x v="0"/>
    <x v="0"/>
    <x v="5"/>
    <x v="2"/>
  </r>
  <r>
    <s v="EMP2233"/>
    <s v="Amit Sharma"/>
    <n v="51"/>
    <x v="2"/>
    <x v="7"/>
    <s v="Manager"/>
    <n v="61488"/>
    <x v="0"/>
    <s v="Married"/>
    <d v="2022-08-16T00:00:00"/>
    <x v="5"/>
    <n v="3"/>
    <x v="1"/>
    <x v="3"/>
    <x v="0"/>
    <x v="3"/>
  </r>
  <r>
    <s v="EMP2234"/>
    <s v="Isha Pradhan"/>
    <n v="41"/>
    <x v="0"/>
    <x v="7"/>
    <s v="Senior Analyst"/>
    <n v="58789"/>
    <x v="1"/>
    <s v="Divorced"/>
    <d v="2021-01-04T00:00:00"/>
    <x v="8"/>
    <n v="10"/>
    <x v="1"/>
    <x v="3"/>
    <x v="2"/>
    <x v="0"/>
  </r>
  <r>
    <s v="EMP2235"/>
    <s v="Amit Patel"/>
    <n v="45"/>
    <x v="0"/>
    <x v="0"/>
    <s v="Intern"/>
    <n v="64032"/>
    <x v="0"/>
    <s v="Married"/>
    <d v="2021-04-02T00:00:00"/>
    <x v="8"/>
    <n v="7"/>
    <x v="0"/>
    <x v="0"/>
    <x v="3"/>
    <x v="0"/>
  </r>
  <r>
    <s v="EMP2236"/>
    <s v="Rahul Reddy"/>
    <n v="23"/>
    <x v="2"/>
    <x v="6"/>
    <s v="Senior Analyst"/>
    <n v="107484"/>
    <x v="0"/>
    <s v="Single"/>
    <d v="2016-03-16T00:00:00"/>
    <x v="6"/>
    <n v="8"/>
    <x v="0"/>
    <x v="2"/>
    <x v="6"/>
    <x v="1"/>
  </r>
  <r>
    <s v="EMP2237"/>
    <s v="Tarun Patel"/>
    <n v="21"/>
    <x v="2"/>
    <x v="3"/>
    <s v="Executive"/>
    <n v="27094"/>
    <x v="1"/>
    <s v="Divorced"/>
    <d v="2023-02-24T00:00:00"/>
    <x v="3"/>
    <n v="9"/>
    <x v="1"/>
    <x v="1"/>
    <x v="4"/>
    <x v="1"/>
  </r>
  <r>
    <s v="EMP2238"/>
    <s v="Neha Sharma"/>
    <n v="29"/>
    <x v="2"/>
    <x v="3"/>
    <s v="Executive"/>
    <n v="93233"/>
    <x v="2"/>
    <s v="Divorced"/>
    <d v="2025-09-03T00:00:00"/>
    <x v="9"/>
    <n v="2"/>
    <x v="0"/>
    <x v="0"/>
    <x v="5"/>
    <x v="2"/>
  </r>
  <r>
    <s v="EMP2239"/>
    <s v="Isha Sharma"/>
    <n v="22"/>
    <x v="2"/>
    <x v="7"/>
    <s v="Senior Analyst"/>
    <n v="58850"/>
    <x v="0"/>
    <s v="Married"/>
    <d v="2023-11-05T00:00:00"/>
    <x v="3"/>
    <n v="0"/>
    <x v="0"/>
    <x v="0"/>
    <x v="5"/>
    <x v="1"/>
  </r>
  <r>
    <s v="EMP2240"/>
    <s v="Sneha Nanda"/>
    <n v="32"/>
    <x v="2"/>
    <x v="5"/>
    <s v="Senior Analyst"/>
    <n v="98372"/>
    <x v="2"/>
    <s v="Divorced"/>
    <d v="2022-05-01T00:00:00"/>
    <x v="5"/>
    <n v="6"/>
    <x v="1"/>
    <x v="3"/>
    <x v="2"/>
    <x v="2"/>
  </r>
  <r>
    <s v="EMP2241"/>
    <s v="Karan Sharma"/>
    <n v="41"/>
    <x v="0"/>
    <x v="3"/>
    <s v="Executive"/>
    <n v="36531"/>
    <x v="2"/>
    <s v="Single"/>
    <d v="2025-02-02T00:00:00"/>
    <x v="9"/>
    <n v="9"/>
    <x v="1"/>
    <x v="2"/>
    <x v="6"/>
    <x v="0"/>
  </r>
  <r>
    <s v="EMP2242"/>
    <s v="Rahul Nanda"/>
    <n v="57"/>
    <x v="0"/>
    <x v="7"/>
    <s v="Intern"/>
    <n v="104967"/>
    <x v="3"/>
    <s v="Divorced"/>
    <d v="2022-07-02T00:00:00"/>
    <x v="5"/>
    <n v="4"/>
    <x v="1"/>
    <x v="0"/>
    <x v="4"/>
    <x v="3"/>
  </r>
  <r>
    <s v="EMP2243"/>
    <s v="Rohit Patel"/>
    <n v="28"/>
    <x v="1"/>
    <x v="0"/>
    <s v="Intern"/>
    <n v="56398"/>
    <x v="2"/>
    <s v="Married"/>
    <d v="2021-01-24T00:00:00"/>
    <x v="8"/>
    <n v="10"/>
    <x v="1"/>
    <x v="2"/>
    <x v="1"/>
    <x v="2"/>
  </r>
  <r>
    <s v="EMP2244"/>
    <s v="Rahul Nanda"/>
    <n v="26"/>
    <x v="1"/>
    <x v="4"/>
    <s v="Junior Analyst"/>
    <n v="97909"/>
    <x v="3"/>
    <s v="Married"/>
    <d v="2025-01-01T00:00:00"/>
    <x v="9"/>
    <n v="10"/>
    <x v="1"/>
    <x v="2"/>
    <x v="7"/>
    <x v="2"/>
  </r>
  <r>
    <s v="EMP2245"/>
    <s v="Priya Sharma"/>
    <n v="39"/>
    <x v="2"/>
    <x v="5"/>
    <s v="Senior Analyst"/>
    <n v="102008"/>
    <x v="0"/>
    <s v="Divorced"/>
    <d v="2016-07-01T00:00:00"/>
    <x v="6"/>
    <n v="4"/>
    <x v="0"/>
    <x v="4"/>
    <x v="0"/>
    <x v="0"/>
  </r>
  <r>
    <s v="EMP2246"/>
    <s v="Priya Patel"/>
    <n v="54"/>
    <x v="0"/>
    <x v="1"/>
    <s v="Team Lead"/>
    <n v="114801"/>
    <x v="4"/>
    <s v="Single"/>
    <d v="2021-11-21T00:00:00"/>
    <x v="8"/>
    <n v="0"/>
    <x v="1"/>
    <x v="2"/>
    <x v="4"/>
    <x v="3"/>
  </r>
  <r>
    <s v="EMP2247"/>
    <s v="Sneha Nanda"/>
    <n v="31"/>
    <x v="0"/>
    <x v="3"/>
    <s v="Intern"/>
    <n v="27563"/>
    <x v="1"/>
    <s v="Married"/>
    <d v="2018-07-03T00:00:00"/>
    <x v="1"/>
    <n v="4"/>
    <x v="0"/>
    <x v="2"/>
    <x v="0"/>
    <x v="2"/>
  </r>
  <r>
    <s v="EMP2248"/>
    <s v="Priya Singh"/>
    <n v="27"/>
    <x v="1"/>
    <x v="6"/>
    <s v="Intern"/>
    <n v="49508"/>
    <x v="3"/>
    <s v="Single"/>
    <d v="2020-07-23T00:00:00"/>
    <x v="7"/>
    <n v="4"/>
    <x v="0"/>
    <x v="4"/>
    <x v="0"/>
    <x v="2"/>
  </r>
  <r>
    <s v="EMP2249"/>
    <s v="Rahul Pradhan"/>
    <n v="29"/>
    <x v="2"/>
    <x v="0"/>
    <s v="Intern"/>
    <n v="99495"/>
    <x v="3"/>
    <s v="Married"/>
    <d v="2023-10-25T00:00:00"/>
    <x v="3"/>
    <n v="1"/>
    <x v="1"/>
    <x v="1"/>
    <x v="3"/>
    <x v="2"/>
  </r>
  <r>
    <s v="EMP2250"/>
    <s v="Tarun Singh"/>
    <n v="20"/>
    <x v="1"/>
    <x v="1"/>
    <s v="Senior Analyst"/>
    <n v="67431"/>
    <x v="1"/>
    <s v="Married"/>
    <d v="2019-01-11T00:00:00"/>
    <x v="4"/>
    <n v="10"/>
    <x v="0"/>
    <x v="3"/>
    <x v="7"/>
    <x v="1"/>
  </r>
  <r>
    <s v="EMP2251"/>
    <s v="Isha Pradhan"/>
    <n v="34"/>
    <x v="0"/>
    <x v="7"/>
    <s v="Executive"/>
    <n v="33109"/>
    <x v="2"/>
    <s v="Single"/>
    <d v="2018-03-30T00:00:00"/>
    <x v="1"/>
    <n v="7"/>
    <x v="1"/>
    <x v="1"/>
    <x v="3"/>
    <x v="2"/>
  </r>
  <r>
    <s v="EMP2252"/>
    <s v="Tarun Patel"/>
    <n v="54"/>
    <x v="1"/>
    <x v="2"/>
    <s v="Senior Analyst"/>
    <n v="92725"/>
    <x v="0"/>
    <s v="Single"/>
    <d v="2020-08-12T00:00:00"/>
    <x v="7"/>
    <n v="3"/>
    <x v="0"/>
    <x v="2"/>
    <x v="1"/>
    <x v="3"/>
  </r>
  <r>
    <s v="EMP2253"/>
    <s v="Priya Pradhan"/>
    <n v="53"/>
    <x v="0"/>
    <x v="4"/>
    <s v="Manager"/>
    <n v="80759"/>
    <x v="0"/>
    <s v="Single"/>
    <d v="2016-08-11T00:00:00"/>
    <x v="6"/>
    <n v="3"/>
    <x v="1"/>
    <x v="1"/>
    <x v="2"/>
    <x v="3"/>
  </r>
  <r>
    <s v="EMP2254"/>
    <s v="Sneha Pradhan"/>
    <n v="47"/>
    <x v="2"/>
    <x v="3"/>
    <s v="Intern"/>
    <n v="75423"/>
    <x v="1"/>
    <s v="Married"/>
    <d v="2022-11-18T00:00:00"/>
    <x v="5"/>
    <n v="0"/>
    <x v="0"/>
    <x v="0"/>
    <x v="4"/>
    <x v="3"/>
  </r>
  <r>
    <s v="EMP2255"/>
    <s v="Priya Singh"/>
    <n v="40"/>
    <x v="0"/>
    <x v="6"/>
    <s v="Senior Analyst"/>
    <n v="38016"/>
    <x v="3"/>
    <s v="Single"/>
    <d v="2020-02-11T00:00:00"/>
    <x v="7"/>
    <n v="9"/>
    <x v="1"/>
    <x v="1"/>
    <x v="7"/>
    <x v="0"/>
  </r>
  <r>
    <s v="EMP2256"/>
    <s v="Tarun Nanda"/>
    <n v="29"/>
    <x v="1"/>
    <x v="7"/>
    <s v="Executive"/>
    <n v="47522"/>
    <x v="1"/>
    <s v="Married"/>
    <d v="2023-07-26T00:00:00"/>
    <x v="3"/>
    <n v="4"/>
    <x v="1"/>
    <x v="2"/>
    <x v="1"/>
    <x v="2"/>
  </r>
  <r>
    <s v="EMP2257"/>
    <s v="Sneha Mishra"/>
    <n v="35"/>
    <x v="2"/>
    <x v="2"/>
    <s v="Executive"/>
    <n v="90987"/>
    <x v="1"/>
    <s v="Divorced"/>
    <d v="2019-09-30T00:00:00"/>
    <x v="4"/>
    <n v="1"/>
    <x v="0"/>
    <x v="2"/>
    <x v="2"/>
    <x v="2"/>
  </r>
  <r>
    <s v="EMP2258"/>
    <s v="Tarun Reddy"/>
    <n v="54"/>
    <x v="0"/>
    <x v="5"/>
    <s v="Senior Analyst"/>
    <n v="112906"/>
    <x v="3"/>
    <s v="Single"/>
    <d v="2017-10-17T00:00:00"/>
    <x v="2"/>
    <n v="1"/>
    <x v="0"/>
    <x v="1"/>
    <x v="7"/>
    <x v="3"/>
  </r>
  <r>
    <s v="EMP2259"/>
    <s v="Tarun Sharma"/>
    <n v="56"/>
    <x v="0"/>
    <x v="1"/>
    <s v="Team Lead"/>
    <n v="118754"/>
    <x v="0"/>
    <s v="Single"/>
    <d v="2024-09-24T00:00:00"/>
    <x v="0"/>
    <n v="2"/>
    <x v="0"/>
    <x v="0"/>
    <x v="2"/>
    <x v="3"/>
  </r>
  <r>
    <s v="EMP2260"/>
    <s v="Rahul Singh"/>
    <n v="50"/>
    <x v="2"/>
    <x v="1"/>
    <s v="Intern"/>
    <n v="55023"/>
    <x v="4"/>
    <s v="Married"/>
    <d v="2021-03-24T00:00:00"/>
    <x v="8"/>
    <n v="8"/>
    <x v="0"/>
    <x v="3"/>
    <x v="3"/>
    <x v="3"/>
  </r>
  <r>
    <s v="EMP2261"/>
    <s v="Neha Singh"/>
    <n v="49"/>
    <x v="1"/>
    <x v="5"/>
    <s v="Team Lead"/>
    <n v="77535"/>
    <x v="3"/>
    <s v="Single"/>
    <d v="2017-10-21T00:00:00"/>
    <x v="2"/>
    <n v="1"/>
    <x v="1"/>
    <x v="1"/>
    <x v="0"/>
    <x v="3"/>
  </r>
  <r>
    <s v="EMP2262"/>
    <s v="Rohit Pradhan"/>
    <n v="43"/>
    <x v="2"/>
    <x v="6"/>
    <s v="Associate"/>
    <n v="74588"/>
    <x v="3"/>
    <s v="Single"/>
    <d v="2016-08-30T00:00:00"/>
    <x v="6"/>
    <n v="2"/>
    <x v="1"/>
    <x v="3"/>
    <x v="4"/>
    <x v="0"/>
  </r>
  <r>
    <s v="EMP2263"/>
    <s v="Tarun Pradhan"/>
    <n v="42"/>
    <x v="0"/>
    <x v="1"/>
    <s v="Junior Analyst"/>
    <n v="73199"/>
    <x v="2"/>
    <s v="Divorced"/>
    <d v="2021-04-04T00:00:00"/>
    <x v="8"/>
    <n v="7"/>
    <x v="1"/>
    <x v="3"/>
    <x v="1"/>
    <x v="0"/>
  </r>
  <r>
    <s v="EMP2264"/>
    <s v="Neha Patel"/>
    <n v="40"/>
    <x v="2"/>
    <x v="1"/>
    <s v="Intern"/>
    <n v="35447"/>
    <x v="4"/>
    <s v="Single"/>
    <d v="2018-12-11T00:00:00"/>
    <x v="1"/>
    <n v="11"/>
    <x v="0"/>
    <x v="1"/>
    <x v="4"/>
    <x v="0"/>
  </r>
  <r>
    <s v="EMP2265"/>
    <s v="Kavya Patel"/>
    <n v="49"/>
    <x v="2"/>
    <x v="1"/>
    <s v="Intern"/>
    <n v="67127"/>
    <x v="3"/>
    <s v="Single"/>
    <d v="2020-08-04T00:00:00"/>
    <x v="7"/>
    <n v="3"/>
    <x v="0"/>
    <x v="3"/>
    <x v="2"/>
    <x v="3"/>
  </r>
  <r>
    <s v="EMP2266"/>
    <s v="Karan Singh"/>
    <n v="48"/>
    <x v="1"/>
    <x v="1"/>
    <s v="Executive"/>
    <n v="24669"/>
    <x v="1"/>
    <s v="Married"/>
    <d v="2022-05-16T00:00:00"/>
    <x v="5"/>
    <n v="6"/>
    <x v="0"/>
    <x v="3"/>
    <x v="0"/>
    <x v="3"/>
  </r>
  <r>
    <s v="EMP2267"/>
    <s v="Amit Nanda"/>
    <n v="21"/>
    <x v="2"/>
    <x v="0"/>
    <s v="Team Lead"/>
    <n v="68589"/>
    <x v="1"/>
    <s v="Married"/>
    <d v="2024-07-20T00:00:00"/>
    <x v="0"/>
    <n v="4"/>
    <x v="0"/>
    <x v="3"/>
    <x v="4"/>
    <x v="1"/>
  </r>
  <r>
    <s v="EMP2268"/>
    <s v="Amit Nanda"/>
    <n v="40"/>
    <x v="1"/>
    <x v="0"/>
    <s v="Executive"/>
    <n v="114792"/>
    <x v="2"/>
    <s v="Married"/>
    <d v="2023-01-12T00:00:00"/>
    <x v="3"/>
    <n v="10"/>
    <x v="0"/>
    <x v="2"/>
    <x v="2"/>
    <x v="0"/>
  </r>
  <r>
    <s v="EMP2269"/>
    <s v="Sneha Sharma"/>
    <n v="20"/>
    <x v="0"/>
    <x v="3"/>
    <s v="Senior Analyst"/>
    <n v="29789"/>
    <x v="3"/>
    <s v="Single"/>
    <d v="2024-07-10T00:00:00"/>
    <x v="0"/>
    <n v="4"/>
    <x v="0"/>
    <x v="1"/>
    <x v="3"/>
    <x v="1"/>
  </r>
  <r>
    <s v="EMP2270"/>
    <s v="Sneha Patel"/>
    <n v="40"/>
    <x v="2"/>
    <x v="4"/>
    <s v="Senior Analyst"/>
    <n v="80270"/>
    <x v="1"/>
    <s v="Married"/>
    <d v="2019-08-03T00:00:00"/>
    <x v="4"/>
    <n v="3"/>
    <x v="0"/>
    <x v="0"/>
    <x v="5"/>
    <x v="0"/>
  </r>
  <r>
    <s v="EMP2271"/>
    <s v="Amit Pradhan"/>
    <n v="46"/>
    <x v="0"/>
    <x v="1"/>
    <s v="Team Lead"/>
    <n v="38746"/>
    <x v="4"/>
    <s v="Divorced"/>
    <d v="2021-06-14T00:00:00"/>
    <x v="8"/>
    <n v="5"/>
    <x v="1"/>
    <x v="1"/>
    <x v="2"/>
    <x v="3"/>
  </r>
  <r>
    <s v="EMP2272"/>
    <s v="Amit Nanda"/>
    <n v="26"/>
    <x v="0"/>
    <x v="5"/>
    <s v="Junior Analyst"/>
    <n v="67931"/>
    <x v="2"/>
    <s v="Married"/>
    <d v="2018-02-05T00:00:00"/>
    <x v="1"/>
    <n v="9"/>
    <x v="0"/>
    <x v="0"/>
    <x v="6"/>
    <x v="2"/>
  </r>
  <r>
    <s v="EMP2273"/>
    <s v="Isha Reddy"/>
    <n v="56"/>
    <x v="0"/>
    <x v="4"/>
    <s v="Junior Analyst"/>
    <n v="20602"/>
    <x v="4"/>
    <s v="Married"/>
    <d v="2019-12-30T00:00:00"/>
    <x v="4"/>
    <n v="10"/>
    <x v="0"/>
    <x v="4"/>
    <x v="2"/>
    <x v="3"/>
  </r>
  <r>
    <s v="EMP2274"/>
    <s v="Amit Pradhan"/>
    <n v="39"/>
    <x v="2"/>
    <x v="1"/>
    <s v="Manager"/>
    <n v="37593"/>
    <x v="1"/>
    <s v="Divorced"/>
    <d v="2019-10-13T00:00:00"/>
    <x v="4"/>
    <n v="1"/>
    <x v="1"/>
    <x v="2"/>
    <x v="6"/>
    <x v="0"/>
  </r>
  <r>
    <s v="EMP2275"/>
    <s v="Kavya Mishra"/>
    <n v="51"/>
    <x v="0"/>
    <x v="1"/>
    <s v="Senior Analyst"/>
    <n v="40159"/>
    <x v="3"/>
    <s v="Single"/>
    <d v="2021-12-10T00:00:00"/>
    <x v="8"/>
    <n v="11"/>
    <x v="1"/>
    <x v="0"/>
    <x v="7"/>
    <x v="3"/>
  </r>
  <r>
    <s v="EMP2276"/>
    <s v="Isha Patel"/>
    <n v="30"/>
    <x v="0"/>
    <x v="0"/>
    <s v="Senior Analyst"/>
    <n v="109817"/>
    <x v="3"/>
    <s v="Married"/>
    <d v="2021-01-15T00:00:00"/>
    <x v="8"/>
    <n v="10"/>
    <x v="1"/>
    <x v="2"/>
    <x v="3"/>
    <x v="2"/>
  </r>
  <r>
    <s v="EMP2277"/>
    <s v="Isha Singh"/>
    <n v="25"/>
    <x v="1"/>
    <x v="6"/>
    <s v="Associate"/>
    <n v="35124"/>
    <x v="4"/>
    <s v="Single"/>
    <d v="2024-06-04T00:00:00"/>
    <x v="0"/>
    <n v="5"/>
    <x v="0"/>
    <x v="4"/>
    <x v="0"/>
    <x v="1"/>
  </r>
  <r>
    <s v="EMP2278"/>
    <s v="Priya Nanda"/>
    <n v="44"/>
    <x v="1"/>
    <x v="6"/>
    <s v="Intern"/>
    <n v="109132"/>
    <x v="3"/>
    <s v="Divorced"/>
    <d v="2020-05-23T00:00:00"/>
    <x v="7"/>
    <n v="6"/>
    <x v="1"/>
    <x v="4"/>
    <x v="0"/>
    <x v="0"/>
  </r>
  <r>
    <s v="EMP2279"/>
    <s v="Tarun Singh"/>
    <n v="41"/>
    <x v="0"/>
    <x v="3"/>
    <s v="Senior Analyst"/>
    <n v="112256"/>
    <x v="4"/>
    <s v="Single"/>
    <d v="2021-09-01T00:00:00"/>
    <x v="8"/>
    <n v="2"/>
    <x v="1"/>
    <x v="4"/>
    <x v="2"/>
    <x v="0"/>
  </r>
  <r>
    <s v="EMP2280"/>
    <s v="Isha Singh"/>
    <n v="25"/>
    <x v="2"/>
    <x v="3"/>
    <s v="Manager"/>
    <n v="84688"/>
    <x v="0"/>
    <s v="Single"/>
    <d v="2025-03-24T00:00:00"/>
    <x v="9"/>
    <n v="8"/>
    <x v="0"/>
    <x v="1"/>
    <x v="2"/>
    <x v="1"/>
  </r>
  <r>
    <s v="EMP2281"/>
    <s v="Amit Patel"/>
    <n v="24"/>
    <x v="0"/>
    <x v="0"/>
    <s v="Associate"/>
    <n v="29453"/>
    <x v="0"/>
    <s v="Single"/>
    <d v="2024-04-17T00:00:00"/>
    <x v="0"/>
    <n v="7"/>
    <x v="0"/>
    <x v="4"/>
    <x v="2"/>
    <x v="1"/>
  </r>
  <r>
    <s v="EMP2282"/>
    <s v="Amit Reddy"/>
    <n v="49"/>
    <x v="2"/>
    <x v="3"/>
    <s v="Manager"/>
    <n v="105154"/>
    <x v="4"/>
    <s v="Single"/>
    <d v="2016-10-25T00:00:00"/>
    <x v="6"/>
    <n v="1"/>
    <x v="0"/>
    <x v="1"/>
    <x v="2"/>
    <x v="3"/>
  </r>
  <r>
    <s v="EMP2283"/>
    <s v="Amit Sharma"/>
    <n v="25"/>
    <x v="0"/>
    <x v="1"/>
    <s v="Executive"/>
    <n v="107863"/>
    <x v="1"/>
    <s v="Single"/>
    <d v="2024-03-23T00:00:00"/>
    <x v="0"/>
    <n v="8"/>
    <x v="0"/>
    <x v="3"/>
    <x v="6"/>
    <x v="1"/>
  </r>
  <r>
    <s v="EMP2284"/>
    <s v="Karan Pradhan"/>
    <n v="50"/>
    <x v="0"/>
    <x v="4"/>
    <s v="Intern"/>
    <n v="97358"/>
    <x v="1"/>
    <s v="Married"/>
    <d v="2019-06-01T00:00:00"/>
    <x v="4"/>
    <n v="5"/>
    <x v="0"/>
    <x v="3"/>
    <x v="5"/>
    <x v="3"/>
  </r>
  <r>
    <s v="EMP2285"/>
    <s v="Karan Sharma"/>
    <n v="25"/>
    <x v="0"/>
    <x v="0"/>
    <s v="Executive"/>
    <n v="52506"/>
    <x v="4"/>
    <s v="Divorced"/>
    <d v="2018-04-23T00:00:00"/>
    <x v="1"/>
    <n v="7"/>
    <x v="0"/>
    <x v="2"/>
    <x v="4"/>
    <x v="1"/>
  </r>
  <r>
    <s v="EMP2286"/>
    <s v="Amit Mishra"/>
    <n v="40"/>
    <x v="0"/>
    <x v="5"/>
    <s v="Intern"/>
    <n v="69729"/>
    <x v="4"/>
    <s v="Married"/>
    <d v="2022-12-06T00:00:00"/>
    <x v="5"/>
    <n v="11"/>
    <x v="1"/>
    <x v="0"/>
    <x v="3"/>
    <x v="0"/>
  </r>
  <r>
    <s v="EMP2287"/>
    <s v="Priya Nanda"/>
    <n v="36"/>
    <x v="1"/>
    <x v="0"/>
    <s v="Manager"/>
    <n v="87540"/>
    <x v="3"/>
    <s v="Married"/>
    <d v="2024-08-23T00:00:00"/>
    <x v="0"/>
    <n v="3"/>
    <x v="0"/>
    <x v="2"/>
    <x v="7"/>
    <x v="0"/>
  </r>
  <r>
    <s v="EMP2288"/>
    <s v="Sneha Nanda"/>
    <n v="42"/>
    <x v="2"/>
    <x v="6"/>
    <s v="Associate"/>
    <n v="99244"/>
    <x v="2"/>
    <s v="Single"/>
    <d v="2023-09-29T00:00:00"/>
    <x v="3"/>
    <n v="2"/>
    <x v="1"/>
    <x v="2"/>
    <x v="2"/>
    <x v="0"/>
  </r>
  <r>
    <s v="EMP2289"/>
    <s v="Neha Reddy"/>
    <n v="43"/>
    <x v="2"/>
    <x v="7"/>
    <s v="Senior Analyst"/>
    <n v="92606"/>
    <x v="3"/>
    <s v="Married"/>
    <d v="2020-03-14T00:00:00"/>
    <x v="7"/>
    <n v="8"/>
    <x v="1"/>
    <x v="4"/>
    <x v="1"/>
    <x v="0"/>
  </r>
  <r>
    <s v="EMP2290"/>
    <s v="Rohit Mishra"/>
    <n v="51"/>
    <x v="1"/>
    <x v="0"/>
    <s v="Team Lead"/>
    <n v="47899"/>
    <x v="1"/>
    <s v="Single"/>
    <d v="2023-12-07T00:00:00"/>
    <x v="3"/>
    <n v="11"/>
    <x v="1"/>
    <x v="3"/>
    <x v="1"/>
    <x v="3"/>
  </r>
  <r>
    <s v="EMP2291"/>
    <s v="Isha Patel"/>
    <n v="45"/>
    <x v="1"/>
    <x v="4"/>
    <s v="Executive"/>
    <n v="77267"/>
    <x v="1"/>
    <s v="Divorced"/>
    <d v="2024-08-08T00:00:00"/>
    <x v="0"/>
    <n v="3"/>
    <x v="1"/>
    <x v="3"/>
    <x v="7"/>
    <x v="0"/>
  </r>
  <r>
    <s v="EMP2292"/>
    <s v="Amit Mishra"/>
    <n v="40"/>
    <x v="1"/>
    <x v="5"/>
    <s v="Senior Analyst"/>
    <n v="70352"/>
    <x v="0"/>
    <s v="Married"/>
    <d v="2025-01-22T00:00:00"/>
    <x v="9"/>
    <n v="10"/>
    <x v="0"/>
    <x v="1"/>
    <x v="5"/>
    <x v="0"/>
  </r>
  <r>
    <s v="EMP2293"/>
    <s v="Priya Sharma"/>
    <n v="21"/>
    <x v="1"/>
    <x v="4"/>
    <s v="Senior Analyst"/>
    <n v="37647"/>
    <x v="3"/>
    <s v="Single"/>
    <d v="2016-06-05T00:00:00"/>
    <x v="6"/>
    <n v="5"/>
    <x v="1"/>
    <x v="3"/>
    <x v="5"/>
    <x v="1"/>
  </r>
  <r>
    <s v="EMP2294"/>
    <s v="Rohit Mishra"/>
    <n v="55"/>
    <x v="1"/>
    <x v="0"/>
    <s v="Junior Analyst"/>
    <n v="42896"/>
    <x v="4"/>
    <s v="Divorced"/>
    <d v="2021-10-13T00:00:00"/>
    <x v="8"/>
    <n v="1"/>
    <x v="1"/>
    <x v="3"/>
    <x v="5"/>
    <x v="3"/>
  </r>
  <r>
    <s v="EMP2295"/>
    <s v="Isha Singh"/>
    <n v="23"/>
    <x v="1"/>
    <x v="7"/>
    <s v="Senior Analyst"/>
    <n v="26769"/>
    <x v="2"/>
    <s v="Divorced"/>
    <d v="2019-06-07T00:00:00"/>
    <x v="4"/>
    <n v="5"/>
    <x v="0"/>
    <x v="1"/>
    <x v="1"/>
    <x v="1"/>
  </r>
  <r>
    <s v="EMP2296"/>
    <s v="Priya Nanda"/>
    <n v="51"/>
    <x v="0"/>
    <x v="2"/>
    <s v="Executive"/>
    <n v="100773"/>
    <x v="3"/>
    <s v="Divorced"/>
    <d v="2019-09-02T00:00:00"/>
    <x v="4"/>
    <n v="2"/>
    <x v="1"/>
    <x v="0"/>
    <x v="2"/>
    <x v="3"/>
  </r>
  <r>
    <s v="EMP2297"/>
    <s v="Kavya Pradhan"/>
    <n v="53"/>
    <x v="1"/>
    <x v="3"/>
    <s v="Senior Analyst"/>
    <n v="112995"/>
    <x v="1"/>
    <s v="Married"/>
    <d v="2022-07-11T00:00:00"/>
    <x v="5"/>
    <n v="4"/>
    <x v="1"/>
    <x v="2"/>
    <x v="7"/>
    <x v="3"/>
  </r>
  <r>
    <s v="EMP2298"/>
    <s v="Isha Patel"/>
    <n v="46"/>
    <x v="0"/>
    <x v="0"/>
    <s v="Intern"/>
    <n v="60755"/>
    <x v="1"/>
    <s v="Married"/>
    <d v="2023-04-18T00:00:00"/>
    <x v="3"/>
    <n v="7"/>
    <x v="1"/>
    <x v="4"/>
    <x v="6"/>
    <x v="3"/>
  </r>
  <r>
    <s v="EMP2299"/>
    <s v="Kavya Mishra"/>
    <n v="41"/>
    <x v="2"/>
    <x v="0"/>
    <s v="Senior Analyst"/>
    <n v="34663"/>
    <x v="4"/>
    <s v="Single"/>
    <d v="2024-02-16T00:00:00"/>
    <x v="0"/>
    <n v="9"/>
    <x v="0"/>
    <x v="1"/>
    <x v="1"/>
    <x v="0"/>
  </r>
  <r>
    <s v="EMP2300"/>
    <s v="Kavya Nanda"/>
    <n v="21"/>
    <x v="1"/>
    <x v="7"/>
    <s v="Associate"/>
    <n v="68350"/>
    <x v="1"/>
    <s v="Divorced"/>
    <d v="2019-10-17T00:00:00"/>
    <x v="4"/>
    <n v="1"/>
    <x v="0"/>
    <x v="0"/>
    <x v="1"/>
    <x v="1"/>
  </r>
  <r>
    <s v="EMP2301"/>
    <s v="Isha Reddy"/>
    <n v="37"/>
    <x v="0"/>
    <x v="4"/>
    <s v="Associate"/>
    <n v="69062"/>
    <x v="1"/>
    <s v="Married"/>
    <d v="2024-03-02T00:00:00"/>
    <x v="0"/>
    <n v="8"/>
    <x v="0"/>
    <x v="4"/>
    <x v="7"/>
    <x v="0"/>
  </r>
  <r>
    <s v="EMP2302"/>
    <s v="Isha Pradhan"/>
    <n v="34"/>
    <x v="2"/>
    <x v="6"/>
    <s v="Senior Analyst"/>
    <n v="60888"/>
    <x v="4"/>
    <s v="Married"/>
    <d v="2022-06-27T00:00:00"/>
    <x v="5"/>
    <n v="5"/>
    <x v="0"/>
    <x v="4"/>
    <x v="6"/>
    <x v="2"/>
  </r>
  <r>
    <s v="EMP2303"/>
    <s v="Isha Patel"/>
    <n v="58"/>
    <x v="2"/>
    <x v="0"/>
    <s v="Executive"/>
    <n v="102651"/>
    <x v="4"/>
    <s v="Divorced"/>
    <d v="2017-07-15T00:00:00"/>
    <x v="2"/>
    <n v="4"/>
    <x v="1"/>
    <x v="2"/>
    <x v="4"/>
    <x v="3"/>
  </r>
  <r>
    <s v="EMP2304"/>
    <s v="Karan Mishra"/>
    <n v="52"/>
    <x v="1"/>
    <x v="0"/>
    <s v="Junior Analyst"/>
    <n v="67284"/>
    <x v="0"/>
    <s v="Married"/>
    <d v="2019-02-11T00:00:00"/>
    <x v="4"/>
    <n v="9"/>
    <x v="0"/>
    <x v="1"/>
    <x v="3"/>
    <x v="3"/>
  </r>
  <r>
    <s v="EMP2305"/>
    <s v="Rahul Sharma"/>
    <n v="46"/>
    <x v="0"/>
    <x v="3"/>
    <s v="Associate"/>
    <n v="78940"/>
    <x v="1"/>
    <s v="Married"/>
    <d v="2023-03-16T00:00:00"/>
    <x v="3"/>
    <n v="8"/>
    <x v="1"/>
    <x v="0"/>
    <x v="5"/>
    <x v="3"/>
  </r>
  <r>
    <s v="EMP2306"/>
    <s v="Kavya Nanda"/>
    <n v="40"/>
    <x v="0"/>
    <x v="2"/>
    <s v="Senior Analyst"/>
    <n v="77761"/>
    <x v="1"/>
    <s v="Divorced"/>
    <d v="2022-12-27T00:00:00"/>
    <x v="5"/>
    <n v="11"/>
    <x v="1"/>
    <x v="4"/>
    <x v="5"/>
    <x v="0"/>
  </r>
  <r>
    <s v="EMP2307"/>
    <s v="Kavya Pradhan"/>
    <n v="40"/>
    <x v="0"/>
    <x v="7"/>
    <s v="Associate"/>
    <n v="24871"/>
    <x v="3"/>
    <s v="Divorced"/>
    <d v="2021-07-15T00:00:00"/>
    <x v="8"/>
    <n v="4"/>
    <x v="1"/>
    <x v="1"/>
    <x v="6"/>
    <x v="0"/>
  </r>
  <r>
    <s v="EMP2308"/>
    <s v="Tarun Reddy"/>
    <n v="21"/>
    <x v="2"/>
    <x v="1"/>
    <s v="Senior Analyst"/>
    <n v="102715"/>
    <x v="2"/>
    <s v="Single"/>
    <d v="2019-11-06T00:00:00"/>
    <x v="4"/>
    <n v="0"/>
    <x v="0"/>
    <x v="4"/>
    <x v="6"/>
    <x v="1"/>
  </r>
  <r>
    <s v="EMP2309"/>
    <s v="Kavya Mishra"/>
    <n v="56"/>
    <x v="0"/>
    <x v="6"/>
    <s v="Intern"/>
    <n v="112735"/>
    <x v="1"/>
    <s v="Married"/>
    <d v="2016-11-25T00:00:00"/>
    <x v="6"/>
    <n v="0"/>
    <x v="0"/>
    <x v="1"/>
    <x v="5"/>
    <x v="3"/>
  </r>
  <r>
    <s v="EMP2310"/>
    <s v="Sneha Reddy"/>
    <n v="30"/>
    <x v="2"/>
    <x v="0"/>
    <s v="Associate"/>
    <n v="30040"/>
    <x v="3"/>
    <s v="Married"/>
    <d v="2019-12-24T00:00:00"/>
    <x v="4"/>
    <n v="11"/>
    <x v="0"/>
    <x v="3"/>
    <x v="6"/>
    <x v="2"/>
  </r>
  <r>
    <s v="EMP2311"/>
    <s v="Sneha Nanda"/>
    <n v="45"/>
    <x v="2"/>
    <x v="6"/>
    <s v="Junior Analyst"/>
    <n v="86770"/>
    <x v="2"/>
    <s v="Divorced"/>
    <d v="2017-12-03T00:00:00"/>
    <x v="2"/>
    <n v="11"/>
    <x v="0"/>
    <x v="1"/>
    <x v="1"/>
    <x v="0"/>
  </r>
  <r>
    <s v="EMP2312"/>
    <s v="Amit Sharma"/>
    <n v="36"/>
    <x v="0"/>
    <x v="0"/>
    <s v="Intern"/>
    <n v="25407"/>
    <x v="4"/>
    <s v="Single"/>
    <d v="2016-10-09T00:00:00"/>
    <x v="6"/>
    <n v="1"/>
    <x v="0"/>
    <x v="3"/>
    <x v="7"/>
    <x v="0"/>
  </r>
  <r>
    <s v="EMP2313"/>
    <s v="Rahul Pradhan"/>
    <n v="34"/>
    <x v="0"/>
    <x v="5"/>
    <s v="Senior Analyst"/>
    <n v="83612"/>
    <x v="3"/>
    <s v="Married"/>
    <d v="2024-08-30T00:00:00"/>
    <x v="0"/>
    <n v="2"/>
    <x v="1"/>
    <x v="2"/>
    <x v="3"/>
    <x v="2"/>
  </r>
  <r>
    <s v="EMP2314"/>
    <s v="Isha Sharma"/>
    <n v="46"/>
    <x v="2"/>
    <x v="7"/>
    <s v="Executive"/>
    <n v="23259"/>
    <x v="4"/>
    <s v="Single"/>
    <d v="2018-07-12T00:00:00"/>
    <x v="1"/>
    <n v="4"/>
    <x v="0"/>
    <x v="0"/>
    <x v="1"/>
    <x v="3"/>
  </r>
  <r>
    <s v="EMP2315"/>
    <s v="Rahul Patel"/>
    <n v="25"/>
    <x v="2"/>
    <x v="3"/>
    <s v="Associate"/>
    <n v="84735"/>
    <x v="1"/>
    <s v="Married"/>
    <d v="2018-07-28T00:00:00"/>
    <x v="1"/>
    <n v="4"/>
    <x v="0"/>
    <x v="0"/>
    <x v="7"/>
    <x v="1"/>
  </r>
  <r>
    <s v="EMP2316"/>
    <s v="Kavya Patel"/>
    <n v="37"/>
    <x v="2"/>
    <x v="3"/>
    <s v="Junior Analyst"/>
    <n v="84962"/>
    <x v="1"/>
    <s v="Single"/>
    <d v="2024-08-23T00:00:00"/>
    <x v="0"/>
    <n v="3"/>
    <x v="1"/>
    <x v="4"/>
    <x v="4"/>
    <x v="0"/>
  </r>
  <r>
    <s v="EMP2317"/>
    <s v="Neha Patel"/>
    <n v="45"/>
    <x v="0"/>
    <x v="2"/>
    <s v="Manager"/>
    <n v="77198"/>
    <x v="2"/>
    <s v="Divorced"/>
    <d v="2023-06-29T00:00:00"/>
    <x v="3"/>
    <n v="5"/>
    <x v="1"/>
    <x v="1"/>
    <x v="5"/>
    <x v="0"/>
  </r>
  <r>
    <s v="EMP2318"/>
    <s v="Sneha Sharma"/>
    <n v="44"/>
    <x v="0"/>
    <x v="0"/>
    <s v="Associate"/>
    <n v="44233"/>
    <x v="4"/>
    <s v="Divorced"/>
    <d v="2024-07-25T00:00:00"/>
    <x v="0"/>
    <n v="4"/>
    <x v="1"/>
    <x v="1"/>
    <x v="3"/>
    <x v="0"/>
  </r>
  <r>
    <s v="EMP2319"/>
    <s v="Neha Nanda"/>
    <n v="23"/>
    <x v="2"/>
    <x v="0"/>
    <s v="Associate"/>
    <n v="92297"/>
    <x v="3"/>
    <s v="Single"/>
    <d v="2021-12-01T00:00:00"/>
    <x v="8"/>
    <n v="11"/>
    <x v="0"/>
    <x v="4"/>
    <x v="7"/>
    <x v="1"/>
  </r>
  <r>
    <s v="EMP2320"/>
    <s v="Priya Mishra"/>
    <n v="31"/>
    <x v="1"/>
    <x v="0"/>
    <s v="Intern"/>
    <n v="83482"/>
    <x v="2"/>
    <s v="Divorced"/>
    <d v="2019-11-09T00:00:00"/>
    <x v="4"/>
    <n v="0"/>
    <x v="1"/>
    <x v="3"/>
    <x v="5"/>
    <x v="2"/>
  </r>
  <r>
    <s v="EMP2321"/>
    <s v="Isha Nanda"/>
    <n v="55"/>
    <x v="2"/>
    <x v="2"/>
    <s v="Associate"/>
    <n v="105428"/>
    <x v="1"/>
    <s v="Single"/>
    <d v="2023-02-05T00:00:00"/>
    <x v="3"/>
    <n v="9"/>
    <x v="0"/>
    <x v="2"/>
    <x v="7"/>
    <x v="3"/>
  </r>
  <r>
    <s v="EMP2322"/>
    <s v="Kavya Sharma"/>
    <n v="20"/>
    <x v="1"/>
    <x v="6"/>
    <s v="Junior Analyst"/>
    <n v="57773"/>
    <x v="2"/>
    <s v="Divorced"/>
    <d v="2022-07-22T00:00:00"/>
    <x v="5"/>
    <n v="4"/>
    <x v="0"/>
    <x v="2"/>
    <x v="7"/>
    <x v="1"/>
  </r>
  <r>
    <s v="EMP2323"/>
    <s v="Neha Pradhan"/>
    <n v="32"/>
    <x v="1"/>
    <x v="3"/>
    <s v="Senior Analyst"/>
    <n v="27974"/>
    <x v="2"/>
    <s v="Divorced"/>
    <d v="2016-06-08T00:00:00"/>
    <x v="6"/>
    <n v="5"/>
    <x v="1"/>
    <x v="2"/>
    <x v="2"/>
    <x v="2"/>
  </r>
  <r>
    <s v="EMP2324"/>
    <s v="Rohit Pradhan"/>
    <n v="36"/>
    <x v="1"/>
    <x v="0"/>
    <s v="Intern"/>
    <n v="33771"/>
    <x v="0"/>
    <s v="Married"/>
    <d v="2018-02-22T00:00:00"/>
    <x v="1"/>
    <n v="9"/>
    <x v="0"/>
    <x v="2"/>
    <x v="2"/>
    <x v="0"/>
  </r>
  <r>
    <s v="EMP2325"/>
    <s v="Priya Nanda"/>
    <n v="57"/>
    <x v="2"/>
    <x v="2"/>
    <s v="Manager"/>
    <n v="53398"/>
    <x v="4"/>
    <s v="Married"/>
    <d v="2016-11-23T00:00:00"/>
    <x v="6"/>
    <n v="0"/>
    <x v="0"/>
    <x v="1"/>
    <x v="2"/>
    <x v="3"/>
  </r>
  <r>
    <s v="EMP2326"/>
    <s v="Tarun Singh"/>
    <n v="44"/>
    <x v="0"/>
    <x v="6"/>
    <s v="Junior Analyst"/>
    <n v="83198"/>
    <x v="2"/>
    <s v="Married"/>
    <d v="2018-02-23T00:00:00"/>
    <x v="1"/>
    <n v="9"/>
    <x v="0"/>
    <x v="0"/>
    <x v="7"/>
    <x v="0"/>
  </r>
  <r>
    <s v="EMP2327"/>
    <s v="Sneha Mishra"/>
    <n v="37"/>
    <x v="2"/>
    <x v="2"/>
    <s v="Junior Analyst"/>
    <n v="112223"/>
    <x v="1"/>
    <s v="Married"/>
    <d v="2016-06-16T00:00:00"/>
    <x v="6"/>
    <n v="5"/>
    <x v="1"/>
    <x v="1"/>
    <x v="4"/>
    <x v="0"/>
  </r>
  <r>
    <s v="EMP2328"/>
    <s v="Isha Mishra"/>
    <n v="20"/>
    <x v="2"/>
    <x v="6"/>
    <s v="Associate"/>
    <n v="91821"/>
    <x v="2"/>
    <s v="Divorced"/>
    <d v="2024-01-26T00:00:00"/>
    <x v="0"/>
    <n v="10"/>
    <x v="1"/>
    <x v="1"/>
    <x v="7"/>
    <x v="1"/>
  </r>
  <r>
    <s v="EMP2329"/>
    <s v="Rohit Patel"/>
    <n v="25"/>
    <x v="2"/>
    <x v="3"/>
    <s v="Associate"/>
    <n v="77802"/>
    <x v="2"/>
    <s v="Divorced"/>
    <d v="2018-01-09T00:00:00"/>
    <x v="1"/>
    <n v="10"/>
    <x v="1"/>
    <x v="4"/>
    <x v="5"/>
    <x v="1"/>
  </r>
  <r>
    <s v="EMP2330"/>
    <s v="Neha Singh"/>
    <n v="42"/>
    <x v="1"/>
    <x v="5"/>
    <s v="Junior Analyst"/>
    <n v="94049"/>
    <x v="3"/>
    <s v="Married"/>
    <d v="2020-01-31T00:00:00"/>
    <x v="7"/>
    <n v="9"/>
    <x v="1"/>
    <x v="1"/>
    <x v="1"/>
    <x v="0"/>
  </r>
  <r>
    <s v="EMP2331"/>
    <s v="Karan Nanda"/>
    <n v="43"/>
    <x v="1"/>
    <x v="7"/>
    <s v="Senior Analyst"/>
    <n v="96925"/>
    <x v="1"/>
    <s v="Married"/>
    <d v="2020-03-17T00:00:00"/>
    <x v="7"/>
    <n v="8"/>
    <x v="1"/>
    <x v="3"/>
    <x v="5"/>
    <x v="0"/>
  </r>
  <r>
    <s v="EMP2332"/>
    <s v="Rahul Patel"/>
    <n v="52"/>
    <x v="2"/>
    <x v="5"/>
    <s v="Senior Analyst"/>
    <n v="96484"/>
    <x v="4"/>
    <s v="Divorced"/>
    <d v="2025-07-07T00:00:00"/>
    <x v="9"/>
    <n v="4"/>
    <x v="0"/>
    <x v="0"/>
    <x v="5"/>
    <x v="3"/>
  </r>
  <r>
    <s v="EMP2333"/>
    <s v="Priya Mishra"/>
    <n v="45"/>
    <x v="0"/>
    <x v="1"/>
    <s v="Team Lead"/>
    <n v="32664"/>
    <x v="4"/>
    <s v="Single"/>
    <d v="2022-01-05T00:00:00"/>
    <x v="5"/>
    <n v="10"/>
    <x v="0"/>
    <x v="0"/>
    <x v="7"/>
    <x v="0"/>
  </r>
  <r>
    <s v="EMP2334"/>
    <s v="Rohit Reddy"/>
    <n v="30"/>
    <x v="2"/>
    <x v="0"/>
    <s v="Intern"/>
    <n v="107654"/>
    <x v="3"/>
    <s v="Married"/>
    <d v="2017-06-30T00:00:00"/>
    <x v="2"/>
    <n v="4"/>
    <x v="1"/>
    <x v="4"/>
    <x v="0"/>
    <x v="2"/>
  </r>
  <r>
    <s v="EMP2335"/>
    <s v="Karan Singh"/>
    <n v="45"/>
    <x v="0"/>
    <x v="3"/>
    <s v="Junior Analyst"/>
    <n v="116281"/>
    <x v="0"/>
    <s v="Single"/>
    <d v="2023-05-15T00:00:00"/>
    <x v="3"/>
    <n v="6"/>
    <x v="1"/>
    <x v="1"/>
    <x v="4"/>
    <x v="0"/>
  </r>
  <r>
    <s v="EMP2336"/>
    <s v="Rahul Mishra"/>
    <n v="52"/>
    <x v="0"/>
    <x v="4"/>
    <s v="Manager"/>
    <n v="36920"/>
    <x v="3"/>
    <s v="Single"/>
    <d v="2024-08-29T00:00:00"/>
    <x v="0"/>
    <n v="3"/>
    <x v="1"/>
    <x v="4"/>
    <x v="4"/>
    <x v="3"/>
  </r>
  <r>
    <s v="EMP2337"/>
    <s v="Karan Singh"/>
    <n v="26"/>
    <x v="0"/>
    <x v="6"/>
    <s v="Manager"/>
    <n v="20125"/>
    <x v="3"/>
    <s v="Single"/>
    <d v="2018-07-05T00:00:00"/>
    <x v="1"/>
    <n v="4"/>
    <x v="0"/>
    <x v="2"/>
    <x v="2"/>
    <x v="2"/>
  </r>
  <r>
    <s v="EMP2338"/>
    <s v="Rohit Nanda"/>
    <n v="27"/>
    <x v="1"/>
    <x v="3"/>
    <s v="Junior Analyst"/>
    <n v="104715"/>
    <x v="0"/>
    <s v="Divorced"/>
    <d v="2022-11-20T00:00:00"/>
    <x v="5"/>
    <n v="0"/>
    <x v="1"/>
    <x v="4"/>
    <x v="0"/>
    <x v="2"/>
  </r>
  <r>
    <s v="EMP2339"/>
    <s v="Neha Pradhan"/>
    <n v="39"/>
    <x v="1"/>
    <x v="4"/>
    <s v="Team Lead"/>
    <n v="101259"/>
    <x v="4"/>
    <s v="Single"/>
    <d v="2023-10-20T00:00:00"/>
    <x v="3"/>
    <n v="1"/>
    <x v="1"/>
    <x v="2"/>
    <x v="1"/>
    <x v="0"/>
  </r>
  <r>
    <s v="EMP2340"/>
    <s v="Neha Patel"/>
    <n v="21"/>
    <x v="1"/>
    <x v="4"/>
    <s v="Associate"/>
    <n v="68299"/>
    <x v="4"/>
    <s v="Single"/>
    <d v="2020-12-04T00:00:00"/>
    <x v="7"/>
    <n v="11"/>
    <x v="1"/>
    <x v="3"/>
    <x v="7"/>
    <x v="1"/>
  </r>
  <r>
    <s v="EMP2341"/>
    <s v="Tarun Sharma"/>
    <n v="51"/>
    <x v="0"/>
    <x v="4"/>
    <s v="Team Lead"/>
    <n v="51050"/>
    <x v="0"/>
    <s v="Single"/>
    <d v="2018-12-09T00:00:00"/>
    <x v="1"/>
    <n v="11"/>
    <x v="0"/>
    <x v="3"/>
    <x v="0"/>
    <x v="3"/>
  </r>
  <r>
    <s v="EMP2342"/>
    <s v="Neha Pradhan"/>
    <n v="58"/>
    <x v="1"/>
    <x v="6"/>
    <s v="Senior Analyst"/>
    <n v="60319"/>
    <x v="4"/>
    <s v="Divorced"/>
    <d v="2025-10-08T00:00:00"/>
    <x v="9"/>
    <n v="1"/>
    <x v="1"/>
    <x v="1"/>
    <x v="0"/>
    <x v="3"/>
  </r>
  <r>
    <s v="EMP2343"/>
    <s v="Sneha Sharma"/>
    <n v="28"/>
    <x v="2"/>
    <x v="6"/>
    <s v="Junior Analyst"/>
    <n v="84361"/>
    <x v="0"/>
    <s v="Divorced"/>
    <d v="2018-03-21T00:00:00"/>
    <x v="1"/>
    <n v="8"/>
    <x v="1"/>
    <x v="4"/>
    <x v="0"/>
    <x v="2"/>
  </r>
  <r>
    <s v="EMP2344"/>
    <s v="Karan Singh"/>
    <n v="23"/>
    <x v="1"/>
    <x v="7"/>
    <s v="Team Lead"/>
    <n v="109516"/>
    <x v="2"/>
    <s v="Single"/>
    <d v="2021-04-02T00:00:00"/>
    <x v="8"/>
    <n v="7"/>
    <x v="1"/>
    <x v="1"/>
    <x v="7"/>
    <x v="1"/>
  </r>
  <r>
    <s v="EMP2345"/>
    <s v="Rohit Reddy"/>
    <n v="41"/>
    <x v="1"/>
    <x v="7"/>
    <s v="Executive"/>
    <n v="108021"/>
    <x v="0"/>
    <s v="Single"/>
    <d v="2021-08-04T00:00:00"/>
    <x v="8"/>
    <n v="3"/>
    <x v="1"/>
    <x v="1"/>
    <x v="7"/>
    <x v="0"/>
  </r>
  <r>
    <s v="EMP2346"/>
    <s v="Tarun Mishra"/>
    <n v="31"/>
    <x v="1"/>
    <x v="6"/>
    <s v="Executive"/>
    <n v="57620"/>
    <x v="1"/>
    <s v="Married"/>
    <d v="2025-11-22T00:00:00"/>
    <x v="9"/>
    <n v="0"/>
    <x v="1"/>
    <x v="1"/>
    <x v="1"/>
    <x v="2"/>
  </r>
  <r>
    <s v="EMP2347"/>
    <s v="Sneha Sharma"/>
    <n v="30"/>
    <x v="0"/>
    <x v="5"/>
    <s v="Team Lead"/>
    <n v="115039"/>
    <x v="4"/>
    <s v="Single"/>
    <d v="2021-02-05T00:00:00"/>
    <x v="8"/>
    <n v="9"/>
    <x v="1"/>
    <x v="4"/>
    <x v="0"/>
    <x v="2"/>
  </r>
  <r>
    <s v="EMP2348"/>
    <s v="Rahul Singh"/>
    <n v="53"/>
    <x v="2"/>
    <x v="3"/>
    <s v="Team Lead"/>
    <n v="101208"/>
    <x v="0"/>
    <s v="Married"/>
    <d v="2021-07-01T00:00:00"/>
    <x v="8"/>
    <n v="4"/>
    <x v="0"/>
    <x v="4"/>
    <x v="0"/>
    <x v="3"/>
  </r>
  <r>
    <s v="EMP2349"/>
    <s v="Karan Singh"/>
    <n v="47"/>
    <x v="0"/>
    <x v="7"/>
    <s v="Senior Analyst"/>
    <n v="29435"/>
    <x v="3"/>
    <s v="Married"/>
    <d v="2020-09-07T00:00:00"/>
    <x v="7"/>
    <n v="2"/>
    <x v="0"/>
    <x v="1"/>
    <x v="2"/>
    <x v="3"/>
  </r>
  <r>
    <s v="EMP2350"/>
    <s v="Rahul Pradhan"/>
    <n v="25"/>
    <x v="2"/>
    <x v="5"/>
    <s v="Executive"/>
    <n v="105115"/>
    <x v="2"/>
    <s v="Divorced"/>
    <d v="2022-04-23T00:00:00"/>
    <x v="5"/>
    <n v="7"/>
    <x v="1"/>
    <x v="0"/>
    <x v="3"/>
    <x v="1"/>
  </r>
  <r>
    <s v="EMP2351"/>
    <s v="Isha Sharma"/>
    <n v="31"/>
    <x v="2"/>
    <x v="1"/>
    <s v="Team Lead"/>
    <n v="33184"/>
    <x v="0"/>
    <s v="Single"/>
    <d v="2018-06-16T00:00:00"/>
    <x v="1"/>
    <n v="5"/>
    <x v="0"/>
    <x v="4"/>
    <x v="5"/>
    <x v="2"/>
  </r>
  <r>
    <s v="EMP2352"/>
    <s v="Tarun Sharma"/>
    <n v="43"/>
    <x v="0"/>
    <x v="6"/>
    <s v="Team Lead"/>
    <n v="32778"/>
    <x v="3"/>
    <s v="Divorced"/>
    <d v="2022-02-19T00:00:00"/>
    <x v="5"/>
    <n v="9"/>
    <x v="0"/>
    <x v="4"/>
    <x v="5"/>
    <x v="0"/>
  </r>
  <r>
    <s v="EMP2353"/>
    <s v="Neha Pradhan"/>
    <n v="50"/>
    <x v="0"/>
    <x v="0"/>
    <s v="Junior Analyst"/>
    <n v="105036"/>
    <x v="2"/>
    <s v="Married"/>
    <d v="2018-08-03T00:00:00"/>
    <x v="1"/>
    <n v="3"/>
    <x v="0"/>
    <x v="1"/>
    <x v="0"/>
    <x v="3"/>
  </r>
  <r>
    <s v="EMP2354"/>
    <s v="Karan Singh"/>
    <n v="54"/>
    <x v="0"/>
    <x v="5"/>
    <s v="Executive"/>
    <n v="105435"/>
    <x v="4"/>
    <s v="Single"/>
    <d v="2025-11-04T00:00:00"/>
    <x v="9"/>
    <n v="0"/>
    <x v="0"/>
    <x v="3"/>
    <x v="2"/>
    <x v="3"/>
  </r>
  <r>
    <s v="EMP2355"/>
    <s v="Kavya Pradhan"/>
    <n v="35"/>
    <x v="2"/>
    <x v="1"/>
    <s v="Senior Analyst"/>
    <n v="100001"/>
    <x v="1"/>
    <s v="Married"/>
    <d v="2020-09-28T00:00:00"/>
    <x v="7"/>
    <n v="2"/>
    <x v="0"/>
    <x v="3"/>
    <x v="7"/>
    <x v="2"/>
  </r>
  <r>
    <s v="EMP2356"/>
    <s v="Neha Mishra"/>
    <n v="45"/>
    <x v="0"/>
    <x v="0"/>
    <s v="Intern"/>
    <n v="106035"/>
    <x v="3"/>
    <s v="Married"/>
    <d v="2021-03-25T00:00:00"/>
    <x v="8"/>
    <n v="8"/>
    <x v="0"/>
    <x v="1"/>
    <x v="1"/>
    <x v="0"/>
  </r>
  <r>
    <s v="EMP2357"/>
    <s v="Kavya Mishra"/>
    <n v="52"/>
    <x v="1"/>
    <x v="5"/>
    <s v="Team Lead"/>
    <n v="49632"/>
    <x v="4"/>
    <s v="Married"/>
    <d v="2021-10-05T00:00:00"/>
    <x v="8"/>
    <n v="1"/>
    <x v="0"/>
    <x v="3"/>
    <x v="7"/>
    <x v="3"/>
  </r>
  <r>
    <s v="EMP2358"/>
    <s v="Tarun Sharma"/>
    <n v="55"/>
    <x v="0"/>
    <x v="5"/>
    <s v="Intern"/>
    <n v="119307"/>
    <x v="0"/>
    <s v="Married"/>
    <d v="2019-04-19T00:00:00"/>
    <x v="4"/>
    <n v="7"/>
    <x v="1"/>
    <x v="4"/>
    <x v="1"/>
    <x v="3"/>
  </r>
  <r>
    <s v="EMP2359"/>
    <s v="Neha Patel"/>
    <n v="54"/>
    <x v="2"/>
    <x v="3"/>
    <s v="Associate"/>
    <n v="58388"/>
    <x v="2"/>
    <s v="Divorced"/>
    <d v="2021-08-27T00:00:00"/>
    <x v="8"/>
    <n v="3"/>
    <x v="1"/>
    <x v="0"/>
    <x v="5"/>
    <x v="3"/>
  </r>
  <r>
    <s v="EMP2360"/>
    <s v="Isha Patel"/>
    <n v="25"/>
    <x v="2"/>
    <x v="4"/>
    <s v="Team Lead"/>
    <n v="62880"/>
    <x v="4"/>
    <s v="Divorced"/>
    <d v="2023-04-08T00:00:00"/>
    <x v="3"/>
    <n v="7"/>
    <x v="0"/>
    <x v="4"/>
    <x v="3"/>
    <x v="1"/>
  </r>
  <r>
    <s v="EMP2361"/>
    <s v="Rohit Mishra"/>
    <n v="38"/>
    <x v="2"/>
    <x v="0"/>
    <s v="Senior Analyst"/>
    <n v="59032"/>
    <x v="1"/>
    <s v="Divorced"/>
    <d v="2018-05-01T00:00:00"/>
    <x v="1"/>
    <n v="6"/>
    <x v="1"/>
    <x v="4"/>
    <x v="4"/>
    <x v="0"/>
  </r>
  <r>
    <s v="EMP2362"/>
    <s v="Neha Reddy"/>
    <n v="46"/>
    <x v="1"/>
    <x v="2"/>
    <s v="Junior Analyst"/>
    <n v="96349"/>
    <x v="1"/>
    <s v="Divorced"/>
    <d v="2025-01-04T00:00:00"/>
    <x v="9"/>
    <n v="10"/>
    <x v="0"/>
    <x v="4"/>
    <x v="4"/>
    <x v="3"/>
  </r>
  <r>
    <s v="EMP2363"/>
    <s v="Neha Singh"/>
    <n v="54"/>
    <x v="2"/>
    <x v="3"/>
    <s v="Associate"/>
    <n v="44799"/>
    <x v="2"/>
    <s v="Divorced"/>
    <d v="2022-01-07T00:00:00"/>
    <x v="5"/>
    <n v="10"/>
    <x v="0"/>
    <x v="2"/>
    <x v="3"/>
    <x v="3"/>
  </r>
  <r>
    <s v="EMP2364"/>
    <s v="Priya Pradhan"/>
    <n v="58"/>
    <x v="2"/>
    <x v="3"/>
    <s v="Intern"/>
    <n v="41996"/>
    <x v="2"/>
    <s v="Married"/>
    <d v="2018-12-10T00:00:00"/>
    <x v="1"/>
    <n v="11"/>
    <x v="1"/>
    <x v="3"/>
    <x v="3"/>
    <x v="3"/>
  </r>
  <r>
    <s v="EMP2365"/>
    <s v="Kavya Nanda"/>
    <n v="54"/>
    <x v="1"/>
    <x v="5"/>
    <s v="Team Lead"/>
    <n v="51387"/>
    <x v="0"/>
    <s v="Married"/>
    <d v="2017-07-31T00:00:00"/>
    <x v="2"/>
    <n v="3"/>
    <x v="1"/>
    <x v="0"/>
    <x v="0"/>
    <x v="3"/>
  </r>
  <r>
    <s v="EMP2366"/>
    <s v="Rahul Sharma"/>
    <n v="32"/>
    <x v="1"/>
    <x v="4"/>
    <s v="Team Lead"/>
    <n v="77606"/>
    <x v="4"/>
    <s v="Married"/>
    <d v="2021-12-01T00:00:00"/>
    <x v="8"/>
    <n v="11"/>
    <x v="1"/>
    <x v="1"/>
    <x v="3"/>
    <x v="2"/>
  </r>
  <r>
    <s v="EMP2367"/>
    <s v="Rahul Nanda"/>
    <n v="51"/>
    <x v="2"/>
    <x v="7"/>
    <s v="Junior Analyst"/>
    <n v="80438"/>
    <x v="2"/>
    <s v="Married"/>
    <d v="2017-07-11T00:00:00"/>
    <x v="2"/>
    <n v="4"/>
    <x v="0"/>
    <x v="1"/>
    <x v="2"/>
    <x v="3"/>
  </r>
  <r>
    <s v="EMP2368"/>
    <s v="Neha Mishra"/>
    <n v="23"/>
    <x v="0"/>
    <x v="7"/>
    <s v="Manager"/>
    <n v="54353"/>
    <x v="4"/>
    <s v="Divorced"/>
    <d v="2019-03-13T00:00:00"/>
    <x v="4"/>
    <n v="8"/>
    <x v="0"/>
    <x v="2"/>
    <x v="0"/>
    <x v="1"/>
  </r>
  <r>
    <s v="EMP2369"/>
    <s v="Priya Sharma"/>
    <n v="56"/>
    <x v="0"/>
    <x v="6"/>
    <s v="Senior Analyst"/>
    <n v="32605"/>
    <x v="4"/>
    <s v="Divorced"/>
    <d v="2019-04-18T00:00:00"/>
    <x v="4"/>
    <n v="7"/>
    <x v="1"/>
    <x v="3"/>
    <x v="4"/>
    <x v="3"/>
  </r>
  <r>
    <s v="EMP2370"/>
    <s v="Priya Pradhan"/>
    <n v="58"/>
    <x v="2"/>
    <x v="2"/>
    <s v="Senior Analyst"/>
    <n v="90432"/>
    <x v="1"/>
    <s v="Single"/>
    <d v="2016-06-11T00:00:00"/>
    <x v="6"/>
    <n v="5"/>
    <x v="1"/>
    <x v="1"/>
    <x v="5"/>
    <x v="3"/>
  </r>
  <r>
    <s v="EMP2371"/>
    <s v="Tarun Pradhan"/>
    <n v="54"/>
    <x v="2"/>
    <x v="6"/>
    <s v="Manager"/>
    <n v="39023"/>
    <x v="4"/>
    <s v="Divorced"/>
    <d v="2023-01-27T00:00:00"/>
    <x v="3"/>
    <n v="10"/>
    <x v="1"/>
    <x v="3"/>
    <x v="2"/>
    <x v="3"/>
  </r>
  <r>
    <s v="EMP2372"/>
    <s v="Sneha Pradhan"/>
    <n v="46"/>
    <x v="0"/>
    <x v="0"/>
    <s v="Team Lead"/>
    <n v="78228"/>
    <x v="1"/>
    <s v="Single"/>
    <d v="2018-08-28T00:00:00"/>
    <x v="1"/>
    <n v="3"/>
    <x v="1"/>
    <x v="2"/>
    <x v="7"/>
    <x v="3"/>
  </r>
  <r>
    <s v="EMP2373"/>
    <s v="Priya Singh"/>
    <n v="39"/>
    <x v="1"/>
    <x v="1"/>
    <s v="Executive"/>
    <n v="76479"/>
    <x v="1"/>
    <s v="Single"/>
    <d v="2025-09-08T00:00:00"/>
    <x v="9"/>
    <n v="2"/>
    <x v="0"/>
    <x v="3"/>
    <x v="1"/>
    <x v="0"/>
  </r>
  <r>
    <s v="EMP2374"/>
    <s v="Isha Pradhan"/>
    <n v="44"/>
    <x v="2"/>
    <x v="1"/>
    <s v="Team Lead"/>
    <n v="21018"/>
    <x v="3"/>
    <s v="Single"/>
    <d v="2023-09-26T00:00:00"/>
    <x v="3"/>
    <n v="2"/>
    <x v="1"/>
    <x v="3"/>
    <x v="6"/>
    <x v="0"/>
  </r>
  <r>
    <s v="EMP2375"/>
    <s v="Neha Sharma"/>
    <n v="51"/>
    <x v="2"/>
    <x v="1"/>
    <s v="Team Lead"/>
    <n v="75958"/>
    <x v="1"/>
    <s v="Married"/>
    <d v="2017-10-21T00:00:00"/>
    <x v="2"/>
    <n v="1"/>
    <x v="0"/>
    <x v="0"/>
    <x v="0"/>
    <x v="3"/>
  </r>
  <r>
    <s v="EMP2376"/>
    <s v="Amit Mishra"/>
    <n v="45"/>
    <x v="0"/>
    <x v="0"/>
    <s v="Senior Analyst"/>
    <n v="59184"/>
    <x v="2"/>
    <s v="Married"/>
    <d v="2018-12-22T00:00:00"/>
    <x v="1"/>
    <n v="11"/>
    <x v="1"/>
    <x v="1"/>
    <x v="0"/>
    <x v="0"/>
  </r>
  <r>
    <s v="EMP2377"/>
    <s v="Kavya Nanda"/>
    <n v="21"/>
    <x v="2"/>
    <x v="0"/>
    <s v="Intern"/>
    <n v="102603"/>
    <x v="0"/>
    <s v="Married"/>
    <d v="2024-03-07T00:00:00"/>
    <x v="0"/>
    <n v="8"/>
    <x v="0"/>
    <x v="3"/>
    <x v="6"/>
    <x v="1"/>
  </r>
  <r>
    <s v="EMP2378"/>
    <s v="Neha Nanda"/>
    <n v="21"/>
    <x v="1"/>
    <x v="1"/>
    <s v="Junior Analyst"/>
    <n v="112919"/>
    <x v="2"/>
    <s v="Single"/>
    <d v="2021-02-02T00:00:00"/>
    <x v="8"/>
    <n v="9"/>
    <x v="1"/>
    <x v="4"/>
    <x v="4"/>
    <x v="1"/>
  </r>
  <r>
    <s v="EMP2379"/>
    <s v="Rohit Patel"/>
    <n v="36"/>
    <x v="1"/>
    <x v="5"/>
    <s v="Executive"/>
    <n v="40091"/>
    <x v="4"/>
    <s v="Divorced"/>
    <d v="2021-12-26T00:00:00"/>
    <x v="8"/>
    <n v="11"/>
    <x v="0"/>
    <x v="2"/>
    <x v="0"/>
    <x v="0"/>
  </r>
  <r>
    <s v="EMP2380"/>
    <s v="Neha Sharma"/>
    <n v="34"/>
    <x v="0"/>
    <x v="5"/>
    <s v="Team Lead"/>
    <n v="30108"/>
    <x v="4"/>
    <s v="Single"/>
    <d v="2018-12-29T00:00:00"/>
    <x v="1"/>
    <n v="11"/>
    <x v="0"/>
    <x v="0"/>
    <x v="3"/>
    <x v="2"/>
  </r>
  <r>
    <s v="EMP2381"/>
    <s v="Isha Pradhan"/>
    <n v="38"/>
    <x v="0"/>
    <x v="1"/>
    <s v="Associate"/>
    <n v="54505"/>
    <x v="1"/>
    <s v="Single"/>
    <d v="2020-10-11T00:00:00"/>
    <x v="7"/>
    <n v="1"/>
    <x v="1"/>
    <x v="1"/>
    <x v="2"/>
    <x v="0"/>
  </r>
  <r>
    <s v="EMP2382"/>
    <s v="Priya Mishra"/>
    <n v="25"/>
    <x v="2"/>
    <x v="6"/>
    <s v="Intern"/>
    <n v="93053"/>
    <x v="1"/>
    <s v="Married"/>
    <d v="2022-05-01T00:00:00"/>
    <x v="5"/>
    <n v="6"/>
    <x v="1"/>
    <x v="3"/>
    <x v="5"/>
    <x v="1"/>
  </r>
  <r>
    <s v="EMP2383"/>
    <s v="Priya Sharma"/>
    <n v="32"/>
    <x v="2"/>
    <x v="7"/>
    <s v="Associate"/>
    <n v="26831"/>
    <x v="0"/>
    <s v="Married"/>
    <d v="2025-05-08T00:00:00"/>
    <x v="9"/>
    <n v="6"/>
    <x v="0"/>
    <x v="0"/>
    <x v="2"/>
    <x v="2"/>
  </r>
  <r>
    <s v="EMP2384"/>
    <s v="Isha Reddy"/>
    <n v="43"/>
    <x v="2"/>
    <x v="5"/>
    <s v="Team Lead"/>
    <n v="38017"/>
    <x v="1"/>
    <s v="Single"/>
    <d v="2025-01-04T00:00:00"/>
    <x v="9"/>
    <n v="10"/>
    <x v="0"/>
    <x v="4"/>
    <x v="5"/>
    <x v="0"/>
  </r>
  <r>
    <s v="EMP2385"/>
    <s v="Rohit Reddy"/>
    <n v="21"/>
    <x v="2"/>
    <x v="6"/>
    <s v="Executive"/>
    <n v="69616"/>
    <x v="1"/>
    <s v="Single"/>
    <d v="2021-06-12T00:00:00"/>
    <x v="8"/>
    <n v="5"/>
    <x v="0"/>
    <x v="1"/>
    <x v="4"/>
    <x v="1"/>
  </r>
  <r>
    <s v="EMP2386"/>
    <s v="Kavya Mishra"/>
    <n v="43"/>
    <x v="2"/>
    <x v="2"/>
    <s v="Executive"/>
    <n v="78608"/>
    <x v="2"/>
    <s v="Single"/>
    <d v="2024-02-25T00:00:00"/>
    <x v="0"/>
    <n v="9"/>
    <x v="0"/>
    <x v="1"/>
    <x v="5"/>
    <x v="0"/>
  </r>
  <r>
    <s v="EMP2387"/>
    <s v="Kavya Mishra"/>
    <n v="22"/>
    <x v="0"/>
    <x v="1"/>
    <s v="Manager"/>
    <n v="35813"/>
    <x v="3"/>
    <s v="Married"/>
    <d v="2022-02-12T00:00:00"/>
    <x v="5"/>
    <n v="9"/>
    <x v="1"/>
    <x v="3"/>
    <x v="0"/>
    <x v="1"/>
  </r>
  <r>
    <s v="EMP2388"/>
    <s v="Karan Nanda"/>
    <n v="53"/>
    <x v="1"/>
    <x v="1"/>
    <s v="Senior Analyst"/>
    <n v="116517"/>
    <x v="4"/>
    <s v="Married"/>
    <d v="2018-01-21T00:00:00"/>
    <x v="1"/>
    <n v="10"/>
    <x v="1"/>
    <x v="1"/>
    <x v="7"/>
    <x v="3"/>
  </r>
  <r>
    <s v="EMP2389"/>
    <s v="Priya Sharma"/>
    <n v="58"/>
    <x v="1"/>
    <x v="2"/>
    <s v="Team Lead"/>
    <n v="33143"/>
    <x v="2"/>
    <s v="Married"/>
    <d v="2020-05-26T00:00:00"/>
    <x v="7"/>
    <n v="6"/>
    <x v="1"/>
    <x v="4"/>
    <x v="7"/>
    <x v="3"/>
  </r>
  <r>
    <s v="EMP2390"/>
    <s v="Neha Nanda"/>
    <n v="32"/>
    <x v="0"/>
    <x v="0"/>
    <s v="Associate"/>
    <n v="75086"/>
    <x v="1"/>
    <s v="Married"/>
    <d v="2025-11-20T00:00:00"/>
    <x v="9"/>
    <n v="0"/>
    <x v="0"/>
    <x v="4"/>
    <x v="0"/>
    <x v="2"/>
  </r>
  <r>
    <s v="EMP2391"/>
    <s v="Priya Pradhan"/>
    <n v="21"/>
    <x v="0"/>
    <x v="4"/>
    <s v="Junior Analyst"/>
    <n v="51150"/>
    <x v="2"/>
    <s v="Married"/>
    <d v="2024-03-06T00:00:00"/>
    <x v="0"/>
    <n v="8"/>
    <x v="1"/>
    <x v="4"/>
    <x v="4"/>
    <x v="1"/>
  </r>
  <r>
    <s v="EMP2392"/>
    <s v="Isha Pradhan"/>
    <n v="46"/>
    <x v="0"/>
    <x v="0"/>
    <s v="Intern"/>
    <n v="37075"/>
    <x v="0"/>
    <s v="Married"/>
    <d v="2020-05-19T00:00:00"/>
    <x v="7"/>
    <n v="6"/>
    <x v="0"/>
    <x v="4"/>
    <x v="1"/>
    <x v="3"/>
  </r>
  <r>
    <s v="EMP2393"/>
    <s v="Tarun Singh"/>
    <n v="47"/>
    <x v="0"/>
    <x v="2"/>
    <s v="Associate"/>
    <n v="64500"/>
    <x v="4"/>
    <s v="Divorced"/>
    <d v="2021-07-15T00:00:00"/>
    <x v="8"/>
    <n v="4"/>
    <x v="0"/>
    <x v="3"/>
    <x v="2"/>
    <x v="3"/>
  </r>
  <r>
    <s v="EMP2394"/>
    <s v="Neha Patel"/>
    <n v="32"/>
    <x v="1"/>
    <x v="5"/>
    <s v="Manager"/>
    <n v="19449"/>
    <x v="1"/>
    <s v="Divorced"/>
    <d v="2024-02-28T00:00:00"/>
    <x v="0"/>
    <n v="9"/>
    <x v="1"/>
    <x v="2"/>
    <x v="7"/>
    <x v="2"/>
  </r>
  <r>
    <s v="EMP2395"/>
    <s v="Karan Pradhan"/>
    <n v="53"/>
    <x v="1"/>
    <x v="6"/>
    <s v="Junior Analyst"/>
    <n v="76767"/>
    <x v="3"/>
    <s v="Divorced"/>
    <d v="2021-05-07T00:00:00"/>
    <x v="8"/>
    <n v="6"/>
    <x v="1"/>
    <x v="0"/>
    <x v="6"/>
    <x v="3"/>
  </r>
  <r>
    <s v="EMP2396"/>
    <s v="Rohit Patel"/>
    <n v="23"/>
    <x v="2"/>
    <x v="7"/>
    <s v="Associate"/>
    <n v="75461"/>
    <x v="2"/>
    <s v="Married"/>
    <d v="2024-09-30T00:00:00"/>
    <x v="0"/>
    <n v="1"/>
    <x v="0"/>
    <x v="0"/>
    <x v="2"/>
    <x v="1"/>
  </r>
  <r>
    <s v="EMP2397"/>
    <s v="Amit Mishra"/>
    <n v="44"/>
    <x v="1"/>
    <x v="4"/>
    <s v="Intern"/>
    <n v="113872"/>
    <x v="3"/>
    <s v="Single"/>
    <d v="2017-10-12T00:00:00"/>
    <x v="2"/>
    <n v="1"/>
    <x v="0"/>
    <x v="2"/>
    <x v="0"/>
    <x v="0"/>
  </r>
  <r>
    <s v="EMP2398"/>
    <s v="Rohit Nanda"/>
    <n v="34"/>
    <x v="0"/>
    <x v="6"/>
    <s v="Manager"/>
    <n v="57703"/>
    <x v="1"/>
    <s v="Single"/>
    <d v="2020-11-16T00:00:00"/>
    <x v="7"/>
    <n v="0"/>
    <x v="0"/>
    <x v="3"/>
    <x v="5"/>
    <x v="2"/>
  </r>
  <r>
    <s v="EMP2399"/>
    <s v="Tarun Reddy"/>
    <n v="56"/>
    <x v="1"/>
    <x v="0"/>
    <s v="Manager"/>
    <n v="18074"/>
    <x v="1"/>
    <s v="Single"/>
    <d v="2019-03-01T00:00:00"/>
    <x v="4"/>
    <n v="8"/>
    <x v="1"/>
    <x v="2"/>
    <x v="4"/>
    <x v="3"/>
  </r>
  <r>
    <s v="EMP2400"/>
    <s v="Isha Pradhan"/>
    <n v="51"/>
    <x v="0"/>
    <x v="7"/>
    <s v="Junior Analyst"/>
    <n v="105741"/>
    <x v="3"/>
    <s v="Divorced"/>
    <d v="2024-05-07T00:00:00"/>
    <x v="0"/>
    <n v="6"/>
    <x v="1"/>
    <x v="3"/>
    <x v="3"/>
    <x v="3"/>
  </r>
  <r>
    <s v="EMP2401"/>
    <s v="Kavya Reddy"/>
    <n v="55"/>
    <x v="2"/>
    <x v="3"/>
    <s v="Intern"/>
    <n v="100775"/>
    <x v="3"/>
    <s v="Divorced"/>
    <d v="2017-12-06T00:00:00"/>
    <x v="2"/>
    <n v="11"/>
    <x v="1"/>
    <x v="0"/>
    <x v="4"/>
    <x v="3"/>
  </r>
  <r>
    <s v="EMP2402"/>
    <s v="Priya Mishra"/>
    <n v="21"/>
    <x v="1"/>
    <x v="4"/>
    <s v="Senior Analyst"/>
    <n v="53676"/>
    <x v="4"/>
    <s v="Married"/>
    <d v="2021-10-12T00:00:00"/>
    <x v="8"/>
    <n v="1"/>
    <x v="1"/>
    <x v="2"/>
    <x v="3"/>
    <x v="1"/>
  </r>
  <r>
    <s v="EMP2403"/>
    <s v="Rohit Sharma"/>
    <n v="29"/>
    <x v="2"/>
    <x v="0"/>
    <s v="Executive"/>
    <n v="46698"/>
    <x v="2"/>
    <s v="Single"/>
    <d v="2017-04-16T00:00:00"/>
    <x v="2"/>
    <n v="7"/>
    <x v="1"/>
    <x v="3"/>
    <x v="0"/>
    <x v="2"/>
  </r>
  <r>
    <s v="EMP2404"/>
    <s v="Tarun Reddy"/>
    <n v="41"/>
    <x v="1"/>
    <x v="7"/>
    <s v="Executive"/>
    <n v="49784"/>
    <x v="4"/>
    <s v="Married"/>
    <d v="2023-08-15T00:00:00"/>
    <x v="3"/>
    <n v="3"/>
    <x v="0"/>
    <x v="4"/>
    <x v="7"/>
    <x v="0"/>
  </r>
  <r>
    <s v="EMP2405"/>
    <s v="Tarun Nanda"/>
    <n v="47"/>
    <x v="0"/>
    <x v="1"/>
    <s v="Manager"/>
    <n v="80019"/>
    <x v="3"/>
    <s v="Married"/>
    <d v="2017-07-06T00:00:00"/>
    <x v="2"/>
    <n v="4"/>
    <x v="1"/>
    <x v="1"/>
    <x v="1"/>
    <x v="3"/>
  </r>
  <r>
    <s v="EMP2406"/>
    <s v="Isha Nanda"/>
    <n v="57"/>
    <x v="0"/>
    <x v="1"/>
    <s v="Associate"/>
    <n v="74374"/>
    <x v="1"/>
    <s v="Married"/>
    <d v="2018-11-30T00:00:00"/>
    <x v="1"/>
    <n v="11"/>
    <x v="0"/>
    <x v="4"/>
    <x v="5"/>
    <x v="3"/>
  </r>
  <r>
    <s v="EMP2407"/>
    <s v="Kavya Patel"/>
    <n v="57"/>
    <x v="1"/>
    <x v="7"/>
    <s v="Manager"/>
    <n v="31193"/>
    <x v="0"/>
    <s v="Divorced"/>
    <d v="2016-04-12T00:00:00"/>
    <x v="6"/>
    <n v="7"/>
    <x v="0"/>
    <x v="0"/>
    <x v="0"/>
    <x v="3"/>
  </r>
  <r>
    <s v="EMP2408"/>
    <s v="Isha Sharma"/>
    <n v="29"/>
    <x v="0"/>
    <x v="6"/>
    <s v="Executive"/>
    <n v="79762"/>
    <x v="0"/>
    <s v="Single"/>
    <d v="2019-06-15T00:00:00"/>
    <x v="4"/>
    <n v="5"/>
    <x v="1"/>
    <x v="4"/>
    <x v="2"/>
    <x v="2"/>
  </r>
  <r>
    <s v="EMP2409"/>
    <s v="Rahul Pradhan"/>
    <n v="39"/>
    <x v="1"/>
    <x v="7"/>
    <s v="Team Lead"/>
    <n v="23104"/>
    <x v="0"/>
    <s v="Single"/>
    <d v="2023-01-28T00:00:00"/>
    <x v="3"/>
    <n v="10"/>
    <x v="0"/>
    <x v="1"/>
    <x v="5"/>
    <x v="0"/>
  </r>
  <r>
    <s v="EMP2410"/>
    <s v="Tarun Mishra"/>
    <n v="51"/>
    <x v="0"/>
    <x v="2"/>
    <s v="Senior Analyst"/>
    <n v="95774"/>
    <x v="4"/>
    <s v="Divorced"/>
    <d v="2016-12-27T00:00:00"/>
    <x v="6"/>
    <n v="11"/>
    <x v="1"/>
    <x v="1"/>
    <x v="2"/>
    <x v="3"/>
  </r>
  <r>
    <s v="EMP2411"/>
    <s v="Isha Reddy"/>
    <n v="36"/>
    <x v="0"/>
    <x v="7"/>
    <s v="Team Lead"/>
    <n v="83066"/>
    <x v="1"/>
    <s v="Divorced"/>
    <d v="2019-05-15T00:00:00"/>
    <x v="4"/>
    <n v="6"/>
    <x v="0"/>
    <x v="3"/>
    <x v="6"/>
    <x v="0"/>
  </r>
  <r>
    <s v="EMP2412"/>
    <s v="Amit Singh"/>
    <n v="50"/>
    <x v="1"/>
    <x v="3"/>
    <s v="Senior Analyst"/>
    <n v="84699"/>
    <x v="3"/>
    <s v="Divorced"/>
    <d v="2024-02-06T00:00:00"/>
    <x v="0"/>
    <n v="9"/>
    <x v="1"/>
    <x v="3"/>
    <x v="4"/>
    <x v="3"/>
  </r>
  <r>
    <s v="EMP2413"/>
    <s v="Rohit Singh"/>
    <n v="40"/>
    <x v="0"/>
    <x v="0"/>
    <s v="Executive"/>
    <n v="78461"/>
    <x v="1"/>
    <s v="Single"/>
    <d v="2017-01-28T00:00:00"/>
    <x v="2"/>
    <n v="10"/>
    <x v="0"/>
    <x v="0"/>
    <x v="2"/>
    <x v="0"/>
  </r>
  <r>
    <s v="EMP2414"/>
    <s v="Amit Sharma"/>
    <n v="48"/>
    <x v="0"/>
    <x v="5"/>
    <s v="Manager"/>
    <n v="112734"/>
    <x v="3"/>
    <s v="Married"/>
    <d v="2023-11-24T00:00:00"/>
    <x v="3"/>
    <n v="0"/>
    <x v="1"/>
    <x v="0"/>
    <x v="4"/>
    <x v="3"/>
  </r>
  <r>
    <s v="EMP2415"/>
    <s v="Isha Nanda"/>
    <n v="46"/>
    <x v="0"/>
    <x v="2"/>
    <s v="Executive"/>
    <n v="110944"/>
    <x v="2"/>
    <s v="Divorced"/>
    <d v="2016-07-25T00:00:00"/>
    <x v="6"/>
    <n v="4"/>
    <x v="1"/>
    <x v="1"/>
    <x v="0"/>
    <x v="3"/>
  </r>
  <r>
    <s v="EMP2416"/>
    <s v="Priya Patel"/>
    <n v="24"/>
    <x v="0"/>
    <x v="6"/>
    <s v="Junior Analyst"/>
    <n v="51053"/>
    <x v="1"/>
    <s v="Married"/>
    <d v="2021-05-20T00:00:00"/>
    <x v="8"/>
    <n v="6"/>
    <x v="1"/>
    <x v="4"/>
    <x v="1"/>
    <x v="1"/>
  </r>
  <r>
    <s v="EMP2417"/>
    <s v="Amit Mishra"/>
    <n v="40"/>
    <x v="2"/>
    <x v="1"/>
    <s v="Senior Analyst"/>
    <n v="104298"/>
    <x v="4"/>
    <s v="Divorced"/>
    <d v="2018-04-01T00:00:00"/>
    <x v="1"/>
    <n v="7"/>
    <x v="0"/>
    <x v="1"/>
    <x v="3"/>
    <x v="0"/>
  </r>
  <r>
    <s v="EMP2418"/>
    <s v="Tarun Sharma"/>
    <n v="51"/>
    <x v="1"/>
    <x v="5"/>
    <s v="Executive"/>
    <n v="23508"/>
    <x v="1"/>
    <s v="Divorced"/>
    <d v="2022-12-16T00:00:00"/>
    <x v="5"/>
    <n v="11"/>
    <x v="1"/>
    <x v="4"/>
    <x v="4"/>
    <x v="3"/>
  </r>
  <r>
    <s v="EMP2419"/>
    <s v="Amit Nanda"/>
    <n v="22"/>
    <x v="0"/>
    <x v="3"/>
    <s v="Senior Analyst"/>
    <n v="111240"/>
    <x v="4"/>
    <s v="Married"/>
    <d v="2019-12-20T00:00:00"/>
    <x v="4"/>
    <n v="11"/>
    <x v="0"/>
    <x v="2"/>
    <x v="1"/>
    <x v="1"/>
  </r>
  <r>
    <s v="EMP2420"/>
    <s v="Karan Pradhan"/>
    <n v="33"/>
    <x v="0"/>
    <x v="3"/>
    <s v="Intern"/>
    <n v="107175"/>
    <x v="4"/>
    <s v="Married"/>
    <d v="2022-02-20T00:00:00"/>
    <x v="5"/>
    <n v="9"/>
    <x v="1"/>
    <x v="0"/>
    <x v="4"/>
    <x v="2"/>
  </r>
  <r>
    <s v="EMP2421"/>
    <s v="Tarun Mishra"/>
    <n v="22"/>
    <x v="1"/>
    <x v="2"/>
    <s v="Associate"/>
    <n v="88620"/>
    <x v="2"/>
    <s v="Single"/>
    <d v="2019-05-18T00:00:00"/>
    <x v="4"/>
    <n v="6"/>
    <x v="1"/>
    <x v="2"/>
    <x v="0"/>
    <x v="1"/>
  </r>
  <r>
    <s v="EMP2422"/>
    <s v="Kavya Singh"/>
    <n v="24"/>
    <x v="1"/>
    <x v="1"/>
    <s v="Team Lead"/>
    <n v="78757"/>
    <x v="4"/>
    <s v="Single"/>
    <d v="2019-09-20T00:00:00"/>
    <x v="4"/>
    <n v="2"/>
    <x v="0"/>
    <x v="3"/>
    <x v="3"/>
    <x v="1"/>
  </r>
  <r>
    <s v="EMP2423"/>
    <s v="Rohit Singh"/>
    <n v="22"/>
    <x v="0"/>
    <x v="2"/>
    <s v="Senior Analyst"/>
    <n v="69748"/>
    <x v="0"/>
    <s v="Divorced"/>
    <d v="2018-10-03T00:00:00"/>
    <x v="1"/>
    <n v="1"/>
    <x v="0"/>
    <x v="1"/>
    <x v="1"/>
    <x v="1"/>
  </r>
  <r>
    <s v="EMP2424"/>
    <s v="Priya Nanda"/>
    <n v="20"/>
    <x v="1"/>
    <x v="6"/>
    <s v="Associate"/>
    <n v="27975"/>
    <x v="3"/>
    <s v="Divorced"/>
    <d v="2025-04-26T00:00:00"/>
    <x v="9"/>
    <n v="7"/>
    <x v="1"/>
    <x v="2"/>
    <x v="3"/>
    <x v="1"/>
  </r>
  <r>
    <s v="EMP2425"/>
    <s v="Kavya Singh"/>
    <n v="23"/>
    <x v="1"/>
    <x v="0"/>
    <s v="Intern"/>
    <n v="88004"/>
    <x v="4"/>
    <s v="Married"/>
    <d v="2024-12-05T00:00:00"/>
    <x v="0"/>
    <n v="11"/>
    <x v="0"/>
    <x v="1"/>
    <x v="0"/>
    <x v="1"/>
  </r>
  <r>
    <s v="EMP2426"/>
    <s v="Karan Singh"/>
    <n v="41"/>
    <x v="0"/>
    <x v="0"/>
    <s v="Intern"/>
    <n v="19862"/>
    <x v="2"/>
    <s v="Single"/>
    <d v="2019-11-15T00:00:00"/>
    <x v="4"/>
    <n v="0"/>
    <x v="0"/>
    <x v="3"/>
    <x v="7"/>
    <x v="0"/>
  </r>
  <r>
    <s v="EMP2427"/>
    <s v="Sneha Pradhan"/>
    <n v="36"/>
    <x v="0"/>
    <x v="2"/>
    <s v="Senior Analyst"/>
    <n v="106055"/>
    <x v="2"/>
    <s v="Single"/>
    <d v="2020-12-19T00:00:00"/>
    <x v="7"/>
    <n v="11"/>
    <x v="0"/>
    <x v="1"/>
    <x v="6"/>
    <x v="0"/>
  </r>
  <r>
    <s v="EMP2428"/>
    <s v="Sneha Mishra"/>
    <n v="38"/>
    <x v="1"/>
    <x v="7"/>
    <s v="Executive"/>
    <n v="27991"/>
    <x v="0"/>
    <s v="Single"/>
    <d v="2018-11-15T00:00:00"/>
    <x v="1"/>
    <n v="0"/>
    <x v="0"/>
    <x v="4"/>
    <x v="5"/>
    <x v="0"/>
  </r>
  <r>
    <s v="EMP2429"/>
    <s v="Sneha Mishra"/>
    <n v="48"/>
    <x v="1"/>
    <x v="7"/>
    <s v="Associate"/>
    <n v="83596"/>
    <x v="4"/>
    <s v="Married"/>
    <d v="2021-11-30T00:00:00"/>
    <x v="8"/>
    <n v="11"/>
    <x v="0"/>
    <x v="3"/>
    <x v="3"/>
    <x v="3"/>
  </r>
  <r>
    <s v="EMP2430"/>
    <s v="Sneha Patel"/>
    <n v="25"/>
    <x v="1"/>
    <x v="5"/>
    <s v="Associate"/>
    <n v="68840"/>
    <x v="1"/>
    <s v="Divorced"/>
    <d v="2018-12-29T00:00:00"/>
    <x v="1"/>
    <n v="11"/>
    <x v="0"/>
    <x v="0"/>
    <x v="2"/>
    <x v="1"/>
  </r>
  <r>
    <s v="EMP2431"/>
    <s v="Sneha Pradhan"/>
    <n v="29"/>
    <x v="1"/>
    <x v="5"/>
    <s v="Associate"/>
    <n v="86430"/>
    <x v="4"/>
    <s v="Single"/>
    <d v="2021-07-21T00:00:00"/>
    <x v="8"/>
    <n v="4"/>
    <x v="1"/>
    <x v="2"/>
    <x v="6"/>
    <x v="2"/>
  </r>
  <r>
    <s v="EMP2432"/>
    <s v="Tarun Mishra"/>
    <n v="47"/>
    <x v="0"/>
    <x v="1"/>
    <s v="Executive"/>
    <n v="45834"/>
    <x v="1"/>
    <s v="Divorced"/>
    <d v="2023-05-03T00:00:00"/>
    <x v="3"/>
    <n v="6"/>
    <x v="1"/>
    <x v="0"/>
    <x v="2"/>
    <x v="3"/>
  </r>
  <r>
    <s v="EMP2433"/>
    <s v="Priya Mishra"/>
    <n v="51"/>
    <x v="2"/>
    <x v="4"/>
    <s v="Senior Analyst"/>
    <n v="68760"/>
    <x v="3"/>
    <s v="Single"/>
    <d v="2016-08-27T00:00:00"/>
    <x v="6"/>
    <n v="3"/>
    <x v="0"/>
    <x v="3"/>
    <x v="4"/>
    <x v="3"/>
  </r>
  <r>
    <s v="EMP2434"/>
    <s v="Rahul Reddy"/>
    <n v="42"/>
    <x v="0"/>
    <x v="3"/>
    <s v="Senior Analyst"/>
    <n v="103028"/>
    <x v="2"/>
    <s v="Divorced"/>
    <d v="2025-07-30T00:00:00"/>
    <x v="9"/>
    <n v="3"/>
    <x v="0"/>
    <x v="4"/>
    <x v="1"/>
    <x v="0"/>
  </r>
  <r>
    <s v="EMP2435"/>
    <s v="Sneha Pradhan"/>
    <n v="26"/>
    <x v="2"/>
    <x v="7"/>
    <s v="Executive"/>
    <n v="95710"/>
    <x v="2"/>
    <s v="Married"/>
    <d v="2022-05-24T00:00:00"/>
    <x v="5"/>
    <n v="6"/>
    <x v="1"/>
    <x v="2"/>
    <x v="7"/>
    <x v="2"/>
  </r>
  <r>
    <s v="EMP2436"/>
    <s v="Neha Pradhan"/>
    <n v="39"/>
    <x v="2"/>
    <x v="1"/>
    <s v="Manager"/>
    <n v="56463"/>
    <x v="0"/>
    <s v="Single"/>
    <d v="2019-07-21T00:00:00"/>
    <x v="4"/>
    <n v="4"/>
    <x v="0"/>
    <x v="4"/>
    <x v="0"/>
    <x v="0"/>
  </r>
  <r>
    <s v="EMP2437"/>
    <s v="Amit Patel"/>
    <n v="41"/>
    <x v="1"/>
    <x v="7"/>
    <s v="Senior Analyst"/>
    <n v="87594"/>
    <x v="0"/>
    <s v="Married"/>
    <d v="2019-08-24T00:00:00"/>
    <x v="4"/>
    <n v="3"/>
    <x v="1"/>
    <x v="3"/>
    <x v="7"/>
    <x v="0"/>
  </r>
  <r>
    <s v="EMP2438"/>
    <s v="Rahul Patel"/>
    <n v="40"/>
    <x v="0"/>
    <x v="7"/>
    <s v="Team Lead"/>
    <n v="36012"/>
    <x v="4"/>
    <s v="Divorced"/>
    <d v="2025-09-26T00:00:00"/>
    <x v="9"/>
    <n v="2"/>
    <x v="0"/>
    <x v="4"/>
    <x v="2"/>
    <x v="0"/>
  </r>
  <r>
    <s v="EMP2439"/>
    <s v="Sneha Patel"/>
    <n v="41"/>
    <x v="1"/>
    <x v="7"/>
    <s v="Team Lead"/>
    <n v="41936"/>
    <x v="1"/>
    <s v="Divorced"/>
    <d v="2025-02-28T00:00:00"/>
    <x v="9"/>
    <n v="9"/>
    <x v="0"/>
    <x v="1"/>
    <x v="7"/>
    <x v="0"/>
  </r>
  <r>
    <s v="EMP2440"/>
    <s v="Rohit Patel"/>
    <n v="55"/>
    <x v="2"/>
    <x v="7"/>
    <s v="Team Lead"/>
    <n v="111429"/>
    <x v="4"/>
    <s v="Divorced"/>
    <d v="2022-04-23T00:00:00"/>
    <x v="5"/>
    <n v="7"/>
    <x v="1"/>
    <x v="0"/>
    <x v="3"/>
    <x v="3"/>
  </r>
  <r>
    <s v="EMP2441"/>
    <s v="Sneha Nanda"/>
    <n v="22"/>
    <x v="1"/>
    <x v="1"/>
    <s v="Intern"/>
    <n v="30185"/>
    <x v="3"/>
    <s v="Married"/>
    <d v="2024-06-30T00:00:00"/>
    <x v="0"/>
    <n v="4"/>
    <x v="0"/>
    <x v="1"/>
    <x v="2"/>
    <x v="1"/>
  </r>
  <r>
    <s v="EMP2442"/>
    <s v="Sneha Reddy"/>
    <n v="20"/>
    <x v="0"/>
    <x v="4"/>
    <s v="Junior Analyst"/>
    <n v="23573"/>
    <x v="3"/>
    <s v="Married"/>
    <d v="2022-04-06T00:00:00"/>
    <x v="5"/>
    <n v="7"/>
    <x v="0"/>
    <x v="4"/>
    <x v="5"/>
    <x v="1"/>
  </r>
  <r>
    <s v="EMP2443"/>
    <s v="Kavya Reddy"/>
    <n v="35"/>
    <x v="0"/>
    <x v="3"/>
    <s v="Executive"/>
    <n v="40069"/>
    <x v="4"/>
    <s v="Divorced"/>
    <d v="2025-11-26T00:00:00"/>
    <x v="9"/>
    <n v="0"/>
    <x v="0"/>
    <x v="2"/>
    <x v="1"/>
    <x v="2"/>
  </r>
  <r>
    <s v="EMP2444"/>
    <s v="Priya Singh"/>
    <n v="28"/>
    <x v="0"/>
    <x v="0"/>
    <s v="Manager"/>
    <n v="71465"/>
    <x v="4"/>
    <s v="Married"/>
    <d v="2022-08-27T00:00:00"/>
    <x v="5"/>
    <n v="3"/>
    <x v="0"/>
    <x v="3"/>
    <x v="4"/>
    <x v="2"/>
  </r>
  <r>
    <s v="EMP2445"/>
    <s v="Rahul Nanda"/>
    <n v="33"/>
    <x v="2"/>
    <x v="1"/>
    <s v="Associate"/>
    <n v="43227"/>
    <x v="4"/>
    <s v="Married"/>
    <d v="2020-01-18T00:00:00"/>
    <x v="7"/>
    <n v="10"/>
    <x v="0"/>
    <x v="3"/>
    <x v="0"/>
    <x v="2"/>
  </r>
  <r>
    <s v="EMP2446"/>
    <s v="Kavya Patel"/>
    <n v="37"/>
    <x v="0"/>
    <x v="7"/>
    <s v="Junior Analyst"/>
    <n v="110655"/>
    <x v="3"/>
    <s v="Divorced"/>
    <d v="2022-12-22T00:00:00"/>
    <x v="5"/>
    <n v="11"/>
    <x v="1"/>
    <x v="2"/>
    <x v="2"/>
    <x v="0"/>
  </r>
  <r>
    <s v="EMP2447"/>
    <s v="Tarun Reddy"/>
    <n v="32"/>
    <x v="2"/>
    <x v="2"/>
    <s v="Executive"/>
    <n v="108610"/>
    <x v="4"/>
    <s v="Single"/>
    <d v="2025-04-26T00:00:00"/>
    <x v="9"/>
    <n v="7"/>
    <x v="0"/>
    <x v="1"/>
    <x v="5"/>
    <x v="2"/>
  </r>
  <r>
    <s v="EMP2448"/>
    <s v="Rahul Pradhan"/>
    <n v="35"/>
    <x v="2"/>
    <x v="6"/>
    <s v="Manager"/>
    <n v="113846"/>
    <x v="2"/>
    <s v="Single"/>
    <d v="2018-08-19T00:00:00"/>
    <x v="1"/>
    <n v="3"/>
    <x v="1"/>
    <x v="2"/>
    <x v="7"/>
    <x v="2"/>
  </r>
  <r>
    <s v="EMP2449"/>
    <s v="Priya Singh"/>
    <n v="27"/>
    <x v="2"/>
    <x v="6"/>
    <s v="Manager"/>
    <n v="72179"/>
    <x v="3"/>
    <s v="Single"/>
    <d v="2021-03-14T00:00:00"/>
    <x v="8"/>
    <n v="8"/>
    <x v="0"/>
    <x v="1"/>
    <x v="2"/>
    <x v="2"/>
  </r>
  <r>
    <s v="EMP2450"/>
    <s v="Neha Patel"/>
    <n v="46"/>
    <x v="1"/>
    <x v="2"/>
    <s v="Intern"/>
    <n v="76118"/>
    <x v="1"/>
    <s v="Divorced"/>
    <d v="2017-10-27T00:00:00"/>
    <x v="2"/>
    <n v="1"/>
    <x v="0"/>
    <x v="3"/>
    <x v="6"/>
    <x v="3"/>
  </r>
  <r>
    <s v="EMP2451"/>
    <s v="Priya Mishra"/>
    <n v="35"/>
    <x v="1"/>
    <x v="4"/>
    <s v="Junior Analyst"/>
    <n v="53900"/>
    <x v="0"/>
    <s v="Married"/>
    <d v="2016-03-21T00:00:00"/>
    <x v="6"/>
    <n v="8"/>
    <x v="1"/>
    <x v="3"/>
    <x v="5"/>
    <x v="2"/>
  </r>
  <r>
    <s v="EMP2452"/>
    <s v="Rahul Mishra"/>
    <n v="23"/>
    <x v="2"/>
    <x v="4"/>
    <s v="Senior Analyst"/>
    <n v="86718"/>
    <x v="1"/>
    <s v="Married"/>
    <d v="2017-06-04T00:00:00"/>
    <x v="2"/>
    <n v="5"/>
    <x v="1"/>
    <x v="1"/>
    <x v="3"/>
    <x v="1"/>
  </r>
  <r>
    <s v="EMP2453"/>
    <s v="Rohit Pradhan"/>
    <n v="47"/>
    <x v="0"/>
    <x v="4"/>
    <s v="Team Lead"/>
    <n v="117959"/>
    <x v="0"/>
    <s v="Divorced"/>
    <d v="2021-04-13T00:00:00"/>
    <x v="8"/>
    <n v="7"/>
    <x v="1"/>
    <x v="4"/>
    <x v="4"/>
    <x v="3"/>
  </r>
  <r>
    <s v="EMP2454"/>
    <s v="Isha Pradhan"/>
    <n v="37"/>
    <x v="1"/>
    <x v="1"/>
    <s v="Executive"/>
    <n v="53342"/>
    <x v="2"/>
    <s v="Single"/>
    <d v="2021-02-05T00:00:00"/>
    <x v="8"/>
    <n v="9"/>
    <x v="0"/>
    <x v="2"/>
    <x v="4"/>
    <x v="0"/>
  </r>
  <r>
    <s v="EMP2455"/>
    <s v="Isha Nanda"/>
    <n v="34"/>
    <x v="2"/>
    <x v="5"/>
    <s v="Senior Analyst"/>
    <n v="32394"/>
    <x v="3"/>
    <s v="Divorced"/>
    <d v="2019-01-16T00:00:00"/>
    <x v="4"/>
    <n v="10"/>
    <x v="0"/>
    <x v="4"/>
    <x v="3"/>
    <x v="2"/>
  </r>
  <r>
    <s v="EMP2456"/>
    <s v="Tarun Sharma"/>
    <n v="24"/>
    <x v="2"/>
    <x v="7"/>
    <s v="Senior Analyst"/>
    <n v="49617"/>
    <x v="3"/>
    <s v="Single"/>
    <d v="2024-09-06T00:00:00"/>
    <x v="0"/>
    <n v="2"/>
    <x v="0"/>
    <x v="3"/>
    <x v="7"/>
    <x v="1"/>
  </r>
  <r>
    <s v="EMP2457"/>
    <s v="Amit Sharma"/>
    <n v="40"/>
    <x v="2"/>
    <x v="1"/>
    <s v="Senior Analyst"/>
    <n v="92442"/>
    <x v="0"/>
    <s v="Married"/>
    <d v="2018-05-10T00:00:00"/>
    <x v="1"/>
    <n v="6"/>
    <x v="0"/>
    <x v="2"/>
    <x v="3"/>
    <x v="0"/>
  </r>
  <r>
    <s v="EMP2458"/>
    <s v="Tarun Patel"/>
    <n v="37"/>
    <x v="2"/>
    <x v="0"/>
    <s v="Junior Analyst"/>
    <n v="100424"/>
    <x v="4"/>
    <s v="Divorced"/>
    <d v="2022-07-06T00:00:00"/>
    <x v="5"/>
    <n v="4"/>
    <x v="1"/>
    <x v="2"/>
    <x v="0"/>
    <x v="0"/>
  </r>
  <r>
    <s v="EMP2459"/>
    <s v="Isha Reddy"/>
    <n v="32"/>
    <x v="0"/>
    <x v="3"/>
    <s v="Associate"/>
    <n v="24003"/>
    <x v="3"/>
    <s v="Married"/>
    <d v="2021-06-21T00:00:00"/>
    <x v="8"/>
    <n v="5"/>
    <x v="0"/>
    <x v="0"/>
    <x v="6"/>
    <x v="2"/>
  </r>
  <r>
    <s v="EMP2460"/>
    <s v="Isha Pradhan"/>
    <n v="47"/>
    <x v="2"/>
    <x v="6"/>
    <s v="Manager"/>
    <n v="108404"/>
    <x v="0"/>
    <s v="Divorced"/>
    <d v="2017-09-21T00:00:00"/>
    <x v="2"/>
    <n v="2"/>
    <x v="0"/>
    <x v="3"/>
    <x v="7"/>
    <x v="3"/>
  </r>
  <r>
    <s v="EMP2461"/>
    <s v="Priya Nanda"/>
    <n v="46"/>
    <x v="2"/>
    <x v="7"/>
    <s v="Intern"/>
    <n v="31449"/>
    <x v="4"/>
    <s v="Married"/>
    <d v="2024-03-29T00:00:00"/>
    <x v="0"/>
    <n v="8"/>
    <x v="0"/>
    <x v="1"/>
    <x v="4"/>
    <x v="3"/>
  </r>
  <r>
    <s v="EMP2462"/>
    <s v="Priya Patel"/>
    <n v="26"/>
    <x v="0"/>
    <x v="2"/>
    <s v="Team Lead"/>
    <n v="19533"/>
    <x v="2"/>
    <s v="Single"/>
    <d v="2019-05-01T00:00:00"/>
    <x v="4"/>
    <n v="6"/>
    <x v="1"/>
    <x v="1"/>
    <x v="2"/>
    <x v="2"/>
  </r>
  <r>
    <s v="EMP2463"/>
    <s v="Neha Pradhan"/>
    <n v="27"/>
    <x v="0"/>
    <x v="2"/>
    <s v="Team Lead"/>
    <n v="96423"/>
    <x v="1"/>
    <s v="Single"/>
    <d v="2021-07-10T00:00:00"/>
    <x v="8"/>
    <n v="4"/>
    <x v="1"/>
    <x v="0"/>
    <x v="5"/>
    <x v="2"/>
  </r>
  <r>
    <s v="EMP2464"/>
    <s v="Rahul Mishra"/>
    <n v="51"/>
    <x v="0"/>
    <x v="1"/>
    <s v="Manager"/>
    <n v="61351"/>
    <x v="0"/>
    <s v="Divorced"/>
    <d v="2022-09-21T00:00:00"/>
    <x v="5"/>
    <n v="2"/>
    <x v="0"/>
    <x v="0"/>
    <x v="3"/>
    <x v="3"/>
  </r>
  <r>
    <s v="EMP2465"/>
    <s v="Rahul Nanda"/>
    <n v="42"/>
    <x v="1"/>
    <x v="4"/>
    <s v="Intern"/>
    <n v="90913"/>
    <x v="1"/>
    <s v="Single"/>
    <d v="2024-06-21T00:00:00"/>
    <x v="0"/>
    <n v="5"/>
    <x v="0"/>
    <x v="0"/>
    <x v="7"/>
    <x v="0"/>
  </r>
  <r>
    <s v="EMP2466"/>
    <s v="Rohit Pradhan"/>
    <n v="31"/>
    <x v="0"/>
    <x v="0"/>
    <s v="Manager"/>
    <n v="114662"/>
    <x v="1"/>
    <s v="Single"/>
    <d v="2025-06-18T00:00:00"/>
    <x v="9"/>
    <n v="5"/>
    <x v="0"/>
    <x v="1"/>
    <x v="5"/>
    <x v="2"/>
  </r>
  <r>
    <s v="EMP2467"/>
    <s v="Rohit Nanda"/>
    <n v="23"/>
    <x v="2"/>
    <x v="4"/>
    <s v="Team Lead"/>
    <n v="47573"/>
    <x v="1"/>
    <s v="Single"/>
    <d v="2017-07-04T00:00:00"/>
    <x v="2"/>
    <n v="4"/>
    <x v="0"/>
    <x v="4"/>
    <x v="3"/>
    <x v="1"/>
  </r>
  <r>
    <s v="EMP2468"/>
    <s v="Tarun Pradhan"/>
    <n v="24"/>
    <x v="0"/>
    <x v="4"/>
    <s v="Manager"/>
    <n v="67556"/>
    <x v="1"/>
    <s v="Married"/>
    <d v="2016-07-30T00:00:00"/>
    <x v="6"/>
    <n v="3"/>
    <x v="0"/>
    <x v="3"/>
    <x v="2"/>
    <x v="1"/>
  </r>
  <r>
    <s v="EMP2469"/>
    <s v="Sneha Mishra"/>
    <n v="30"/>
    <x v="0"/>
    <x v="7"/>
    <s v="Junior Analyst"/>
    <n v="38150"/>
    <x v="0"/>
    <s v="Married"/>
    <d v="2018-10-04T00:00:00"/>
    <x v="1"/>
    <n v="1"/>
    <x v="0"/>
    <x v="4"/>
    <x v="6"/>
    <x v="2"/>
  </r>
  <r>
    <s v="EMP2470"/>
    <s v="Isha Pradhan"/>
    <n v="58"/>
    <x v="2"/>
    <x v="0"/>
    <s v="Junior Analyst"/>
    <n v="76859"/>
    <x v="1"/>
    <s v="Divorced"/>
    <d v="2025-07-27T00:00:00"/>
    <x v="9"/>
    <n v="4"/>
    <x v="1"/>
    <x v="4"/>
    <x v="6"/>
    <x v="3"/>
  </r>
  <r>
    <s v="EMP2471"/>
    <s v="Rohit Reddy"/>
    <n v="33"/>
    <x v="2"/>
    <x v="6"/>
    <s v="Junior Analyst"/>
    <n v="43725"/>
    <x v="3"/>
    <s v="Married"/>
    <d v="2024-11-06T00:00:00"/>
    <x v="0"/>
    <n v="0"/>
    <x v="1"/>
    <x v="2"/>
    <x v="2"/>
    <x v="2"/>
  </r>
  <r>
    <s v="EMP2472"/>
    <s v="Amit Sharma"/>
    <n v="34"/>
    <x v="2"/>
    <x v="7"/>
    <s v="Junior Analyst"/>
    <n v="91408"/>
    <x v="2"/>
    <s v="Divorced"/>
    <d v="2022-09-12T00:00:00"/>
    <x v="5"/>
    <n v="2"/>
    <x v="0"/>
    <x v="2"/>
    <x v="5"/>
    <x v="2"/>
  </r>
  <r>
    <s v="EMP2473"/>
    <s v="Karan Pradhan"/>
    <n v="28"/>
    <x v="0"/>
    <x v="6"/>
    <s v="Associate"/>
    <n v="84639"/>
    <x v="4"/>
    <s v="Divorced"/>
    <d v="2017-01-06T00:00:00"/>
    <x v="2"/>
    <n v="10"/>
    <x v="0"/>
    <x v="0"/>
    <x v="2"/>
    <x v="2"/>
  </r>
  <r>
    <s v="EMP2474"/>
    <s v="Neha Reddy"/>
    <n v="54"/>
    <x v="0"/>
    <x v="2"/>
    <s v="Senior Analyst"/>
    <n v="52228"/>
    <x v="4"/>
    <s v="Single"/>
    <d v="2025-06-21T00:00:00"/>
    <x v="9"/>
    <n v="5"/>
    <x v="0"/>
    <x v="2"/>
    <x v="0"/>
    <x v="3"/>
  </r>
  <r>
    <s v="EMP2475"/>
    <s v="Isha Mishra"/>
    <n v="33"/>
    <x v="0"/>
    <x v="0"/>
    <s v="Intern"/>
    <n v="109589"/>
    <x v="0"/>
    <s v="Divorced"/>
    <d v="2017-11-04T00:00:00"/>
    <x v="2"/>
    <n v="0"/>
    <x v="1"/>
    <x v="2"/>
    <x v="0"/>
    <x v="2"/>
  </r>
  <r>
    <s v="EMP2476"/>
    <s v="Karan Sharma"/>
    <n v="40"/>
    <x v="1"/>
    <x v="5"/>
    <s v="Senior Analyst"/>
    <n v="107304"/>
    <x v="3"/>
    <s v="Single"/>
    <d v="2016-07-22T00:00:00"/>
    <x v="6"/>
    <n v="4"/>
    <x v="0"/>
    <x v="2"/>
    <x v="7"/>
    <x v="0"/>
  </r>
  <r>
    <s v="EMP2477"/>
    <s v="Rahul Sharma"/>
    <n v="40"/>
    <x v="0"/>
    <x v="7"/>
    <s v="Intern"/>
    <n v="28830"/>
    <x v="1"/>
    <s v="Married"/>
    <d v="2025-03-20T00:00:00"/>
    <x v="9"/>
    <n v="8"/>
    <x v="0"/>
    <x v="3"/>
    <x v="6"/>
    <x v="0"/>
  </r>
  <r>
    <s v="EMP2478"/>
    <s v="Rahul Mishra"/>
    <n v="58"/>
    <x v="0"/>
    <x v="5"/>
    <s v="Senior Analyst"/>
    <n v="64312"/>
    <x v="2"/>
    <s v="Divorced"/>
    <d v="2017-06-23T00:00:00"/>
    <x v="2"/>
    <n v="5"/>
    <x v="1"/>
    <x v="4"/>
    <x v="3"/>
    <x v="3"/>
  </r>
  <r>
    <s v="EMP2479"/>
    <s v="Amit Sharma"/>
    <n v="54"/>
    <x v="0"/>
    <x v="4"/>
    <s v="Junior Analyst"/>
    <n v="55641"/>
    <x v="4"/>
    <s v="Single"/>
    <d v="2017-11-15T00:00:00"/>
    <x v="2"/>
    <n v="0"/>
    <x v="0"/>
    <x v="4"/>
    <x v="7"/>
    <x v="3"/>
  </r>
  <r>
    <s v="EMP2480"/>
    <s v="Neha Nanda"/>
    <n v="50"/>
    <x v="0"/>
    <x v="1"/>
    <s v="Manager"/>
    <n v="79251"/>
    <x v="0"/>
    <s v="Divorced"/>
    <d v="2016-09-25T00:00:00"/>
    <x v="6"/>
    <n v="2"/>
    <x v="0"/>
    <x v="4"/>
    <x v="4"/>
    <x v="3"/>
  </r>
  <r>
    <s v="EMP2481"/>
    <s v="Tarun Patel"/>
    <n v="41"/>
    <x v="0"/>
    <x v="3"/>
    <s v="Team Lead"/>
    <n v="112882"/>
    <x v="3"/>
    <s v="Divorced"/>
    <d v="2017-11-13T00:00:00"/>
    <x v="2"/>
    <n v="0"/>
    <x v="1"/>
    <x v="3"/>
    <x v="2"/>
    <x v="0"/>
  </r>
  <r>
    <s v="EMP2482"/>
    <s v="Priya Nanda"/>
    <n v="29"/>
    <x v="1"/>
    <x v="0"/>
    <s v="Senior Analyst"/>
    <n v="60158"/>
    <x v="0"/>
    <s v="Married"/>
    <d v="2019-08-31T00:00:00"/>
    <x v="4"/>
    <n v="2"/>
    <x v="0"/>
    <x v="0"/>
    <x v="0"/>
    <x v="2"/>
  </r>
  <r>
    <s v="EMP2483"/>
    <s v="Rahul Reddy"/>
    <n v="22"/>
    <x v="2"/>
    <x v="4"/>
    <s v="Junior Analyst"/>
    <n v="24951"/>
    <x v="1"/>
    <s v="Single"/>
    <d v="2020-10-14T00:00:00"/>
    <x v="7"/>
    <n v="1"/>
    <x v="1"/>
    <x v="0"/>
    <x v="6"/>
    <x v="1"/>
  </r>
  <r>
    <s v="EMP2484"/>
    <s v="Rahul Mishra"/>
    <n v="53"/>
    <x v="0"/>
    <x v="5"/>
    <s v="Manager"/>
    <n v="26456"/>
    <x v="3"/>
    <s v="Single"/>
    <d v="2017-07-23T00:00:00"/>
    <x v="2"/>
    <n v="4"/>
    <x v="1"/>
    <x v="4"/>
    <x v="2"/>
    <x v="3"/>
  </r>
  <r>
    <s v="EMP2485"/>
    <s v="Karan Reddy"/>
    <n v="20"/>
    <x v="1"/>
    <x v="2"/>
    <s v="Executive"/>
    <n v="102381"/>
    <x v="4"/>
    <s v="Married"/>
    <d v="2021-10-10T00:00:00"/>
    <x v="8"/>
    <n v="1"/>
    <x v="0"/>
    <x v="0"/>
    <x v="4"/>
    <x v="1"/>
  </r>
  <r>
    <s v="EMP2486"/>
    <s v="Tarun Singh"/>
    <n v="32"/>
    <x v="2"/>
    <x v="7"/>
    <s v="Senior Analyst"/>
    <n v="70390"/>
    <x v="1"/>
    <s v="Single"/>
    <d v="2023-09-25T00:00:00"/>
    <x v="3"/>
    <n v="2"/>
    <x v="0"/>
    <x v="1"/>
    <x v="0"/>
    <x v="2"/>
  </r>
  <r>
    <s v="EMP2487"/>
    <s v="Kavya Singh"/>
    <n v="38"/>
    <x v="2"/>
    <x v="5"/>
    <s v="Team Lead"/>
    <n v="86383"/>
    <x v="3"/>
    <s v="Married"/>
    <d v="2019-07-10T00:00:00"/>
    <x v="4"/>
    <n v="4"/>
    <x v="0"/>
    <x v="2"/>
    <x v="4"/>
    <x v="0"/>
  </r>
  <r>
    <s v="EMP2488"/>
    <s v="Tarun Mishra"/>
    <n v="28"/>
    <x v="1"/>
    <x v="1"/>
    <s v="Manager"/>
    <n v="46032"/>
    <x v="3"/>
    <s v="Married"/>
    <d v="2017-02-08T00:00:00"/>
    <x v="2"/>
    <n v="9"/>
    <x v="1"/>
    <x v="2"/>
    <x v="0"/>
    <x v="2"/>
  </r>
  <r>
    <s v="EMP2489"/>
    <s v="Rohit Singh"/>
    <n v="44"/>
    <x v="0"/>
    <x v="3"/>
    <s v="Senior Analyst"/>
    <n v="116342"/>
    <x v="3"/>
    <s v="Single"/>
    <d v="2018-04-12T00:00:00"/>
    <x v="1"/>
    <n v="7"/>
    <x v="1"/>
    <x v="1"/>
    <x v="6"/>
    <x v="0"/>
  </r>
  <r>
    <s v="EMP2490"/>
    <s v="Neha Reddy"/>
    <n v="31"/>
    <x v="1"/>
    <x v="0"/>
    <s v="Manager"/>
    <n v="113583"/>
    <x v="0"/>
    <s v="Married"/>
    <d v="2020-06-01T00:00:00"/>
    <x v="7"/>
    <n v="5"/>
    <x v="1"/>
    <x v="3"/>
    <x v="3"/>
    <x v="2"/>
  </r>
  <r>
    <s v="EMP2491"/>
    <s v="Rohit Reddy"/>
    <n v="56"/>
    <x v="2"/>
    <x v="6"/>
    <s v="Executive"/>
    <n v="119192"/>
    <x v="0"/>
    <s v="Married"/>
    <d v="2018-11-22T00:00:00"/>
    <x v="1"/>
    <n v="0"/>
    <x v="0"/>
    <x v="4"/>
    <x v="6"/>
    <x v="3"/>
  </r>
  <r>
    <s v="EMP2492"/>
    <s v="Amit Nanda"/>
    <n v="23"/>
    <x v="2"/>
    <x v="3"/>
    <s v="Senior Analyst"/>
    <n v="22920"/>
    <x v="0"/>
    <s v="Married"/>
    <d v="2018-11-12T00:00:00"/>
    <x v="1"/>
    <n v="0"/>
    <x v="0"/>
    <x v="1"/>
    <x v="4"/>
    <x v="1"/>
  </r>
  <r>
    <s v="EMP2493"/>
    <s v="Neha Pradhan"/>
    <n v="53"/>
    <x v="1"/>
    <x v="3"/>
    <s v="Manager"/>
    <n v="110914"/>
    <x v="2"/>
    <s v="Divorced"/>
    <d v="2018-09-03T00:00:00"/>
    <x v="1"/>
    <n v="2"/>
    <x v="0"/>
    <x v="2"/>
    <x v="2"/>
    <x v="3"/>
  </r>
  <r>
    <s v="EMP2494"/>
    <s v="Sneha Singh"/>
    <n v="58"/>
    <x v="1"/>
    <x v="4"/>
    <s v="Associate"/>
    <n v="112535"/>
    <x v="0"/>
    <s v="Divorced"/>
    <d v="2016-09-22T00:00:00"/>
    <x v="6"/>
    <n v="2"/>
    <x v="0"/>
    <x v="1"/>
    <x v="2"/>
    <x v="3"/>
  </r>
  <r>
    <s v="EMP2495"/>
    <s v="Priya Nanda"/>
    <n v="33"/>
    <x v="0"/>
    <x v="1"/>
    <s v="Senior Analyst"/>
    <n v="102414"/>
    <x v="1"/>
    <s v="Single"/>
    <d v="2020-09-29T00:00:00"/>
    <x v="7"/>
    <n v="2"/>
    <x v="0"/>
    <x v="2"/>
    <x v="2"/>
    <x v="2"/>
  </r>
  <r>
    <s v="EMP2496"/>
    <s v="Kavya Mishra"/>
    <n v="52"/>
    <x v="1"/>
    <x v="3"/>
    <s v="Manager"/>
    <n v="69031"/>
    <x v="2"/>
    <s v="Divorced"/>
    <d v="2025-10-23T00:00:00"/>
    <x v="9"/>
    <n v="1"/>
    <x v="1"/>
    <x v="0"/>
    <x v="7"/>
    <x v="3"/>
  </r>
  <r>
    <s v="EMP2497"/>
    <s v="Rahul Pradhan"/>
    <n v="33"/>
    <x v="0"/>
    <x v="6"/>
    <s v="Manager"/>
    <n v="94820"/>
    <x v="3"/>
    <s v="Married"/>
    <d v="2017-06-10T00:00:00"/>
    <x v="2"/>
    <n v="5"/>
    <x v="0"/>
    <x v="0"/>
    <x v="7"/>
    <x v="2"/>
  </r>
  <r>
    <s v="EMP2498"/>
    <s v="Priya Singh"/>
    <n v="44"/>
    <x v="1"/>
    <x v="4"/>
    <s v="Intern"/>
    <n v="101471"/>
    <x v="2"/>
    <s v="Married"/>
    <d v="2024-05-13T00:00:00"/>
    <x v="0"/>
    <n v="6"/>
    <x v="1"/>
    <x v="0"/>
    <x v="2"/>
    <x v="0"/>
  </r>
  <r>
    <s v="EMP2499"/>
    <s v="Tarun Sharma"/>
    <n v="33"/>
    <x v="1"/>
    <x v="3"/>
    <s v="Associate"/>
    <n v="97920"/>
    <x v="3"/>
    <s v="Single"/>
    <d v="2016-11-01T00:00:00"/>
    <x v="6"/>
    <n v="0"/>
    <x v="0"/>
    <x v="4"/>
    <x v="2"/>
    <x v="2"/>
  </r>
  <r>
    <s v="EMP2500"/>
    <s v="Sneha Mishra"/>
    <n v="53"/>
    <x v="2"/>
    <x v="2"/>
    <s v="Team Lead"/>
    <n v="32267"/>
    <x v="3"/>
    <s v="Single"/>
    <d v="2018-10-12T00:00:00"/>
    <x v="1"/>
    <n v="1"/>
    <x v="1"/>
    <x v="0"/>
    <x v="1"/>
    <x v="3"/>
  </r>
  <r>
    <s v="EMP2501"/>
    <s v="Neha Mishra"/>
    <n v="21"/>
    <x v="2"/>
    <x v="5"/>
    <s v="Junior Analyst"/>
    <n v="117158"/>
    <x v="1"/>
    <s v="Single"/>
    <d v="2025-04-29T00:00:00"/>
    <x v="9"/>
    <n v="7"/>
    <x v="0"/>
    <x v="1"/>
    <x v="5"/>
    <x v="1"/>
  </r>
  <r>
    <s v="EMP2502"/>
    <s v="Sneha Pradhan"/>
    <n v="48"/>
    <x v="1"/>
    <x v="3"/>
    <s v="Junior Analyst"/>
    <n v="62262"/>
    <x v="0"/>
    <s v="Single"/>
    <d v="2019-01-18T00:00:00"/>
    <x v="4"/>
    <n v="10"/>
    <x v="0"/>
    <x v="4"/>
    <x v="5"/>
    <x v="3"/>
  </r>
  <r>
    <s v="EMP2503"/>
    <s v="Karan Reddy"/>
    <n v="46"/>
    <x v="2"/>
    <x v="6"/>
    <s v="Intern"/>
    <n v="66081"/>
    <x v="0"/>
    <s v="Married"/>
    <d v="2018-11-07T00:00:00"/>
    <x v="1"/>
    <n v="0"/>
    <x v="1"/>
    <x v="3"/>
    <x v="0"/>
    <x v="3"/>
  </r>
  <r>
    <s v="EMP2504"/>
    <s v="Tarun Mishra"/>
    <n v="22"/>
    <x v="2"/>
    <x v="7"/>
    <s v="Intern"/>
    <n v="33271"/>
    <x v="1"/>
    <s v="Married"/>
    <d v="2024-12-08T00:00:00"/>
    <x v="0"/>
    <n v="11"/>
    <x v="0"/>
    <x v="2"/>
    <x v="4"/>
    <x v="1"/>
  </r>
  <r>
    <s v="EMP2505"/>
    <s v="Rahul Reddy"/>
    <n v="33"/>
    <x v="1"/>
    <x v="1"/>
    <s v="Team Lead"/>
    <n v="70144"/>
    <x v="0"/>
    <s v="Single"/>
    <d v="2020-07-08T00:00:00"/>
    <x v="7"/>
    <n v="4"/>
    <x v="0"/>
    <x v="3"/>
    <x v="2"/>
    <x v="2"/>
  </r>
  <r>
    <s v="EMP2506"/>
    <s v="Neha Singh"/>
    <n v="33"/>
    <x v="0"/>
    <x v="5"/>
    <s v="Executive"/>
    <n v="118610"/>
    <x v="3"/>
    <s v="Married"/>
    <d v="2020-03-05T00:00:00"/>
    <x v="7"/>
    <n v="8"/>
    <x v="0"/>
    <x v="3"/>
    <x v="5"/>
    <x v="2"/>
  </r>
  <r>
    <s v="EMP2507"/>
    <s v="Tarun Reddy"/>
    <n v="26"/>
    <x v="1"/>
    <x v="4"/>
    <s v="Associate"/>
    <n v="73636"/>
    <x v="4"/>
    <s v="Divorced"/>
    <d v="2017-10-14T00:00:00"/>
    <x v="2"/>
    <n v="1"/>
    <x v="0"/>
    <x v="0"/>
    <x v="3"/>
    <x v="2"/>
  </r>
  <r>
    <s v="EMP2508"/>
    <s v="Rohit Singh"/>
    <n v="22"/>
    <x v="0"/>
    <x v="0"/>
    <s v="Team Lead"/>
    <n v="57846"/>
    <x v="0"/>
    <s v="Divorced"/>
    <d v="2021-03-15T00:00:00"/>
    <x v="8"/>
    <n v="8"/>
    <x v="0"/>
    <x v="4"/>
    <x v="3"/>
    <x v="1"/>
  </r>
  <r>
    <s v="EMP2509"/>
    <s v="Priya Nanda"/>
    <n v="55"/>
    <x v="2"/>
    <x v="5"/>
    <s v="Manager"/>
    <n v="71406"/>
    <x v="1"/>
    <s v="Single"/>
    <d v="2023-06-03T00:00:00"/>
    <x v="3"/>
    <n v="5"/>
    <x v="1"/>
    <x v="0"/>
    <x v="2"/>
    <x v="3"/>
  </r>
  <r>
    <s v="EMP2510"/>
    <s v="Rahul Sharma"/>
    <n v="43"/>
    <x v="1"/>
    <x v="6"/>
    <s v="Associate"/>
    <n v="97387"/>
    <x v="0"/>
    <s v="Divorced"/>
    <d v="2020-04-25T00:00:00"/>
    <x v="7"/>
    <n v="7"/>
    <x v="0"/>
    <x v="4"/>
    <x v="3"/>
    <x v="0"/>
  </r>
  <r>
    <s v="EMP2511"/>
    <s v="Kavya Pradhan"/>
    <n v="21"/>
    <x v="2"/>
    <x v="4"/>
    <s v="Team Lead"/>
    <n v="51455"/>
    <x v="1"/>
    <s v="Married"/>
    <d v="2024-08-31T00:00:00"/>
    <x v="0"/>
    <n v="2"/>
    <x v="1"/>
    <x v="0"/>
    <x v="0"/>
    <x v="1"/>
  </r>
  <r>
    <s v="EMP2512"/>
    <s v="Rohit Mishra"/>
    <n v="55"/>
    <x v="2"/>
    <x v="4"/>
    <s v="Team Lead"/>
    <n v="29751"/>
    <x v="3"/>
    <s v="Single"/>
    <d v="2022-03-10T00:00:00"/>
    <x v="5"/>
    <n v="8"/>
    <x v="1"/>
    <x v="0"/>
    <x v="0"/>
    <x v="3"/>
  </r>
  <r>
    <s v="EMP2513"/>
    <s v="Kavya Pradhan"/>
    <n v="29"/>
    <x v="1"/>
    <x v="7"/>
    <s v="Manager"/>
    <n v="56588"/>
    <x v="4"/>
    <s v="Married"/>
    <d v="2022-07-28T00:00:00"/>
    <x v="5"/>
    <n v="4"/>
    <x v="0"/>
    <x v="1"/>
    <x v="4"/>
    <x v="2"/>
  </r>
  <r>
    <s v="EMP2514"/>
    <s v="Sneha Pradhan"/>
    <n v="34"/>
    <x v="1"/>
    <x v="5"/>
    <s v="Junior Analyst"/>
    <n v="119747"/>
    <x v="2"/>
    <s v="Divorced"/>
    <d v="2022-06-19T00:00:00"/>
    <x v="5"/>
    <n v="5"/>
    <x v="0"/>
    <x v="3"/>
    <x v="7"/>
    <x v="2"/>
  </r>
  <r>
    <s v="EMP2515"/>
    <s v="Karan Nanda"/>
    <n v="29"/>
    <x v="1"/>
    <x v="7"/>
    <s v="Associate"/>
    <n v="77923"/>
    <x v="2"/>
    <s v="Single"/>
    <d v="2023-05-21T00:00:00"/>
    <x v="3"/>
    <n v="6"/>
    <x v="1"/>
    <x v="1"/>
    <x v="4"/>
    <x v="2"/>
  </r>
  <r>
    <s v="EMP2516"/>
    <s v="Rohit Reddy"/>
    <n v="34"/>
    <x v="2"/>
    <x v="0"/>
    <s v="Intern"/>
    <n v="60700"/>
    <x v="4"/>
    <s v="Married"/>
    <d v="2023-06-24T00:00:00"/>
    <x v="3"/>
    <n v="5"/>
    <x v="0"/>
    <x v="0"/>
    <x v="5"/>
    <x v="2"/>
  </r>
  <r>
    <s v="EMP2517"/>
    <s v="Karan Mishra"/>
    <n v="21"/>
    <x v="1"/>
    <x v="6"/>
    <s v="Junior Analyst"/>
    <n v="63178"/>
    <x v="0"/>
    <s v="Single"/>
    <d v="2023-12-25T00:00:00"/>
    <x v="3"/>
    <n v="11"/>
    <x v="1"/>
    <x v="4"/>
    <x v="7"/>
    <x v="1"/>
  </r>
  <r>
    <s v="EMP2518"/>
    <s v="Karan Mishra"/>
    <n v="29"/>
    <x v="1"/>
    <x v="3"/>
    <s v="Intern"/>
    <n v="89368"/>
    <x v="1"/>
    <s v="Married"/>
    <d v="2023-08-07T00:00:00"/>
    <x v="3"/>
    <n v="3"/>
    <x v="1"/>
    <x v="2"/>
    <x v="0"/>
    <x v="2"/>
  </r>
  <r>
    <s v="EMP2519"/>
    <s v="Kavya Nanda"/>
    <n v="42"/>
    <x v="1"/>
    <x v="7"/>
    <s v="Manager"/>
    <n v="46394"/>
    <x v="4"/>
    <s v="Married"/>
    <d v="2025-04-03T00:00:00"/>
    <x v="9"/>
    <n v="7"/>
    <x v="1"/>
    <x v="2"/>
    <x v="5"/>
    <x v="0"/>
  </r>
  <r>
    <s v="EMP2520"/>
    <s v="Priya Mishra"/>
    <n v="53"/>
    <x v="1"/>
    <x v="3"/>
    <s v="Manager"/>
    <n v="116359"/>
    <x v="3"/>
    <s v="Single"/>
    <d v="2024-11-25T00:00:00"/>
    <x v="0"/>
    <n v="0"/>
    <x v="1"/>
    <x v="3"/>
    <x v="5"/>
    <x v="3"/>
  </r>
  <r>
    <s v="EMP2521"/>
    <s v="Priya Reddy"/>
    <n v="39"/>
    <x v="2"/>
    <x v="2"/>
    <s v="Manager"/>
    <n v="100056"/>
    <x v="0"/>
    <s v="Single"/>
    <d v="2021-07-20T00:00:00"/>
    <x v="8"/>
    <n v="4"/>
    <x v="0"/>
    <x v="2"/>
    <x v="7"/>
    <x v="0"/>
  </r>
  <r>
    <s v="EMP2522"/>
    <s v="Karan Nanda"/>
    <n v="58"/>
    <x v="1"/>
    <x v="1"/>
    <s v="Manager"/>
    <n v="26205"/>
    <x v="0"/>
    <s v="Married"/>
    <d v="2021-11-01T00:00:00"/>
    <x v="8"/>
    <n v="0"/>
    <x v="0"/>
    <x v="2"/>
    <x v="2"/>
    <x v="3"/>
  </r>
  <r>
    <s v="EMP2523"/>
    <s v="Priya Mishra"/>
    <n v="41"/>
    <x v="0"/>
    <x v="6"/>
    <s v="Junior Analyst"/>
    <n v="26679"/>
    <x v="4"/>
    <s v="Single"/>
    <d v="2023-01-19T00:00:00"/>
    <x v="3"/>
    <n v="10"/>
    <x v="1"/>
    <x v="2"/>
    <x v="3"/>
    <x v="0"/>
  </r>
  <r>
    <s v="EMP2524"/>
    <s v="Kavya Sharma"/>
    <n v="40"/>
    <x v="0"/>
    <x v="4"/>
    <s v="Associate"/>
    <n v="71449"/>
    <x v="1"/>
    <s v="Divorced"/>
    <d v="2022-01-14T00:00:00"/>
    <x v="5"/>
    <n v="10"/>
    <x v="0"/>
    <x v="0"/>
    <x v="1"/>
    <x v="0"/>
  </r>
  <r>
    <s v="EMP2525"/>
    <s v="Tarun Singh"/>
    <n v="29"/>
    <x v="0"/>
    <x v="3"/>
    <s v="Intern"/>
    <n v="46902"/>
    <x v="3"/>
    <s v="Married"/>
    <d v="2016-05-16T00:00:00"/>
    <x v="6"/>
    <n v="6"/>
    <x v="1"/>
    <x v="3"/>
    <x v="1"/>
    <x v="2"/>
  </r>
  <r>
    <s v="EMP2526"/>
    <s v="Kavya Patel"/>
    <n v="45"/>
    <x v="0"/>
    <x v="6"/>
    <s v="Junior Analyst"/>
    <n v="111626"/>
    <x v="1"/>
    <s v="Divorced"/>
    <d v="2020-09-15T00:00:00"/>
    <x v="7"/>
    <n v="2"/>
    <x v="1"/>
    <x v="1"/>
    <x v="5"/>
    <x v="0"/>
  </r>
  <r>
    <s v="EMP2527"/>
    <s v="Neha Sharma"/>
    <n v="55"/>
    <x v="0"/>
    <x v="4"/>
    <s v="Intern"/>
    <n v="113025"/>
    <x v="2"/>
    <s v="Married"/>
    <d v="2016-09-20T00:00:00"/>
    <x v="6"/>
    <n v="2"/>
    <x v="0"/>
    <x v="0"/>
    <x v="2"/>
    <x v="3"/>
  </r>
  <r>
    <s v="EMP2528"/>
    <s v="Rohit Sharma"/>
    <n v="45"/>
    <x v="2"/>
    <x v="2"/>
    <s v="Executive"/>
    <n v="26802"/>
    <x v="1"/>
    <s v="Single"/>
    <d v="2021-04-11T00:00:00"/>
    <x v="8"/>
    <n v="7"/>
    <x v="0"/>
    <x v="2"/>
    <x v="5"/>
    <x v="0"/>
  </r>
  <r>
    <s v="EMP2529"/>
    <s v="Neha Patel"/>
    <n v="30"/>
    <x v="0"/>
    <x v="3"/>
    <s v="Manager"/>
    <n v="70600"/>
    <x v="2"/>
    <s v="Divorced"/>
    <d v="2017-01-27T00:00:00"/>
    <x v="2"/>
    <n v="10"/>
    <x v="1"/>
    <x v="2"/>
    <x v="4"/>
    <x v="2"/>
  </r>
  <r>
    <s v="EMP2530"/>
    <s v="Amit Singh"/>
    <n v="26"/>
    <x v="0"/>
    <x v="5"/>
    <s v="Junior Analyst"/>
    <n v="18060"/>
    <x v="0"/>
    <s v="Single"/>
    <d v="2024-08-07T00:00:00"/>
    <x v="0"/>
    <n v="3"/>
    <x v="1"/>
    <x v="1"/>
    <x v="6"/>
    <x v="2"/>
  </r>
  <r>
    <s v="EMP2531"/>
    <s v="Amit Nanda"/>
    <n v="51"/>
    <x v="2"/>
    <x v="3"/>
    <s v="Manager"/>
    <n v="67280"/>
    <x v="1"/>
    <s v="Single"/>
    <d v="2021-03-15T00:00:00"/>
    <x v="8"/>
    <n v="8"/>
    <x v="0"/>
    <x v="0"/>
    <x v="3"/>
    <x v="3"/>
  </r>
  <r>
    <s v="EMP2532"/>
    <s v="Rohit Patel"/>
    <n v="57"/>
    <x v="0"/>
    <x v="5"/>
    <s v="Senior Analyst"/>
    <n v="93865"/>
    <x v="0"/>
    <s v="Single"/>
    <d v="2025-11-16T00:00:00"/>
    <x v="9"/>
    <n v="0"/>
    <x v="1"/>
    <x v="4"/>
    <x v="7"/>
    <x v="3"/>
  </r>
  <r>
    <s v="EMP2533"/>
    <s v="Sneha Nanda"/>
    <n v="37"/>
    <x v="1"/>
    <x v="6"/>
    <s v="Junior Analyst"/>
    <n v="48999"/>
    <x v="1"/>
    <s v="Divorced"/>
    <d v="2018-12-28T00:00:00"/>
    <x v="1"/>
    <n v="11"/>
    <x v="0"/>
    <x v="3"/>
    <x v="1"/>
    <x v="0"/>
  </r>
  <r>
    <s v="EMP2534"/>
    <s v="Karan Sharma"/>
    <n v="29"/>
    <x v="1"/>
    <x v="4"/>
    <s v="Team Lead"/>
    <n v="105461"/>
    <x v="1"/>
    <s v="Single"/>
    <d v="2017-01-10T00:00:00"/>
    <x v="2"/>
    <n v="10"/>
    <x v="0"/>
    <x v="1"/>
    <x v="2"/>
    <x v="2"/>
  </r>
  <r>
    <s v="EMP2535"/>
    <s v="Isha Mishra"/>
    <n v="57"/>
    <x v="2"/>
    <x v="5"/>
    <s v="Intern"/>
    <n v="31413"/>
    <x v="1"/>
    <s v="Married"/>
    <d v="2022-01-04T00:00:00"/>
    <x v="5"/>
    <n v="10"/>
    <x v="1"/>
    <x v="1"/>
    <x v="6"/>
    <x v="3"/>
  </r>
  <r>
    <s v="EMP2536"/>
    <s v="Isha Mishra"/>
    <n v="58"/>
    <x v="1"/>
    <x v="0"/>
    <s v="Junior Analyst"/>
    <n v="117336"/>
    <x v="1"/>
    <s v="Divorced"/>
    <d v="2018-11-29T00:00:00"/>
    <x v="1"/>
    <n v="0"/>
    <x v="0"/>
    <x v="0"/>
    <x v="5"/>
    <x v="3"/>
  </r>
  <r>
    <s v="EMP2537"/>
    <s v="Karan Singh"/>
    <n v="40"/>
    <x v="1"/>
    <x v="6"/>
    <s v="Executive"/>
    <n v="62364"/>
    <x v="4"/>
    <s v="Married"/>
    <d v="2024-06-21T00:00:00"/>
    <x v="0"/>
    <n v="5"/>
    <x v="0"/>
    <x v="3"/>
    <x v="0"/>
    <x v="0"/>
  </r>
  <r>
    <s v="EMP2538"/>
    <s v="Tarun Singh"/>
    <n v="27"/>
    <x v="1"/>
    <x v="4"/>
    <s v="Manager"/>
    <n v="109765"/>
    <x v="2"/>
    <s v="Married"/>
    <d v="2018-10-31T00:00:00"/>
    <x v="1"/>
    <n v="0"/>
    <x v="1"/>
    <x v="0"/>
    <x v="5"/>
    <x v="2"/>
  </r>
  <r>
    <s v="EMP2539"/>
    <s v="Rahul Patel"/>
    <n v="20"/>
    <x v="1"/>
    <x v="5"/>
    <s v="Intern"/>
    <n v="29056"/>
    <x v="1"/>
    <s v="Single"/>
    <d v="2018-09-12T00:00:00"/>
    <x v="1"/>
    <n v="2"/>
    <x v="1"/>
    <x v="4"/>
    <x v="5"/>
    <x v="1"/>
  </r>
  <r>
    <s v="EMP2540"/>
    <s v="Sneha Nanda"/>
    <n v="43"/>
    <x v="0"/>
    <x v="3"/>
    <s v="Junior Analyst"/>
    <n v="88657"/>
    <x v="0"/>
    <s v="Divorced"/>
    <d v="2019-02-27T00:00:00"/>
    <x v="4"/>
    <n v="9"/>
    <x v="1"/>
    <x v="0"/>
    <x v="5"/>
    <x v="0"/>
  </r>
  <r>
    <s v="EMP2541"/>
    <s v="Sneha Reddy"/>
    <n v="31"/>
    <x v="0"/>
    <x v="5"/>
    <s v="Team Lead"/>
    <n v="60911"/>
    <x v="2"/>
    <s v="Married"/>
    <d v="2024-08-26T00:00:00"/>
    <x v="0"/>
    <n v="3"/>
    <x v="0"/>
    <x v="0"/>
    <x v="3"/>
    <x v="2"/>
  </r>
  <r>
    <s v="EMP2542"/>
    <s v="Priya Nanda"/>
    <n v="58"/>
    <x v="2"/>
    <x v="2"/>
    <s v="Associate"/>
    <n v="89660"/>
    <x v="0"/>
    <s v="Single"/>
    <d v="2017-08-10T00:00:00"/>
    <x v="2"/>
    <n v="3"/>
    <x v="0"/>
    <x v="4"/>
    <x v="7"/>
    <x v="3"/>
  </r>
  <r>
    <s v="EMP2543"/>
    <s v="Kavya Singh"/>
    <n v="34"/>
    <x v="2"/>
    <x v="1"/>
    <s v="Team Lead"/>
    <n v="112265"/>
    <x v="3"/>
    <s v="Divorced"/>
    <d v="2019-06-17T00:00:00"/>
    <x v="4"/>
    <n v="5"/>
    <x v="0"/>
    <x v="4"/>
    <x v="6"/>
    <x v="2"/>
  </r>
  <r>
    <s v="EMP2544"/>
    <s v="Kavya Reddy"/>
    <n v="55"/>
    <x v="2"/>
    <x v="7"/>
    <s v="Manager"/>
    <n v="102839"/>
    <x v="3"/>
    <s v="Married"/>
    <d v="2021-04-02T00:00:00"/>
    <x v="8"/>
    <n v="7"/>
    <x v="1"/>
    <x v="2"/>
    <x v="1"/>
    <x v="3"/>
  </r>
  <r>
    <s v="EMP2545"/>
    <s v="Sneha Patel"/>
    <n v="31"/>
    <x v="0"/>
    <x v="1"/>
    <s v="Junior Analyst"/>
    <n v="76665"/>
    <x v="2"/>
    <s v="Single"/>
    <d v="2022-03-26T00:00:00"/>
    <x v="5"/>
    <n v="8"/>
    <x v="0"/>
    <x v="2"/>
    <x v="1"/>
    <x v="2"/>
  </r>
  <r>
    <s v="EMP2546"/>
    <s v="Rohit Nanda"/>
    <n v="24"/>
    <x v="2"/>
    <x v="7"/>
    <s v="Intern"/>
    <n v="112294"/>
    <x v="2"/>
    <s v="Married"/>
    <d v="2023-01-12T00:00:00"/>
    <x v="3"/>
    <n v="10"/>
    <x v="1"/>
    <x v="3"/>
    <x v="5"/>
    <x v="1"/>
  </r>
  <r>
    <s v="EMP2547"/>
    <s v="Kavya Reddy"/>
    <n v="47"/>
    <x v="2"/>
    <x v="4"/>
    <s v="Associate"/>
    <n v="112180"/>
    <x v="1"/>
    <s v="Single"/>
    <d v="2019-10-11T00:00:00"/>
    <x v="4"/>
    <n v="1"/>
    <x v="0"/>
    <x v="3"/>
    <x v="7"/>
    <x v="3"/>
  </r>
  <r>
    <s v="EMP2548"/>
    <s v="Karan Patel"/>
    <n v="53"/>
    <x v="0"/>
    <x v="1"/>
    <s v="Executive"/>
    <n v="102351"/>
    <x v="1"/>
    <s v="Married"/>
    <d v="2016-10-07T00:00:00"/>
    <x v="6"/>
    <n v="1"/>
    <x v="1"/>
    <x v="2"/>
    <x v="6"/>
    <x v="3"/>
  </r>
  <r>
    <s v="EMP2549"/>
    <s v="Tarun Nanda"/>
    <n v="41"/>
    <x v="2"/>
    <x v="4"/>
    <s v="Manager"/>
    <n v="92605"/>
    <x v="0"/>
    <s v="Divorced"/>
    <d v="2017-08-02T00:00:00"/>
    <x v="2"/>
    <n v="3"/>
    <x v="0"/>
    <x v="4"/>
    <x v="5"/>
    <x v="0"/>
  </r>
  <r>
    <s v="EMP2550"/>
    <s v="Neha Mishra"/>
    <n v="43"/>
    <x v="1"/>
    <x v="2"/>
    <s v="Team Lead"/>
    <n v="41927"/>
    <x v="2"/>
    <s v="Married"/>
    <d v="2022-11-04T00:00:00"/>
    <x v="5"/>
    <n v="0"/>
    <x v="1"/>
    <x v="1"/>
    <x v="5"/>
    <x v="0"/>
  </r>
  <r>
    <s v="EMP2551"/>
    <s v="Neha Mishra"/>
    <n v="38"/>
    <x v="0"/>
    <x v="0"/>
    <s v="Executive"/>
    <n v="101092"/>
    <x v="4"/>
    <s v="Divorced"/>
    <d v="2022-08-24T00:00:00"/>
    <x v="5"/>
    <n v="3"/>
    <x v="1"/>
    <x v="3"/>
    <x v="4"/>
    <x v="0"/>
  </r>
  <r>
    <s v="EMP2552"/>
    <s v="Priya Reddy"/>
    <n v="56"/>
    <x v="0"/>
    <x v="3"/>
    <s v="Executive"/>
    <n v="71071"/>
    <x v="3"/>
    <s v="Single"/>
    <d v="2023-11-11T00:00:00"/>
    <x v="3"/>
    <n v="0"/>
    <x v="1"/>
    <x v="1"/>
    <x v="6"/>
    <x v="3"/>
  </r>
  <r>
    <s v="EMP2553"/>
    <s v="Isha Pradhan"/>
    <n v="41"/>
    <x v="1"/>
    <x v="5"/>
    <s v="Executive"/>
    <n v="93424"/>
    <x v="2"/>
    <s v="Divorced"/>
    <d v="2018-09-02T00:00:00"/>
    <x v="1"/>
    <n v="2"/>
    <x v="0"/>
    <x v="4"/>
    <x v="6"/>
    <x v="0"/>
  </r>
  <r>
    <s v="EMP2554"/>
    <s v="Sneha Pradhan"/>
    <n v="52"/>
    <x v="0"/>
    <x v="1"/>
    <s v="Senior Analyst"/>
    <n v="66395"/>
    <x v="0"/>
    <s v="Divorced"/>
    <d v="2021-09-04T00:00:00"/>
    <x v="8"/>
    <n v="2"/>
    <x v="1"/>
    <x v="3"/>
    <x v="6"/>
    <x v="3"/>
  </r>
  <r>
    <s v="EMP2555"/>
    <s v="Rahul Reddy"/>
    <n v="40"/>
    <x v="1"/>
    <x v="2"/>
    <s v="Executive"/>
    <n v="52302"/>
    <x v="0"/>
    <s v="Single"/>
    <d v="2019-08-16T00:00:00"/>
    <x v="4"/>
    <n v="3"/>
    <x v="0"/>
    <x v="0"/>
    <x v="2"/>
    <x v="0"/>
  </r>
  <r>
    <s v="EMP2556"/>
    <s v="Sneha Nanda"/>
    <n v="58"/>
    <x v="1"/>
    <x v="5"/>
    <s v="Executive"/>
    <n v="24145"/>
    <x v="4"/>
    <s v="Divorced"/>
    <d v="2019-12-05T00:00:00"/>
    <x v="4"/>
    <n v="11"/>
    <x v="0"/>
    <x v="4"/>
    <x v="7"/>
    <x v="3"/>
  </r>
  <r>
    <s v="EMP2557"/>
    <s v="Sneha Mishra"/>
    <n v="43"/>
    <x v="0"/>
    <x v="1"/>
    <s v="Manager"/>
    <n v="58315"/>
    <x v="3"/>
    <s v="Married"/>
    <d v="2021-04-10T00:00:00"/>
    <x v="8"/>
    <n v="7"/>
    <x v="0"/>
    <x v="4"/>
    <x v="6"/>
    <x v="0"/>
  </r>
  <r>
    <s v="EMP2558"/>
    <s v="Priya Sharma"/>
    <n v="33"/>
    <x v="2"/>
    <x v="5"/>
    <s v="Team Lead"/>
    <n v="65986"/>
    <x v="1"/>
    <s v="Married"/>
    <d v="2021-07-10T00:00:00"/>
    <x v="8"/>
    <n v="4"/>
    <x v="0"/>
    <x v="1"/>
    <x v="0"/>
    <x v="2"/>
  </r>
  <r>
    <s v="EMP2559"/>
    <s v="Isha Mishra"/>
    <n v="40"/>
    <x v="0"/>
    <x v="6"/>
    <s v="Senior Analyst"/>
    <n v="99365"/>
    <x v="1"/>
    <s v="Divorced"/>
    <d v="2025-11-17T00:00:00"/>
    <x v="9"/>
    <n v="0"/>
    <x v="0"/>
    <x v="4"/>
    <x v="2"/>
    <x v="0"/>
  </r>
  <r>
    <s v="EMP2560"/>
    <s v="Rahul Mishra"/>
    <n v="42"/>
    <x v="0"/>
    <x v="4"/>
    <s v="Team Lead"/>
    <n v="68191"/>
    <x v="4"/>
    <s v="Single"/>
    <d v="2023-12-29T00:00:00"/>
    <x v="3"/>
    <n v="11"/>
    <x v="1"/>
    <x v="0"/>
    <x v="7"/>
    <x v="0"/>
  </r>
  <r>
    <s v="EMP2561"/>
    <s v="Kavya Singh"/>
    <n v="28"/>
    <x v="1"/>
    <x v="6"/>
    <s v="Senior Analyst"/>
    <n v="53609"/>
    <x v="1"/>
    <s v="Single"/>
    <d v="2025-08-28T00:00:00"/>
    <x v="9"/>
    <n v="3"/>
    <x v="1"/>
    <x v="3"/>
    <x v="5"/>
    <x v="2"/>
  </r>
  <r>
    <s v="EMP2562"/>
    <s v="Amit Patel"/>
    <n v="55"/>
    <x v="1"/>
    <x v="1"/>
    <s v="Senior Analyst"/>
    <n v="25650"/>
    <x v="4"/>
    <s v="Divorced"/>
    <d v="2020-11-04T00:00:00"/>
    <x v="7"/>
    <n v="0"/>
    <x v="1"/>
    <x v="0"/>
    <x v="1"/>
    <x v="3"/>
  </r>
  <r>
    <s v="EMP2563"/>
    <s v="Rohit Patel"/>
    <n v="30"/>
    <x v="0"/>
    <x v="4"/>
    <s v="Senior Analyst"/>
    <n v="110550"/>
    <x v="4"/>
    <s v="Married"/>
    <d v="2024-06-29T00:00:00"/>
    <x v="0"/>
    <n v="5"/>
    <x v="1"/>
    <x v="0"/>
    <x v="6"/>
    <x v="2"/>
  </r>
  <r>
    <s v="EMP2564"/>
    <s v="Kavya Nanda"/>
    <n v="43"/>
    <x v="1"/>
    <x v="2"/>
    <s v="Team Lead"/>
    <n v="41301"/>
    <x v="1"/>
    <s v="Married"/>
    <d v="2023-01-28T00:00:00"/>
    <x v="3"/>
    <n v="10"/>
    <x v="0"/>
    <x v="2"/>
    <x v="0"/>
    <x v="0"/>
  </r>
  <r>
    <s v="EMP2565"/>
    <s v="Neha Sharma"/>
    <n v="28"/>
    <x v="0"/>
    <x v="6"/>
    <s v="Executive"/>
    <n v="23619"/>
    <x v="3"/>
    <s v="Married"/>
    <d v="2023-05-10T00:00:00"/>
    <x v="3"/>
    <n v="6"/>
    <x v="0"/>
    <x v="0"/>
    <x v="4"/>
    <x v="2"/>
  </r>
  <r>
    <s v="EMP2566"/>
    <s v="Sneha Pradhan"/>
    <n v="28"/>
    <x v="2"/>
    <x v="7"/>
    <s v="Associate"/>
    <n v="60726"/>
    <x v="3"/>
    <s v="Single"/>
    <d v="2018-07-10T00:00:00"/>
    <x v="1"/>
    <n v="4"/>
    <x v="0"/>
    <x v="4"/>
    <x v="6"/>
    <x v="2"/>
  </r>
  <r>
    <s v="EMP2567"/>
    <s v="Isha Sharma"/>
    <n v="53"/>
    <x v="0"/>
    <x v="1"/>
    <s v="Intern"/>
    <n v="90816"/>
    <x v="1"/>
    <s v="Divorced"/>
    <d v="2017-04-24T00:00:00"/>
    <x v="2"/>
    <n v="7"/>
    <x v="1"/>
    <x v="4"/>
    <x v="3"/>
    <x v="3"/>
  </r>
  <r>
    <s v="EMP2568"/>
    <s v="Karan Reddy"/>
    <n v="44"/>
    <x v="1"/>
    <x v="4"/>
    <s v="Junior Analyst"/>
    <n v="36883"/>
    <x v="1"/>
    <s v="Married"/>
    <d v="2021-03-22T00:00:00"/>
    <x v="8"/>
    <n v="8"/>
    <x v="1"/>
    <x v="4"/>
    <x v="0"/>
    <x v="0"/>
  </r>
  <r>
    <s v="EMP2569"/>
    <s v="Amit Singh"/>
    <n v="20"/>
    <x v="0"/>
    <x v="3"/>
    <s v="Intern"/>
    <n v="85543"/>
    <x v="1"/>
    <s v="Married"/>
    <d v="2019-06-01T00:00:00"/>
    <x v="4"/>
    <n v="5"/>
    <x v="0"/>
    <x v="2"/>
    <x v="4"/>
    <x v="1"/>
  </r>
  <r>
    <s v="EMP2570"/>
    <s v="Amit Singh"/>
    <n v="54"/>
    <x v="0"/>
    <x v="5"/>
    <s v="Associate"/>
    <n v="42959"/>
    <x v="0"/>
    <s v="Single"/>
    <d v="2018-06-06T00:00:00"/>
    <x v="1"/>
    <n v="5"/>
    <x v="0"/>
    <x v="2"/>
    <x v="3"/>
    <x v="3"/>
  </r>
  <r>
    <s v="EMP2571"/>
    <s v="Kavya Sharma"/>
    <n v="23"/>
    <x v="1"/>
    <x v="6"/>
    <s v="Team Lead"/>
    <n v="29776"/>
    <x v="1"/>
    <s v="Married"/>
    <d v="2019-02-16T00:00:00"/>
    <x v="4"/>
    <n v="9"/>
    <x v="1"/>
    <x v="1"/>
    <x v="4"/>
    <x v="1"/>
  </r>
  <r>
    <s v="EMP2572"/>
    <s v="Karan Nanda"/>
    <n v="42"/>
    <x v="0"/>
    <x v="5"/>
    <s v="Junior Analyst"/>
    <n v="118523"/>
    <x v="2"/>
    <s v="Divorced"/>
    <d v="2024-02-08T00:00:00"/>
    <x v="0"/>
    <n v="9"/>
    <x v="0"/>
    <x v="3"/>
    <x v="5"/>
    <x v="0"/>
  </r>
  <r>
    <s v="EMP2573"/>
    <s v="Amit Patel"/>
    <n v="50"/>
    <x v="1"/>
    <x v="3"/>
    <s v="Intern"/>
    <n v="52123"/>
    <x v="3"/>
    <s v="Divorced"/>
    <d v="2023-03-24T00:00:00"/>
    <x v="3"/>
    <n v="8"/>
    <x v="1"/>
    <x v="3"/>
    <x v="5"/>
    <x v="3"/>
  </r>
  <r>
    <s v="EMP2574"/>
    <s v="Tarun Pradhan"/>
    <n v="56"/>
    <x v="0"/>
    <x v="3"/>
    <s v="Team Lead"/>
    <n v="36670"/>
    <x v="0"/>
    <s v="Divorced"/>
    <d v="2025-05-06T00:00:00"/>
    <x v="9"/>
    <n v="6"/>
    <x v="1"/>
    <x v="3"/>
    <x v="4"/>
    <x v="3"/>
  </r>
  <r>
    <s v="EMP2575"/>
    <s v="Sneha Nanda"/>
    <n v="23"/>
    <x v="2"/>
    <x v="5"/>
    <s v="Junior Analyst"/>
    <n v="112147"/>
    <x v="0"/>
    <s v="Divorced"/>
    <d v="2021-06-11T00:00:00"/>
    <x v="8"/>
    <n v="5"/>
    <x v="0"/>
    <x v="2"/>
    <x v="1"/>
    <x v="1"/>
  </r>
  <r>
    <s v="EMP2576"/>
    <s v="Priya Pradhan"/>
    <n v="48"/>
    <x v="2"/>
    <x v="0"/>
    <s v="Intern"/>
    <n v="91988"/>
    <x v="4"/>
    <s v="Single"/>
    <d v="2025-07-31T00:00:00"/>
    <x v="9"/>
    <n v="3"/>
    <x v="0"/>
    <x v="4"/>
    <x v="5"/>
    <x v="3"/>
  </r>
  <r>
    <s v="EMP2577"/>
    <s v="Amit Pradhan"/>
    <n v="56"/>
    <x v="2"/>
    <x v="0"/>
    <s v="Junior Analyst"/>
    <n v="115123"/>
    <x v="1"/>
    <s v="Single"/>
    <d v="2024-05-27T00:00:00"/>
    <x v="0"/>
    <n v="6"/>
    <x v="1"/>
    <x v="4"/>
    <x v="2"/>
    <x v="3"/>
  </r>
  <r>
    <s v="EMP2578"/>
    <s v="Rohit Pradhan"/>
    <n v="55"/>
    <x v="2"/>
    <x v="5"/>
    <s v="Executive"/>
    <n v="48992"/>
    <x v="3"/>
    <s v="Divorced"/>
    <d v="2020-04-06T00:00:00"/>
    <x v="7"/>
    <n v="7"/>
    <x v="0"/>
    <x v="0"/>
    <x v="4"/>
    <x v="3"/>
  </r>
  <r>
    <s v="EMP2579"/>
    <s v="Neha Reddy"/>
    <n v="39"/>
    <x v="1"/>
    <x v="1"/>
    <s v="Junior Analyst"/>
    <n v="34011"/>
    <x v="2"/>
    <s v="Divorced"/>
    <d v="2024-07-11T00:00:00"/>
    <x v="0"/>
    <n v="4"/>
    <x v="1"/>
    <x v="1"/>
    <x v="5"/>
    <x v="0"/>
  </r>
  <r>
    <s v="EMP2580"/>
    <s v="Tarun Patel"/>
    <n v="35"/>
    <x v="0"/>
    <x v="3"/>
    <s v="Associate"/>
    <n v="52214"/>
    <x v="3"/>
    <s v="Divorced"/>
    <d v="2025-04-11T00:00:00"/>
    <x v="9"/>
    <n v="7"/>
    <x v="1"/>
    <x v="0"/>
    <x v="2"/>
    <x v="2"/>
  </r>
  <r>
    <s v="EMP2581"/>
    <s v="Amit Nanda"/>
    <n v="58"/>
    <x v="2"/>
    <x v="4"/>
    <s v="Executive"/>
    <n v="18352"/>
    <x v="4"/>
    <s v="Single"/>
    <d v="2021-02-13T00:00:00"/>
    <x v="8"/>
    <n v="9"/>
    <x v="0"/>
    <x v="1"/>
    <x v="7"/>
    <x v="3"/>
  </r>
  <r>
    <s v="EMP2582"/>
    <s v="Neha Pradhan"/>
    <n v="58"/>
    <x v="1"/>
    <x v="4"/>
    <s v="Manager"/>
    <n v="112209"/>
    <x v="1"/>
    <s v="Married"/>
    <d v="2024-02-15T00:00:00"/>
    <x v="0"/>
    <n v="9"/>
    <x v="1"/>
    <x v="1"/>
    <x v="4"/>
    <x v="3"/>
  </r>
  <r>
    <s v="EMP2583"/>
    <s v="Amit Pradhan"/>
    <n v="21"/>
    <x v="2"/>
    <x v="7"/>
    <s v="Associate"/>
    <n v="35657"/>
    <x v="3"/>
    <s v="Married"/>
    <d v="2024-05-12T00:00:00"/>
    <x v="0"/>
    <n v="6"/>
    <x v="0"/>
    <x v="0"/>
    <x v="4"/>
    <x v="1"/>
  </r>
  <r>
    <s v="EMP2584"/>
    <s v="Amit Sharma"/>
    <n v="22"/>
    <x v="1"/>
    <x v="4"/>
    <s v="Associate"/>
    <n v="97505"/>
    <x v="2"/>
    <s v="Divorced"/>
    <d v="2021-10-31T00:00:00"/>
    <x v="8"/>
    <n v="0"/>
    <x v="1"/>
    <x v="4"/>
    <x v="4"/>
    <x v="1"/>
  </r>
  <r>
    <s v="EMP2585"/>
    <s v="Neha Singh"/>
    <n v="52"/>
    <x v="1"/>
    <x v="5"/>
    <s v="Intern"/>
    <n v="49037"/>
    <x v="4"/>
    <s v="Married"/>
    <d v="2016-11-13T00:00:00"/>
    <x v="6"/>
    <n v="0"/>
    <x v="0"/>
    <x v="1"/>
    <x v="7"/>
    <x v="3"/>
  </r>
  <r>
    <s v="EMP2586"/>
    <s v="Rohit Patel"/>
    <n v="35"/>
    <x v="1"/>
    <x v="7"/>
    <s v="Associate"/>
    <n v="93060"/>
    <x v="4"/>
    <s v="Married"/>
    <d v="2017-05-31T00:00:00"/>
    <x v="2"/>
    <n v="5"/>
    <x v="1"/>
    <x v="2"/>
    <x v="6"/>
    <x v="2"/>
  </r>
  <r>
    <s v="EMP2587"/>
    <s v="Amit Pradhan"/>
    <n v="56"/>
    <x v="0"/>
    <x v="6"/>
    <s v="Intern"/>
    <n v="37557"/>
    <x v="4"/>
    <s v="Single"/>
    <d v="2024-12-03T00:00:00"/>
    <x v="0"/>
    <n v="11"/>
    <x v="1"/>
    <x v="2"/>
    <x v="2"/>
    <x v="3"/>
  </r>
  <r>
    <s v="EMP2588"/>
    <s v="Rohit Pradhan"/>
    <n v="50"/>
    <x v="1"/>
    <x v="0"/>
    <s v="Team Lead"/>
    <n v="25430"/>
    <x v="1"/>
    <s v="Single"/>
    <d v="2022-08-26T00:00:00"/>
    <x v="5"/>
    <n v="3"/>
    <x v="1"/>
    <x v="3"/>
    <x v="2"/>
    <x v="3"/>
  </r>
  <r>
    <s v="EMP2589"/>
    <s v="Priya Singh"/>
    <n v="57"/>
    <x v="1"/>
    <x v="7"/>
    <s v="Manager"/>
    <n v="97783"/>
    <x v="1"/>
    <s v="Married"/>
    <d v="2016-09-23T00:00:00"/>
    <x v="6"/>
    <n v="2"/>
    <x v="0"/>
    <x v="1"/>
    <x v="2"/>
    <x v="3"/>
  </r>
  <r>
    <s v="EMP2590"/>
    <s v="Priya Pradhan"/>
    <n v="27"/>
    <x v="2"/>
    <x v="4"/>
    <s v="Junior Analyst"/>
    <n v="71754"/>
    <x v="1"/>
    <s v="Single"/>
    <d v="2017-06-23T00:00:00"/>
    <x v="2"/>
    <n v="5"/>
    <x v="0"/>
    <x v="2"/>
    <x v="2"/>
    <x v="2"/>
  </r>
  <r>
    <s v="EMP2591"/>
    <s v="Tarun Nanda"/>
    <n v="26"/>
    <x v="0"/>
    <x v="5"/>
    <s v="Manager"/>
    <n v="23485"/>
    <x v="4"/>
    <s v="Divorced"/>
    <d v="2016-07-17T00:00:00"/>
    <x v="6"/>
    <n v="4"/>
    <x v="1"/>
    <x v="1"/>
    <x v="6"/>
    <x v="2"/>
  </r>
  <r>
    <s v="EMP2592"/>
    <s v="Karan Mishra"/>
    <n v="48"/>
    <x v="0"/>
    <x v="0"/>
    <s v="Intern"/>
    <n v="99654"/>
    <x v="1"/>
    <s v="Single"/>
    <d v="2019-06-24T00:00:00"/>
    <x v="4"/>
    <n v="5"/>
    <x v="0"/>
    <x v="3"/>
    <x v="0"/>
    <x v="3"/>
  </r>
  <r>
    <s v="EMP2593"/>
    <s v="Neha Pradhan"/>
    <n v="54"/>
    <x v="0"/>
    <x v="5"/>
    <s v="Intern"/>
    <n v="77682"/>
    <x v="3"/>
    <s v="Divorced"/>
    <d v="2017-05-07T00:00:00"/>
    <x v="2"/>
    <n v="6"/>
    <x v="0"/>
    <x v="4"/>
    <x v="5"/>
    <x v="3"/>
  </r>
  <r>
    <s v="EMP2594"/>
    <s v="Sneha Sharma"/>
    <n v="38"/>
    <x v="0"/>
    <x v="1"/>
    <s v="Team Lead"/>
    <n v="99965"/>
    <x v="1"/>
    <s v="Married"/>
    <d v="2025-10-29T00:00:00"/>
    <x v="9"/>
    <n v="1"/>
    <x v="0"/>
    <x v="0"/>
    <x v="6"/>
    <x v="0"/>
  </r>
  <r>
    <s v="EMP2595"/>
    <s v="Amit Pradhan"/>
    <n v="58"/>
    <x v="1"/>
    <x v="1"/>
    <s v="Manager"/>
    <n v="34883"/>
    <x v="4"/>
    <s v="Single"/>
    <d v="2024-01-16T00:00:00"/>
    <x v="0"/>
    <n v="10"/>
    <x v="1"/>
    <x v="4"/>
    <x v="0"/>
    <x v="3"/>
  </r>
  <r>
    <s v="EMP2596"/>
    <s v="Sneha Mishra"/>
    <n v="20"/>
    <x v="0"/>
    <x v="3"/>
    <s v="Associate"/>
    <n v="34803"/>
    <x v="4"/>
    <s v="Married"/>
    <d v="2025-06-03T00:00:00"/>
    <x v="9"/>
    <n v="5"/>
    <x v="0"/>
    <x v="2"/>
    <x v="4"/>
    <x v="1"/>
  </r>
  <r>
    <s v="EMP2597"/>
    <s v="Isha Sharma"/>
    <n v="29"/>
    <x v="1"/>
    <x v="0"/>
    <s v="Senior Analyst"/>
    <n v="73556"/>
    <x v="4"/>
    <s v="Married"/>
    <d v="2022-03-28T00:00:00"/>
    <x v="5"/>
    <n v="8"/>
    <x v="1"/>
    <x v="3"/>
    <x v="3"/>
    <x v="2"/>
  </r>
  <r>
    <s v="EMP2598"/>
    <s v="Amit Pradhan"/>
    <n v="21"/>
    <x v="1"/>
    <x v="7"/>
    <s v="Associate"/>
    <n v="115340"/>
    <x v="1"/>
    <s v="Single"/>
    <d v="2017-10-06T00:00:00"/>
    <x v="2"/>
    <n v="1"/>
    <x v="1"/>
    <x v="2"/>
    <x v="0"/>
    <x v="1"/>
  </r>
  <r>
    <s v="EMP2599"/>
    <s v="Sneha Patel"/>
    <n v="30"/>
    <x v="1"/>
    <x v="0"/>
    <s v="Junior Analyst"/>
    <n v="91076"/>
    <x v="3"/>
    <s v="Single"/>
    <d v="2018-01-19T00:00:00"/>
    <x v="1"/>
    <n v="10"/>
    <x v="0"/>
    <x v="3"/>
    <x v="2"/>
    <x v="2"/>
  </r>
  <r>
    <s v="EMP2600"/>
    <s v="Tarun Nanda"/>
    <n v="57"/>
    <x v="0"/>
    <x v="1"/>
    <s v="Executive"/>
    <n v="47910"/>
    <x v="1"/>
    <s v="Married"/>
    <d v="2022-02-21T00:00:00"/>
    <x v="5"/>
    <n v="9"/>
    <x v="0"/>
    <x v="4"/>
    <x v="6"/>
    <x v="3"/>
  </r>
  <r>
    <s v="EMP2601"/>
    <s v="Rohit Mishra"/>
    <n v="30"/>
    <x v="2"/>
    <x v="6"/>
    <s v="Intern"/>
    <n v="47076"/>
    <x v="3"/>
    <s v="Single"/>
    <d v="2018-12-26T00:00:00"/>
    <x v="1"/>
    <n v="11"/>
    <x v="0"/>
    <x v="2"/>
    <x v="7"/>
    <x v="2"/>
  </r>
  <r>
    <s v="EMP2602"/>
    <s v="Kavya Patel"/>
    <n v="45"/>
    <x v="1"/>
    <x v="4"/>
    <s v="Junior Analyst"/>
    <n v="66308"/>
    <x v="3"/>
    <s v="Divorced"/>
    <d v="2016-11-29T00:00:00"/>
    <x v="6"/>
    <n v="0"/>
    <x v="1"/>
    <x v="3"/>
    <x v="6"/>
    <x v="0"/>
  </r>
  <r>
    <s v="EMP2603"/>
    <s v="Neha Patel"/>
    <n v="47"/>
    <x v="0"/>
    <x v="0"/>
    <s v="Junior Analyst"/>
    <n v="50935"/>
    <x v="0"/>
    <s v="Single"/>
    <d v="2025-07-27T00:00:00"/>
    <x v="9"/>
    <n v="4"/>
    <x v="1"/>
    <x v="3"/>
    <x v="0"/>
    <x v="3"/>
  </r>
  <r>
    <s v="EMP2604"/>
    <s v="Rahul Sharma"/>
    <n v="22"/>
    <x v="2"/>
    <x v="6"/>
    <s v="Manager"/>
    <n v="118814"/>
    <x v="4"/>
    <s v="Single"/>
    <d v="2016-08-14T00:00:00"/>
    <x v="6"/>
    <n v="3"/>
    <x v="0"/>
    <x v="2"/>
    <x v="0"/>
    <x v="1"/>
  </r>
  <r>
    <s v="EMP2605"/>
    <s v="Karan Pradhan"/>
    <n v="26"/>
    <x v="1"/>
    <x v="1"/>
    <s v="Associate"/>
    <n v="54198"/>
    <x v="0"/>
    <s v="Married"/>
    <d v="2018-01-01T00:00:00"/>
    <x v="1"/>
    <n v="10"/>
    <x v="1"/>
    <x v="0"/>
    <x v="7"/>
    <x v="2"/>
  </r>
  <r>
    <s v="EMP2606"/>
    <s v="Karan Sharma"/>
    <n v="53"/>
    <x v="0"/>
    <x v="3"/>
    <s v="Manager"/>
    <n v="76688"/>
    <x v="1"/>
    <s v="Divorced"/>
    <d v="2016-07-11T00:00:00"/>
    <x v="6"/>
    <n v="4"/>
    <x v="0"/>
    <x v="4"/>
    <x v="7"/>
    <x v="3"/>
  </r>
  <r>
    <s v="EMP2607"/>
    <s v="Isha Sharma"/>
    <n v="32"/>
    <x v="2"/>
    <x v="6"/>
    <s v="Junior Analyst"/>
    <n v="71554"/>
    <x v="0"/>
    <s v="Single"/>
    <d v="2016-10-15T00:00:00"/>
    <x v="6"/>
    <n v="1"/>
    <x v="1"/>
    <x v="1"/>
    <x v="6"/>
    <x v="2"/>
  </r>
  <r>
    <s v="EMP2608"/>
    <s v="Sneha Sharma"/>
    <n v="38"/>
    <x v="1"/>
    <x v="2"/>
    <s v="Senior Analyst"/>
    <n v="82491"/>
    <x v="1"/>
    <s v="Married"/>
    <d v="2018-02-23T00:00:00"/>
    <x v="1"/>
    <n v="9"/>
    <x v="0"/>
    <x v="1"/>
    <x v="7"/>
    <x v="0"/>
  </r>
  <r>
    <s v="EMP2609"/>
    <s v="Rahul Reddy"/>
    <n v="47"/>
    <x v="0"/>
    <x v="3"/>
    <s v="Associate"/>
    <n v="87689"/>
    <x v="4"/>
    <s v="Divorced"/>
    <d v="2020-03-03T00:00:00"/>
    <x v="7"/>
    <n v="8"/>
    <x v="1"/>
    <x v="3"/>
    <x v="0"/>
    <x v="3"/>
  </r>
  <r>
    <s v="EMP2610"/>
    <s v="Kavya Patel"/>
    <n v="51"/>
    <x v="0"/>
    <x v="0"/>
    <s v="Team Lead"/>
    <n v="33793"/>
    <x v="0"/>
    <s v="Married"/>
    <d v="2018-06-01T00:00:00"/>
    <x v="1"/>
    <n v="5"/>
    <x v="0"/>
    <x v="0"/>
    <x v="0"/>
    <x v="3"/>
  </r>
  <r>
    <s v="EMP2611"/>
    <s v="Amit Mishra"/>
    <n v="48"/>
    <x v="1"/>
    <x v="1"/>
    <s v="Junior Analyst"/>
    <n v="69593"/>
    <x v="1"/>
    <s v="Single"/>
    <d v="2020-02-23T00:00:00"/>
    <x v="7"/>
    <n v="9"/>
    <x v="0"/>
    <x v="0"/>
    <x v="4"/>
    <x v="3"/>
  </r>
  <r>
    <s v="EMP2612"/>
    <s v="Amit Singh"/>
    <n v="50"/>
    <x v="0"/>
    <x v="6"/>
    <s v="Senior Analyst"/>
    <n v="25547"/>
    <x v="2"/>
    <s v="Married"/>
    <d v="2020-12-16T00:00:00"/>
    <x v="7"/>
    <n v="11"/>
    <x v="0"/>
    <x v="4"/>
    <x v="6"/>
    <x v="3"/>
  </r>
  <r>
    <s v="EMP2613"/>
    <s v="Kavya Sharma"/>
    <n v="24"/>
    <x v="0"/>
    <x v="6"/>
    <s v="Team Lead"/>
    <n v="76580"/>
    <x v="2"/>
    <s v="Divorced"/>
    <d v="2021-06-05T00:00:00"/>
    <x v="8"/>
    <n v="5"/>
    <x v="0"/>
    <x v="4"/>
    <x v="7"/>
    <x v="1"/>
  </r>
  <r>
    <s v="EMP2614"/>
    <s v="Rahul Singh"/>
    <n v="36"/>
    <x v="2"/>
    <x v="0"/>
    <s v="Associate"/>
    <n v="89287"/>
    <x v="4"/>
    <s v="Single"/>
    <d v="2025-05-21T00:00:00"/>
    <x v="9"/>
    <n v="6"/>
    <x v="1"/>
    <x v="0"/>
    <x v="7"/>
    <x v="0"/>
  </r>
  <r>
    <s v="EMP2615"/>
    <s v="Neha Pradhan"/>
    <n v="24"/>
    <x v="1"/>
    <x v="5"/>
    <s v="Senior Analyst"/>
    <n v="23543"/>
    <x v="4"/>
    <s v="Divorced"/>
    <d v="2021-10-24T00:00:00"/>
    <x v="8"/>
    <n v="1"/>
    <x v="0"/>
    <x v="0"/>
    <x v="3"/>
    <x v="1"/>
  </r>
  <r>
    <s v="EMP2616"/>
    <s v="Kavya Mishra"/>
    <n v="51"/>
    <x v="1"/>
    <x v="4"/>
    <s v="Executive"/>
    <n v="101739"/>
    <x v="0"/>
    <s v="Single"/>
    <d v="2021-05-19T00:00:00"/>
    <x v="8"/>
    <n v="6"/>
    <x v="1"/>
    <x v="2"/>
    <x v="0"/>
    <x v="3"/>
  </r>
  <r>
    <s v="EMP2617"/>
    <s v="Tarun Reddy"/>
    <n v="55"/>
    <x v="2"/>
    <x v="2"/>
    <s v="Junior Analyst"/>
    <n v="31376"/>
    <x v="2"/>
    <s v="Single"/>
    <d v="2017-11-07T00:00:00"/>
    <x v="2"/>
    <n v="0"/>
    <x v="0"/>
    <x v="3"/>
    <x v="3"/>
    <x v="3"/>
  </r>
  <r>
    <s v="EMP2618"/>
    <s v="Rahul Nanda"/>
    <n v="50"/>
    <x v="2"/>
    <x v="2"/>
    <s v="Executive"/>
    <n v="50537"/>
    <x v="1"/>
    <s v="Married"/>
    <d v="2021-01-31T00:00:00"/>
    <x v="8"/>
    <n v="9"/>
    <x v="0"/>
    <x v="1"/>
    <x v="3"/>
    <x v="3"/>
  </r>
  <r>
    <s v="EMP2619"/>
    <s v="Kavya Reddy"/>
    <n v="27"/>
    <x v="2"/>
    <x v="4"/>
    <s v="Manager"/>
    <n v="19921"/>
    <x v="3"/>
    <s v="Single"/>
    <d v="2021-01-06T00:00:00"/>
    <x v="8"/>
    <n v="10"/>
    <x v="0"/>
    <x v="2"/>
    <x v="4"/>
    <x v="2"/>
  </r>
  <r>
    <s v="EMP2620"/>
    <s v="Isha Sharma"/>
    <n v="52"/>
    <x v="1"/>
    <x v="5"/>
    <s v="Manager"/>
    <n v="31853"/>
    <x v="2"/>
    <s v="Single"/>
    <d v="2025-08-13T00:00:00"/>
    <x v="9"/>
    <n v="3"/>
    <x v="0"/>
    <x v="2"/>
    <x v="3"/>
    <x v="3"/>
  </r>
  <r>
    <s v="EMP2621"/>
    <s v="Sneha Mishra"/>
    <n v="54"/>
    <x v="0"/>
    <x v="0"/>
    <s v="Intern"/>
    <n v="66414"/>
    <x v="4"/>
    <s v="Divorced"/>
    <d v="2021-12-09T00:00:00"/>
    <x v="8"/>
    <n v="11"/>
    <x v="1"/>
    <x v="1"/>
    <x v="2"/>
    <x v="3"/>
  </r>
  <r>
    <s v="EMP2622"/>
    <s v="Sneha Nanda"/>
    <n v="21"/>
    <x v="2"/>
    <x v="2"/>
    <s v="Team Lead"/>
    <n v="104702"/>
    <x v="0"/>
    <s v="Single"/>
    <d v="2022-04-25T00:00:00"/>
    <x v="5"/>
    <n v="7"/>
    <x v="1"/>
    <x v="4"/>
    <x v="3"/>
    <x v="1"/>
  </r>
  <r>
    <s v="EMP2623"/>
    <s v="Karan Pradhan"/>
    <n v="30"/>
    <x v="0"/>
    <x v="4"/>
    <s v="Team Lead"/>
    <n v="64668"/>
    <x v="4"/>
    <s v="Divorced"/>
    <d v="2018-10-19T00:00:00"/>
    <x v="1"/>
    <n v="1"/>
    <x v="1"/>
    <x v="0"/>
    <x v="6"/>
    <x v="2"/>
  </r>
  <r>
    <s v="EMP2624"/>
    <s v="Isha Sharma"/>
    <n v="54"/>
    <x v="0"/>
    <x v="6"/>
    <s v="Senior Analyst"/>
    <n v="21367"/>
    <x v="4"/>
    <s v="Single"/>
    <d v="2020-11-18T00:00:00"/>
    <x v="7"/>
    <n v="0"/>
    <x v="1"/>
    <x v="4"/>
    <x v="1"/>
    <x v="3"/>
  </r>
  <r>
    <s v="EMP2625"/>
    <s v="Sneha Mishra"/>
    <n v="31"/>
    <x v="0"/>
    <x v="1"/>
    <s v="Manager"/>
    <n v="91849"/>
    <x v="3"/>
    <s v="Divorced"/>
    <d v="2020-09-15T00:00:00"/>
    <x v="7"/>
    <n v="2"/>
    <x v="0"/>
    <x v="2"/>
    <x v="5"/>
    <x v="2"/>
  </r>
  <r>
    <s v="EMP2626"/>
    <s v="Karan Nanda"/>
    <n v="57"/>
    <x v="1"/>
    <x v="5"/>
    <s v="Intern"/>
    <n v="96630"/>
    <x v="2"/>
    <s v="Divorced"/>
    <d v="2021-11-05T00:00:00"/>
    <x v="8"/>
    <n v="0"/>
    <x v="0"/>
    <x v="3"/>
    <x v="0"/>
    <x v="3"/>
  </r>
  <r>
    <s v="EMP2627"/>
    <s v="Kavya Singh"/>
    <n v="50"/>
    <x v="2"/>
    <x v="6"/>
    <s v="Manager"/>
    <n v="53013"/>
    <x v="4"/>
    <s v="Married"/>
    <d v="2018-10-04T00:00:00"/>
    <x v="1"/>
    <n v="1"/>
    <x v="0"/>
    <x v="4"/>
    <x v="2"/>
    <x v="3"/>
  </r>
  <r>
    <s v="EMP2628"/>
    <s v="Kavya Nanda"/>
    <n v="27"/>
    <x v="1"/>
    <x v="1"/>
    <s v="Junior Analyst"/>
    <n v="23769"/>
    <x v="4"/>
    <s v="Divorced"/>
    <d v="2018-12-20T00:00:00"/>
    <x v="1"/>
    <n v="11"/>
    <x v="0"/>
    <x v="3"/>
    <x v="3"/>
    <x v="2"/>
  </r>
  <r>
    <s v="EMP2629"/>
    <s v="Karan Reddy"/>
    <n v="34"/>
    <x v="1"/>
    <x v="1"/>
    <s v="Manager"/>
    <n v="64405"/>
    <x v="2"/>
    <s v="Divorced"/>
    <d v="2025-02-18T00:00:00"/>
    <x v="9"/>
    <n v="9"/>
    <x v="1"/>
    <x v="1"/>
    <x v="3"/>
    <x v="2"/>
  </r>
  <r>
    <s v="EMP2630"/>
    <s v="Rahul Reddy"/>
    <n v="46"/>
    <x v="2"/>
    <x v="2"/>
    <s v="Junior Analyst"/>
    <n v="97930"/>
    <x v="2"/>
    <s v="Divorced"/>
    <d v="2018-12-22T00:00:00"/>
    <x v="1"/>
    <n v="11"/>
    <x v="1"/>
    <x v="0"/>
    <x v="0"/>
    <x v="3"/>
  </r>
  <r>
    <s v="EMP2631"/>
    <s v="Rahul Patel"/>
    <n v="48"/>
    <x v="2"/>
    <x v="2"/>
    <s v="Manager"/>
    <n v="37882"/>
    <x v="2"/>
    <s v="Single"/>
    <d v="2017-11-25T00:00:00"/>
    <x v="2"/>
    <n v="0"/>
    <x v="1"/>
    <x v="2"/>
    <x v="0"/>
    <x v="3"/>
  </r>
  <r>
    <s v="EMP2632"/>
    <s v="Amit Pradhan"/>
    <n v="42"/>
    <x v="2"/>
    <x v="0"/>
    <s v="Junior Analyst"/>
    <n v="100616"/>
    <x v="3"/>
    <s v="Divorced"/>
    <d v="2022-04-26T00:00:00"/>
    <x v="5"/>
    <n v="7"/>
    <x v="0"/>
    <x v="2"/>
    <x v="4"/>
    <x v="0"/>
  </r>
  <r>
    <s v="EMP2633"/>
    <s v="Rohit Reddy"/>
    <n v="45"/>
    <x v="2"/>
    <x v="0"/>
    <s v="Manager"/>
    <n v="98488"/>
    <x v="2"/>
    <s v="Single"/>
    <d v="2019-01-31T00:00:00"/>
    <x v="4"/>
    <n v="9"/>
    <x v="1"/>
    <x v="3"/>
    <x v="5"/>
    <x v="0"/>
  </r>
  <r>
    <s v="EMP2634"/>
    <s v="Karan Nanda"/>
    <n v="58"/>
    <x v="2"/>
    <x v="7"/>
    <s v="Manager"/>
    <n v="73694"/>
    <x v="4"/>
    <s v="Single"/>
    <d v="2017-03-09T00:00:00"/>
    <x v="2"/>
    <n v="8"/>
    <x v="1"/>
    <x v="2"/>
    <x v="4"/>
    <x v="3"/>
  </r>
  <r>
    <s v="EMP2635"/>
    <s v="Sneha Reddy"/>
    <n v="35"/>
    <x v="1"/>
    <x v="5"/>
    <s v="Intern"/>
    <n v="44813"/>
    <x v="2"/>
    <s v="Single"/>
    <d v="2018-10-17T00:00:00"/>
    <x v="1"/>
    <n v="1"/>
    <x v="0"/>
    <x v="3"/>
    <x v="0"/>
    <x v="2"/>
  </r>
  <r>
    <s v="EMP2636"/>
    <s v="Rahul Patel"/>
    <n v="31"/>
    <x v="0"/>
    <x v="6"/>
    <s v="Senior Analyst"/>
    <n v="51359"/>
    <x v="4"/>
    <s v="Divorced"/>
    <d v="2017-03-30T00:00:00"/>
    <x v="2"/>
    <n v="7"/>
    <x v="1"/>
    <x v="4"/>
    <x v="7"/>
    <x v="2"/>
  </r>
  <r>
    <s v="EMP2637"/>
    <s v="Amit Patel"/>
    <n v="37"/>
    <x v="1"/>
    <x v="4"/>
    <s v="Senior Analyst"/>
    <n v="36958"/>
    <x v="0"/>
    <s v="Divorced"/>
    <d v="2017-04-11T00:00:00"/>
    <x v="2"/>
    <n v="7"/>
    <x v="1"/>
    <x v="4"/>
    <x v="7"/>
    <x v="0"/>
  </r>
  <r>
    <s v="EMP2638"/>
    <s v="Priya Singh"/>
    <n v="38"/>
    <x v="1"/>
    <x v="6"/>
    <s v="Junior Analyst"/>
    <n v="92346"/>
    <x v="2"/>
    <s v="Single"/>
    <d v="2021-06-16T00:00:00"/>
    <x v="8"/>
    <n v="5"/>
    <x v="1"/>
    <x v="2"/>
    <x v="5"/>
    <x v="0"/>
  </r>
  <r>
    <s v="EMP2639"/>
    <s v="Rohit Reddy"/>
    <n v="54"/>
    <x v="2"/>
    <x v="6"/>
    <s v="Team Lead"/>
    <n v="89657"/>
    <x v="0"/>
    <s v="Married"/>
    <d v="2021-05-13T00:00:00"/>
    <x v="8"/>
    <n v="6"/>
    <x v="0"/>
    <x v="2"/>
    <x v="3"/>
    <x v="3"/>
  </r>
  <r>
    <s v="EMP2640"/>
    <s v="Sneha Nanda"/>
    <n v="37"/>
    <x v="1"/>
    <x v="7"/>
    <s v="Associate"/>
    <n v="47684"/>
    <x v="3"/>
    <s v="Divorced"/>
    <d v="2018-04-04T00:00:00"/>
    <x v="1"/>
    <n v="7"/>
    <x v="1"/>
    <x v="3"/>
    <x v="3"/>
    <x v="0"/>
  </r>
  <r>
    <s v="EMP2641"/>
    <s v="Karan Nanda"/>
    <n v="54"/>
    <x v="2"/>
    <x v="0"/>
    <s v="Team Lead"/>
    <n v="109603"/>
    <x v="2"/>
    <s v="Divorced"/>
    <d v="2023-02-14T00:00:00"/>
    <x v="3"/>
    <n v="9"/>
    <x v="1"/>
    <x v="4"/>
    <x v="0"/>
    <x v="3"/>
  </r>
  <r>
    <s v="EMP2642"/>
    <s v="Kavya Patel"/>
    <n v="25"/>
    <x v="1"/>
    <x v="3"/>
    <s v="Senior Analyst"/>
    <n v="95116"/>
    <x v="3"/>
    <s v="Divorced"/>
    <d v="2016-09-26T00:00:00"/>
    <x v="6"/>
    <n v="2"/>
    <x v="0"/>
    <x v="2"/>
    <x v="5"/>
    <x v="1"/>
  </r>
  <r>
    <s v="EMP2643"/>
    <s v="Kavya Singh"/>
    <n v="31"/>
    <x v="0"/>
    <x v="4"/>
    <s v="Executive"/>
    <n v="65358"/>
    <x v="2"/>
    <s v="Divorced"/>
    <d v="2016-09-07T00:00:00"/>
    <x v="6"/>
    <n v="2"/>
    <x v="1"/>
    <x v="2"/>
    <x v="2"/>
    <x v="2"/>
  </r>
  <r>
    <s v="EMP2644"/>
    <s v="Isha Sharma"/>
    <n v="47"/>
    <x v="2"/>
    <x v="6"/>
    <s v="Associate"/>
    <n v="47762"/>
    <x v="4"/>
    <s v="Divorced"/>
    <d v="2024-08-17T00:00:00"/>
    <x v="0"/>
    <n v="3"/>
    <x v="1"/>
    <x v="1"/>
    <x v="0"/>
    <x v="3"/>
  </r>
  <r>
    <s v="EMP2645"/>
    <s v="Neha Pradhan"/>
    <n v="46"/>
    <x v="2"/>
    <x v="5"/>
    <s v="Team Lead"/>
    <n v="31108"/>
    <x v="4"/>
    <s v="Married"/>
    <d v="2019-11-11T00:00:00"/>
    <x v="4"/>
    <n v="0"/>
    <x v="1"/>
    <x v="0"/>
    <x v="7"/>
    <x v="3"/>
  </r>
  <r>
    <s v="EMP2646"/>
    <s v="Tarun Nanda"/>
    <n v="20"/>
    <x v="0"/>
    <x v="6"/>
    <s v="Intern"/>
    <n v="95872"/>
    <x v="4"/>
    <s v="Married"/>
    <d v="2025-03-27T00:00:00"/>
    <x v="9"/>
    <n v="8"/>
    <x v="0"/>
    <x v="4"/>
    <x v="3"/>
    <x v="1"/>
  </r>
  <r>
    <s v="EMP2647"/>
    <s v="Amit Sharma"/>
    <n v="38"/>
    <x v="1"/>
    <x v="1"/>
    <s v="Associate"/>
    <n v="107444"/>
    <x v="3"/>
    <s v="Divorced"/>
    <d v="2025-11-05T00:00:00"/>
    <x v="9"/>
    <n v="0"/>
    <x v="1"/>
    <x v="3"/>
    <x v="1"/>
    <x v="0"/>
  </r>
  <r>
    <s v="EMP2648"/>
    <s v="Tarun Sharma"/>
    <n v="40"/>
    <x v="1"/>
    <x v="2"/>
    <s v="Manager"/>
    <n v="39211"/>
    <x v="3"/>
    <s v="Married"/>
    <d v="2020-12-08T00:00:00"/>
    <x v="7"/>
    <n v="11"/>
    <x v="1"/>
    <x v="3"/>
    <x v="1"/>
    <x v="0"/>
  </r>
  <r>
    <s v="EMP2649"/>
    <s v="Neha Reddy"/>
    <n v="21"/>
    <x v="2"/>
    <x v="4"/>
    <s v="Associate"/>
    <n v="58438"/>
    <x v="3"/>
    <s v="Single"/>
    <d v="2018-05-05T00:00:00"/>
    <x v="1"/>
    <n v="6"/>
    <x v="0"/>
    <x v="3"/>
    <x v="5"/>
    <x v="1"/>
  </r>
  <r>
    <s v="EMP2650"/>
    <s v="Priya Mishra"/>
    <n v="43"/>
    <x v="1"/>
    <x v="1"/>
    <s v="Associate"/>
    <n v="67972"/>
    <x v="1"/>
    <s v="Divorced"/>
    <d v="2018-04-02T00:00:00"/>
    <x v="1"/>
    <n v="7"/>
    <x v="1"/>
    <x v="4"/>
    <x v="3"/>
    <x v="0"/>
  </r>
  <r>
    <s v="EMP2651"/>
    <s v="Rahul Sharma"/>
    <n v="45"/>
    <x v="2"/>
    <x v="3"/>
    <s v="Team Lead"/>
    <n v="97121"/>
    <x v="3"/>
    <s v="Single"/>
    <d v="2016-10-14T00:00:00"/>
    <x v="6"/>
    <n v="1"/>
    <x v="0"/>
    <x v="3"/>
    <x v="5"/>
    <x v="0"/>
  </r>
  <r>
    <s v="EMP2652"/>
    <s v="Amit Sharma"/>
    <n v="31"/>
    <x v="0"/>
    <x v="2"/>
    <s v="Associate"/>
    <n v="41729"/>
    <x v="2"/>
    <s v="Married"/>
    <d v="2021-07-20T00:00:00"/>
    <x v="8"/>
    <n v="4"/>
    <x v="1"/>
    <x v="4"/>
    <x v="0"/>
    <x v="2"/>
  </r>
  <r>
    <s v="EMP2653"/>
    <s v="Amit Mishra"/>
    <n v="40"/>
    <x v="2"/>
    <x v="7"/>
    <s v="Manager"/>
    <n v="69136"/>
    <x v="0"/>
    <s v="Single"/>
    <d v="2018-03-03T00:00:00"/>
    <x v="1"/>
    <n v="8"/>
    <x v="1"/>
    <x v="2"/>
    <x v="2"/>
    <x v="0"/>
  </r>
  <r>
    <s v="EMP2654"/>
    <s v="Neha Mishra"/>
    <n v="52"/>
    <x v="1"/>
    <x v="1"/>
    <s v="Manager"/>
    <n v="25860"/>
    <x v="4"/>
    <s v="Single"/>
    <d v="2017-05-26T00:00:00"/>
    <x v="2"/>
    <n v="6"/>
    <x v="1"/>
    <x v="0"/>
    <x v="0"/>
    <x v="3"/>
  </r>
  <r>
    <s v="EMP2655"/>
    <s v="Isha Singh"/>
    <n v="51"/>
    <x v="2"/>
    <x v="5"/>
    <s v="Associate"/>
    <n v="43674"/>
    <x v="0"/>
    <s v="Single"/>
    <d v="2022-08-31T00:00:00"/>
    <x v="5"/>
    <n v="2"/>
    <x v="1"/>
    <x v="3"/>
    <x v="7"/>
    <x v="3"/>
  </r>
  <r>
    <s v="EMP2656"/>
    <s v="Rohit Nanda"/>
    <n v="28"/>
    <x v="2"/>
    <x v="1"/>
    <s v="Associate"/>
    <n v="52487"/>
    <x v="1"/>
    <s v="Divorced"/>
    <d v="2025-04-16T00:00:00"/>
    <x v="9"/>
    <n v="7"/>
    <x v="1"/>
    <x v="2"/>
    <x v="5"/>
    <x v="2"/>
  </r>
  <r>
    <s v="EMP2657"/>
    <s v="Sneha Pradhan"/>
    <n v="23"/>
    <x v="0"/>
    <x v="2"/>
    <s v="Intern"/>
    <n v="47990"/>
    <x v="2"/>
    <s v="Married"/>
    <d v="2018-09-28T00:00:00"/>
    <x v="1"/>
    <n v="2"/>
    <x v="1"/>
    <x v="4"/>
    <x v="0"/>
    <x v="1"/>
  </r>
  <r>
    <s v="EMP2658"/>
    <s v="Karan Sharma"/>
    <n v="49"/>
    <x v="2"/>
    <x v="3"/>
    <s v="Executive"/>
    <n v="101303"/>
    <x v="3"/>
    <s v="Married"/>
    <d v="2021-12-13T00:00:00"/>
    <x v="8"/>
    <n v="11"/>
    <x v="0"/>
    <x v="4"/>
    <x v="5"/>
    <x v="3"/>
  </r>
  <r>
    <s v="EMP2659"/>
    <s v="Sneha Singh"/>
    <n v="55"/>
    <x v="2"/>
    <x v="0"/>
    <s v="Senior Analyst"/>
    <n v="83989"/>
    <x v="3"/>
    <s v="Married"/>
    <d v="2025-02-14T00:00:00"/>
    <x v="9"/>
    <n v="9"/>
    <x v="1"/>
    <x v="2"/>
    <x v="7"/>
    <x v="3"/>
  </r>
  <r>
    <s v="EMP2660"/>
    <s v="Tarun Patel"/>
    <n v="39"/>
    <x v="2"/>
    <x v="3"/>
    <s v="Intern"/>
    <n v="55382"/>
    <x v="2"/>
    <s v="Married"/>
    <d v="2024-06-25T00:00:00"/>
    <x v="0"/>
    <n v="5"/>
    <x v="0"/>
    <x v="1"/>
    <x v="2"/>
    <x v="0"/>
  </r>
  <r>
    <s v="EMP2661"/>
    <s v="Sneha Pradhan"/>
    <n v="32"/>
    <x v="0"/>
    <x v="4"/>
    <s v="Associate"/>
    <n v="55416"/>
    <x v="4"/>
    <s v="Divorced"/>
    <d v="2024-10-07T00:00:00"/>
    <x v="0"/>
    <n v="1"/>
    <x v="1"/>
    <x v="0"/>
    <x v="2"/>
    <x v="2"/>
  </r>
  <r>
    <s v="EMP2662"/>
    <s v="Isha Nanda"/>
    <n v="45"/>
    <x v="0"/>
    <x v="0"/>
    <s v="Senior Analyst"/>
    <n v="105097"/>
    <x v="1"/>
    <s v="Married"/>
    <d v="2018-02-02T00:00:00"/>
    <x v="1"/>
    <n v="9"/>
    <x v="0"/>
    <x v="1"/>
    <x v="0"/>
    <x v="0"/>
  </r>
  <r>
    <s v="EMP2663"/>
    <s v="Amit Mishra"/>
    <n v="24"/>
    <x v="1"/>
    <x v="3"/>
    <s v="Manager"/>
    <n v="111613"/>
    <x v="4"/>
    <s v="Single"/>
    <d v="2025-03-03T00:00:00"/>
    <x v="9"/>
    <n v="8"/>
    <x v="0"/>
    <x v="0"/>
    <x v="0"/>
    <x v="1"/>
  </r>
  <r>
    <s v="EMP2664"/>
    <s v="Priya Mishra"/>
    <n v="22"/>
    <x v="1"/>
    <x v="3"/>
    <s v="Intern"/>
    <n v="111684"/>
    <x v="1"/>
    <s v="Single"/>
    <d v="2020-07-09T00:00:00"/>
    <x v="7"/>
    <n v="4"/>
    <x v="0"/>
    <x v="4"/>
    <x v="5"/>
    <x v="1"/>
  </r>
  <r>
    <s v="EMP2665"/>
    <s v="Rohit Reddy"/>
    <n v="34"/>
    <x v="1"/>
    <x v="0"/>
    <s v="Manager"/>
    <n v="58053"/>
    <x v="0"/>
    <s v="Divorced"/>
    <d v="2025-01-07T00:00:00"/>
    <x v="9"/>
    <n v="10"/>
    <x v="0"/>
    <x v="0"/>
    <x v="2"/>
    <x v="2"/>
  </r>
  <r>
    <s v="EMP2666"/>
    <s v="Tarun Nanda"/>
    <n v="50"/>
    <x v="2"/>
    <x v="2"/>
    <s v="Manager"/>
    <n v="85395"/>
    <x v="2"/>
    <s v="Married"/>
    <d v="2018-02-12T00:00:00"/>
    <x v="1"/>
    <n v="9"/>
    <x v="1"/>
    <x v="4"/>
    <x v="3"/>
    <x v="3"/>
  </r>
  <r>
    <s v="EMP2667"/>
    <s v="Neha Patel"/>
    <n v="36"/>
    <x v="1"/>
    <x v="6"/>
    <s v="Executive"/>
    <n v="87695"/>
    <x v="4"/>
    <s v="Married"/>
    <d v="2023-11-27T00:00:00"/>
    <x v="3"/>
    <n v="0"/>
    <x v="0"/>
    <x v="3"/>
    <x v="4"/>
    <x v="0"/>
  </r>
  <r>
    <s v="EMP2668"/>
    <s v="Isha Singh"/>
    <n v="55"/>
    <x v="0"/>
    <x v="6"/>
    <s v="Intern"/>
    <n v="102120"/>
    <x v="3"/>
    <s v="Single"/>
    <d v="2023-05-28T00:00:00"/>
    <x v="3"/>
    <n v="6"/>
    <x v="0"/>
    <x v="1"/>
    <x v="1"/>
    <x v="3"/>
  </r>
  <r>
    <s v="EMP2669"/>
    <s v="Karan Reddy"/>
    <n v="36"/>
    <x v="2"/>
    <x v="1"/>
    <s v="Team Lead"/>
    <n v="99539"/>
    <x v="4"/>
    <s v="Married"/>
    <d v="2022-10-05T00:00:00"/>
    <x v="5"/>
    <n v="1"/>
    <x v="0"/>
    <x v="0"/>
    <x v="7"/>
    <x v="0"/>
  </r>
  <r>
    <s v="EMP2670"/>
    <s v="Rohit Patel"/>
    <n v="50"/>
    <x v="2"/>
    <x v="5"/>
    <s v="Manager"/>
    <n v="80828"/>
    <x v="3"/>
    <s v="Married"/>
    <d v="2023-10-28T00:00:00"/>
    <x v="3"/>
    <n v="1"/>
    <x v="0"/>
    <x v="4"/>
    <x v="0"/>
    <x v="3"/>
  </r>
  <r>
    <s v="EMP2671"/>
    <s v="Priya Sharma"/>
    <n v="25"/>
    <x v="2"/>
    <x v="1"/>
    <s v="Senior Analyst"/>
    <n v="111123"/>
    <x v="1"/>
    <s v="Married"/>
    <d v="2017-09-01T00:00:00"/>
    <x v="2"/>
    <n v="2"/>
    <x v="0"/>
    <x v="0"/>
    <x v="4"/>
    <x v="1"/>
  </r>
  <r>
    <s v="EMP2672"/>
    <s v="Kavya Nanda"/>
    <n v="30"/>
    <x v="2"/>
    <x v="0"/>
    <s v="Team Lead"/>
    <n v="49230"/>
    <x v="0"/>
    <s v="Single"/>
    <d v="2017-06-13T00:00:00"/>
    <x v="2"/>
    <n v="5"/>
    <x v="1"/>
    <x v="2"/>
    <x v="0"/>
    <x v="2"/>
  </r>
  <r>
    <s v="EMP2673"/>
    <s v="Amit Reddy"/>
    <n v="33"/>
    <x v="0"/>
    <x v="6"/>
    <s v="Team Lead"/>
    <n v="111282"/>
    <x v="4"/>
    <s v="Single"/>
    <d v="2018-01-25T00:00:00"/>
    <x v="1"/>
    <n v="10"/>
    <x v="0"/>
    <x v="2"/>
    <x v="7"/>
    <x v="2"/>
  </r>
  <r>
    <s v="EMP2674"/>
    <s v="Sneha Sharma"/>
    <n v="31"/>
    <x v="0"/>
    <x v="5"/>
    <s v="Manager"/>
    <n v="18276"/>
    <x v="0"/>
    <s v="Divorced"/>
    <d v="2022-01-15T00:00:00"/>
    <x v="5"/>
    <n v="10"/>
    <x v="1"/>
    <x v="3"/>
    <x v="0"/>
    <x v="2"/>
  </r>
  <r>
    <s v="EMP2675"/>
    <s v="Tarun Sharma"/>
    <n v="22"/>
    <x v="0"/>
    <x v="4"/>
    <s v="Junior Analyst"/>
    <n v="111698"/>
    <x v="0"/>
    <s v="Single"/>
    <d v="2022-04-30T00:00:00"/>
    <x v="5"/>
    <n v="6"/>
    <x v="0"/>
    <x v="4"/>
    <x v="4"/>
    <x v="1"/>
  </r>
  <r>
    <s v="EMP2676"/>
    <s v="Neha Nanda"/>
    <n v="25"/>
    <x v="1"/>
    <x v="6"/>
    <s v="Executive"/>
    <n v="112962"/>
    <x v="4"/>
    <s v="Married"/>
    <d v="2019-10-07T00:00:00"/>
    <x v="4"/>
    <n v="1"/>
    <x v="0"/>
    <x v="2"/>
    <x v="7"/>
    <x v="1"/>
  </r>
  <r>
    <s v="EMP2677"/>
    <s v="Isha Patel"/>
    <n v="46"/>
    <x v="2"/>
    <x v="5"/>
    <s v="Senior Analyst"/>
    <n v="43557"/>
    <x v="3"/>
    <s v="Married"/>
    <d v="2025-11-25T00:00:00"/>
    <x v="9"/>
    <n v="0"/>
    <x v="1"/>
    <x v="2"/>
    <x v="7"/>
    <x v="3"/>
  </r>
  <r>
    <s v="EMP2678"/>
    <s v="Rahul Pradhan"/>
    <n v="21"/>
    <x v="1"/>
    <x v="1"/>
    <s v="Manager"/>
    <n v="41904"/>
    <x v="3"/>
    <s v="Married"/>
    <d v="2019-11-18T00:00:00"/>
    <x v="4"/>
    <n v="0"/>
    <x v="1"/>
    <x v="3"/>
    <x v="2"/>
    <x v="1"/>
  </r>
  <r>
    <s v="EMP2679"/>
    <s v="Neha Sharma"/>
    <n v="22"/>
    <x v="1"/>
    <x v="1"/>
    <s v="Junior Analyst"/>
    <n v="105614"/>
    <x v="2"/>
    <s v="Married"/>
    <d v="2017-03-20T00:00:00"/>
    <x v="2"/>
    <n v="8"/>
    <x v="0"/>
    <x v="2"/>
    <x v="0"/>
    <x v="1"/>
  </r>
  <r>
    <s v="EMP2680"/>
    <s v="Neha Patel"/>
    <n v="25"/>
    <x v="2"/>
    <x v="7"/>
    <s v="Associate"/>
    <n v="110285"/>
    <x v="1"/>
    <s v="Married"/>
    <d v="2016-03-15T00:00:00"/>
    <x v="6"/>
    <n v="8"/>
    <x v="1"/>
    <x v="0"/>
    <x v="6"/>
    <x v="1"/>
  </r>
  <r>
    <s v="EMP2681"/>
    <s v="Sneha Nanda"/>
    <n v="57"/>
    <x v="1"/>
    <x v="4"/>
    <s v="Team Lead"/>
    <n v="23499"/>
    <x v="4"/>
    <s v="Single"/>
    <d v="2020-04-21T00:00:00"/>
    <x v="7"/>
    <n v="7"/>
    <x v="0"/>
    <x v="3"/>
    <x v="0"/>
    <x v="3"/>
  </r>
  <r>
    <s v="EMP2682"/>
    <s v="Karan Pradhan"/>
    <n v="38"/>
    <x v="2"/>
    <x v="5"/>
    <s v="Team Lead"/>
    <n v="67534"/>
    <x v="4"/>
    <s v="Divorced"/>
    <d v="2023-02-28T00:00:00"/>
    <x v="3"/>
    <n v="9"/>
    <x v="1"/>
    <x v="1"/>
    <x v="0"/>
    <x v="0"/>
  </r>
  <r>
    <s v="EMP2683"/>
    <s v="Kavya Nanda"/>
    <n v="20"/>
    <x v="2"/>
    <x v="0"/>
    <s v="Junior Analyst"/>
    <n v="88770"/>
    <x v="4"/>
    <s v="Divorced"/>
    <d v="2022-01-07T00:00:00"/>
    <x v="5"/>
    <n v="10"/>
    <x v="0"/>
    <x v="3"/>
    <x v="1"/>
    <x v="1"/>
  </r>
  <r>
    <s v="EMP2684"/>
    <s v="Kavya Sharma"/>
    <n v="43"/>
    <x v="0"/>
    <x v="3"/>
    <s v="Junior Analyst"/>
    <n v="95510"/>
    <x v="1"/>
    <s v="Married"/>
    <d v="2021-04-09T00:00:00"/>
    <x v="8"/>
    <n v="7"/>
    <x v="0"/>
    <x v="0"/>
    <x v="1"/>
    <x v="0"/>
  </r>
  <r>
    <s v="EMP2685"/>
    <s v="Tarun Sharma"/>
    <n v="58"/>
    <x v="0"/>
    <x v="5"/>
    <s v="Manager"/>
    <n v="20919"/>
    <x v="1"/>
    <s v="Married"/>
    <d v="2024-01-20T00:00:00"/>
    <x v="0"/>
    <n v="10"/>
    <x v="1"/>
    <x v="3"/>
    <x v="5"/>
    <x v="3"/>
  </r>
  <r>
    <s v="EMP2686"/>
    <s v="Tarun Sharma"/>
    <n v="39"/>
    <x v="0"/>
    <x v="6"/>
    <s v="Team Lead"/>
    <n v="117752"/>
    <x v="3"/>
    <s v="Single"/>
    <d v="2017-01-01T00:00:00"/>
    <x v="2"/>
    <n v="10"/>
    <x v="1"/>
    <x v="4"/>
    <x v="6"/>
    <x v="0"/>
  </r>
  <r>
    <s v="EMP2687"/>
    <s v="Karan Patel"/>
    <n v="27"/>
    <x v="1"/>
    <x v="4"/>
    <s v="Senior Analyst"/>
    <n v="77889"/>
    <x v="0"/>
    <s v="Divorced"/>
    <d v="2024-07-28T00:00:00"/>
    <x v="0"/>
    <n v="4"/>
    <x v="0"/>
    <x v="3"/>
    <x v="3"/>
    <x v="2"/>
  </r>
  <r>
    <s v="EMP2688"/>
    <s v="Tarun Reddy"/>
    <n v="31"/>
    <x v="0"/>
    <x v="7"/>
    <s v="Intern"/>
    <n v="89016"/>
    <x v="4"/>
    <s v="Single"/>
    <d v="2019-05-01T00:00:00"/>
    <x v="4"/>
    <n v="6"/>
    <x v="0"/>
    <x v="0"/>
    <x v="0"/>
    <x v="2"/>
  </r>
  <r>
    <s v="EMP2689"/>
    <s v="Amit Nanda"/>
    <n v="37"/>
    <x v="0"/>
    <x v="5"/>
    <s v="Team Lead"/>
    <n v="36469"/>
    <x v="2"/>
    <s v="Married"/>
    <d v="2021-12-06T00:00:00"/>
    <x v="8"/>
    <n v="11"/>
    <x v="0"/>
    <x v="3"/>
    <x v="7"/>
    <x v="0"/>
  </r>
  <r>
    <s v="EMP2690"/>
    <s v="Rohit Singh"/>
    <n v="43"/>
    <x v="1"/>
    <x v="5"/>
    <s v="Associate"/>
    <n v="31793"/>
    <x v="4"/>
    <s v="Married"/>
    <d v="2023-10-28T00:00:00"/>
    <x v="3"/>
    <n v="1"/>
    <x v="1"/>
    <x v="4"/>
    <x v="1"/>
    <x v="0"/>
  </r>
  <r>
    <s v="EMP2691"/>
    <s v="Rahul Patel"/>
    <n v="47"/>
    <x v="2"/>
    <x v="5"/>
    <s v="Associate"/>
    <n v="18378"/>
    <x v="4"/>
    <s v="Single"/>
    <d v="2017-08-08T00:00:00"/>
    <x v="2"/>
    <n v="3"/>
    <x v="1"/>
    <x v="3"/>
    <x v="7"/>
    <x v="3"/>
  </r>
  <r>
    <s v="EMP2692"/>
    <s v="Kavya Sharma"/>
    <n v="23"/>
    <x v="0"/>
    <x v="1"/>
    <s v="Intern"/>
    <n v="46777"/>
    <x v="3"/>
    <s v="Married"/>
    <d v="2019-04-09T00:00:00"/>
    <x v="4"/>
    <n v="7"/>
    <x v="0"/>
    <x v="3"/>
    <x v="5"/>
    <x v="1"/>
  </r>
  <r>
    <s v="EMP2693"/>
    <s v="Priya Mishra"/>
    <n v="28"/>
    <x v="1"/>
    <x v="4"/>
    <s v="Team Lead"/>
    <n v="41281"/>
    <x v="1"/>
    <s v="Divorced"/>
    <d v="2023-01-14T00:00:00"/>
    <x v="3"/>
    <n v="10"/>
    <x v="1"/>
    <x v="4"/>
    <x v="7"/>
    <x v="2"/>
  </r>
  <r>
    <s v="EMP2694"/>
    <s v="Rahul Sharma"/>
    <n v="51"/>
    <x v="2"/>
    <x v="5"/>
    <s v="Intern"/>
    <n v="39091"/>
    <x v="3"/>
    <s v="Divorced"/>
    <d v="2021-04-05T00:00:00"/>
    <x v="8"/>
    <n v="7"/>
    <x v="0"/>
    <x v="2"/>
    <x v="5"/>
    <x v="3"/>
  </r>
  <r>
    <s v="EMP2695"/>
    <s v="Tarun Sharma"/>
    <n v="44"/>
    <x v="2"/>
    <x v="3"/>
    <s v="Junior Analyst"/>
    <n v="18818"/>
    <x v="0"/>
    <s v="Single"/>
    <d v="2025-01-01T00:00:00"/>
    <x v="9"/>
    <n v="10"/>
    <x v="1"/>
    <x v="0"/>
    <x v="7"/>
    <x v="0"/>
  </r>
  <r>
    <s v="EMP2696"/>
    <s v="Sneha Sharma"/>
    <n v="56"/>
    <x v="1"/>
    <x v="6"/>
    <s v="Executive"/>
    <n v="98008"/>
    <x v="2"/>
    <s v="Single"/>
    <d v="2025-05-04T00:00:00"/>
    <x v="9"/>
    <n v="6"/>
    <x v="0"/>
    <x v="4"/>
    <x v="5"/>
    <x v="3"/>
  </r>
  <r>
    <s v="EMP2697"/>
    <s v="Tarun Sharma"/>
    <n v="22"/>
    <x v="2"/>
    <x v="3"/>
    <s v="Associate"/>
    <n v="47807"/>
    <x v="2"/>
    <s v="Single"/>
    <d v="2025-05-23T00:00:00"/>
    <x v="9"/>
    <n v="6"/>
    <x v="0"/>
    <x v="1"/>
    <x v="7"/>
    <x v="1"/>
  </r>
  <r>
    <s v="EMP2698"/>
    <s v="Rahul Nanda"/>
    <n v="24"/>
    <x v="1"/>
    <x v="3"/>
    <s v="Manager"/>
    <n v="107192"/>
    <x v="0"/>
    <s v="Married"/>
    <d v="2019-01-23T00:00:00"/>
    <x v="4"/>
    <n v="10"/>
    <x v="0"/>
    <x v="0"/>
    <x v="3"/>
    <x v="1"/>
  </r>
  <r>
    <s v="EMP2699"/>
    <s v="Karan Singh"/>
    <n v="40"/>
    <x v="2"/>
    <x v="2"/>
    <s v="Associate"/>
    <n v="47753"/>
    <x v="1"/>
    <s v="Divorced"/>
    <d v="2022-01-14T00:00:00"/>
    <x v="5"/>
    <n v="10"/>
    <x v="1"/>
    <x v="3"/>
    <x v="4"/>
    <x v="0"/>
  </r>
  <r>
    <s v="EMP2700"/>
    <s v="Tarun Patel"/>
    <n v="28"/>
    <x v="2"/>
    <x v="2"/>
    <s v="Junior Analyst"/>
    <n v="54572"/>
    <x v="0"/>
    <s v="Married"/>
    <d v="2025-07-25T00:00:00"/>
    <x v="9"/>
    <n v="4"/>
    <x v="0"/>
    <x v="0"/>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27B373-7655-453F-A5CD-602D06F0511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16">
    <pivotField showAll="0"/>
    <pivotField showAll="0"/>
    <pivotField showAll="0"/>
    <pivotField showAll="0">
      <items count="4">
        <item x="1"/>
        <item x="0"/>
        <item x="2"/>
        <item t="default"/>
      </items>
    </pivotField>
    <pivotField showAll="0">
      <items count="9">
        <item x="5"/>
        <item x="7"/>
        <item x="0"/>
        <item x="2"/>
        <item x="3"/>
        <item x="1"/>
        <item x="6"/>
        <item x="4"/>
        <item t="default"/>
      </items>
    </pivotField>
    <pivotField showAll="0"/>
    <pivotField numFmtId="164" showAll="0"/>
    <pivotField showAll="0">
      <items count="6">
        <item x="3"/>
        <item x="1"/>
        <item x="0"/>
        <item x="2"/>
        <item x="4"/>
        <item t="default"/>
      </items>
    </pivotField>
    <pivotField showAll="0"/>
    <pivotField numFmtId="14" showAll="0"/>
    <pivotField showAll="0"/>
    <pivotField showAll="0"/>
    <pivotField showAll="0"/>
    <pivotField dataField="1" showAll="0"/>
    <pivotField showAll="0">
      <items count="9">
        <item x="5"/>
        <item x="1"/>
        <item x="6"/>
        <item x="2"/>
        <item x="4"/>
        <item x="0"/>
        <item x="7"/>
        <item x="3"/>
        <item t="default"/>
      </items>
    </pivotField>
    <pivotField showAll="0"/>
  </pivotFields>
  <rowItems count="1">
    <i/>
  </rowItems>
  <colItems count="1">
    <i/>
  </colItems>
  <dataFields count="1">
    <dataField name="Average of Performance_Rating" fld="1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442DD4-A93A-45B8-B511-4856151A7C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pivotFields count="16">
    <pivotField showAll="0"/>
    <pivotField showAll="0"/>
    <pivotField showAll="0"/>
    <pivotField showAll="0">
      <items count="4">
        <item x="1"/>
        <item x="0"/>
        <item x="2"/>
        <item t="default"/>
      </items>
    </pivotField>
    <pivotField showAll="0">
      <items count="9">
        <item x="5"/>
        <item x="7"/>
        <item x="0"/>
        <item x="2"/>
        <item x="3"/>
        <item x="1"/>
        <item x="6"/>
        <item x="4"/>
        <item t="default"/>
      </items>
    </pivotField>
    <pivotField showAll="0"/>
    <pivotField numFmtId="164" showAll="0"/>
    <pivotField showAll="0">
      <items count="6">
        <item x="3"/>
        <item x="1"/>
        <item x="0"/>
        <item x="2"/>
        <item x="4"/>
        <item t="default"/>
      </items>
    </pivotField>
    <pivotField showAll="0"/>
    <pivotField numFmtId="14" showAll="0"/>
    <pivotField dataField="1" showAll="0"/>
    <pivotField showAll="0"/>
    <pivotField showAll="0"/>
    <pivotField showAll="0"/>
    <pivotField showAll="0">
      <items count="9">
        <item x="5"/>
        <item x="1"/>
        <item x="6"/>
        <item x="2"/>
        <item x="4"/>
        <item x="0"/>
        <item x="7"/>
        <item x="3"/>
        <item t="default"/>
      </items>
    </pivotField>
    <pivotField showAll="0"/>
  </pivotFields>
  <rowItems count="1">
    <i/>
  </rowItems>
  <colItems count="1">
    <i/>
  </colItems>
  <dataFields count="1">
    <dataField name="Average of Tennure_Years"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5B30ED-B2E9-467C-8C93-C7F27A9D827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16">
    <pivotField showAll="0"/>
    <pivotField showAll="0"/>
    <pivotField showAll="0"/>
    <pivotField showAll="0">
      <items count="4">
        <item x="1"/>
        <item x="0"/>
        <item x="2"/>
        <item t="default"/>
      </items>
    </pivotField>
    <pivotField showAll="0">
      <items count="9">
        <item x="5"/>
        <item x="7"/>
        <item x="0"/>
        <item x="2"/>
        <item x="3"/>
        <item x="1"/>
        <item x="6"/>
        <item x="4"/>
        <item t="default"/>
      </items>
    </pivotField>
    <pivotField showAll="0"/>
    <pivotField dataField="1" numFmtId="164" showAll="0"/>
    <pivotField showAll="0">
      <items count="6">
        <item x="3"/>
        <item x="1"/>
        <item x="0"/>
        <item x="2"/>
        <item x="4"/>
        <item t="default"/>
      </items>
    </pivotField>
    <pivotField showAll="0"/>
    <pivotField numFmtId="14" showAll="0"/>
    <pivotField showAll="0"/>
    <pivotField showAll="0"/>
    <pivotField showAll="0"/>
    <pivotField showAll="0"/>
    <pivotField showAll="0">
      <items count="9">
        <item x="5"/>
        <item x="1"/>
        <item x="6"/>
        <item x="2"/>
        <item x="4"/>
        <item x="0"/>
        <item x="7"/>
        <item x="3"/>
        <item t="default"/>
      </items>
    </pivotField>
    <pivotField showAll="0"/>
  </pivotFields>
  <rowItems count="1">
    <i/>
  </rowItems>
  <colItems count="1">
    <i/>
  </colItems>
  <dataFields count="1">
    <dataField name="Average of Salary"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9CC39-ECB4-41EE-8F7D-7C6B3BE0D0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16">
    <pivotField dataField="1" showAll="0"/>
    <pivotField showAll="0"/>
    <pivotField showAll="0"/>
    <pivotField showAll="0">
      <items count="4">
        <item x="1"/>
        <item x="0"/>
        <item x="2"/>
        <item t="default"/>
      </items>
    </pivotField>
    <pivotField showAll="0">
      <items count="9">
        <item x="5"/>
        <item x="7"/>
        <item x="0"/>
        <item x="2"/>
        <item x="3"/>
        <item x="1"/>
        <item x="6"/>
        <item x="4"/>
        <item t="default"/>
      </items>
    </pivotField>
    <pivotField showAll="0"/>
    <pivotField numFmtId="164" showAll="0"/>
    <pivotField showAll="0">
      <items count="6">
        <item x="3"/>
        <item x="1"/>
        <item x="0"/>
        <item x="2"/>
        <item x="4"/>
        <item t="default"/>
      </items>
    </pivotField>
    <pivotField showAll="0"/>
    <pivotField numFmtId="14" showAll="0"/>
    <pivotField showAll="0"/>
    <pivotField showAll="0"/>
    <pivotField axis="axisRow" showAll="0">
      <items count="3">
        <item x="1"/>
        <item x="0"/>
        <item t="default"/>
      </items>
    </pivotField>
    <pivotField showAll="0"/>
    <pivotField showAll="0">
      <items count="9">
        <item x="5"/>
        <item x="1"/>
        <item x="6"/>
        <item x="2"/>
        <item x="4"/>
        <item x="0"/>
        <item x="7"/>
        <item x="3"/>
        <item t="default"/>
      </items>
    </pivotField>
    <pivotField showAll="0"/>
  </pivotFields>
  <rowFields count="1">
    <field x="12"/>
  </rowFields>
  <rowItems count="3">
    <i>
      <x/>
    </i>
    <i>
      <x v="1"/>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D89D52-69FF-4E97-8B7D-CC3457156F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6">
    <pivotField dataField="1" showAll="0"/>
    <pivotField showAll="0"/>
    <pivotField showAll="0"/>
    <pivotField showAll="0">
      <items count="4">
        <item x="1"/>
        <item x="0"/>
        <item x="2"/>
        <item t="default"/>
      </items>
    </pivotField>
    <pivotField showAll="0">
      <items count="9">
        <item x="5"/>
        <item x="7"/>
        <item x="0"/>
        <item x="2"/>
        <item x="3"/>
        <item x="1"/>
        <item x="6"/>
        <item x="4"/>
        <item t="default"/>
      </items>
    </pivotField>
    <pivotField showAll="0"/>
    <pivotField numFmtId="164" showAll="0"/>
    <pivotField showAll="0">
      <items count="6">
        <item x="3"/>
        <item x="1"/>
        <item x="0"/>
        <item x="2"/>
        <item x="4"/>
        <item t="default"/>
      </items>
    </pivotField>
    <pivotField showAll="0"/>
    <pivotField numFmtId="14" showAll="0"/>
    <pivotField showAll="0"/>
    <pivotField showAll="0"/>
    <pivotField showAll="0"/>
    <pivotField showAll="0"/>
    <pivotField showAll="0">
      <items count="9">
        <item x="5"/>
        <item x="1"/>
        <item x="6"/>
        <item x="2"/>
        <item x="4"/>
        <item x="0"/>
        <item x="7"/>
        <item x="3"/>
        <item t="default"/>
      </items>
    </pivotField>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EF6B74-FBD4-4AD2-B3BC-D02C91BFBC78}"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5:B11" firstHeaderRow="1" firstDataRow="1" firstDataCol="1"/>
  <pivotFields count="16">
    <pivotField dataField="1" compact="0" outline="0" showAll="0"/>
    <pivotField compact="0" outline="0" showAll="0"/>
    <pivotField compact="0" outline="0" showAll="0"/>
    <pivotField compact="0" outline="0" showAll="0">
      <items count="4">
        <item x="1"/>
        <item x="0"/>
        <item x="2"/>
        <item t="default"/>
      </items>
    </pivotField>
    <pivotField compact="0" outline="0" showAll="0">
      <items count="9">
        <item x="5"/>
        <item x="7"/>
        <item x="0"/>
        <item x="2"/>
        <item x="3"/>
        <item x="1"/>
        <item x="6"/>
        <item x="4"/>
        <item t="default"/>
      </items>
    </pivotField>
    <pivotField compact="0" outline="0" showAll="0"/>
    <pivotField compact="0" numFmtId="164" outline="0" showAll="0"/>
    <pivotField compact="0" outline="0" showAll="0">
      <items count="6">
        <item x="3"/>
        <item x="1"/>
        <item x="0"/>
        <item x="2"/>
        <item x="4"/>
        <item t="default"/>
      </items>
    </pivotField>
    <pivotField compact="0" outline="0" showAll="0"/>
    <pivotField compact="0" numFmtId="14" outline="0" showAll="0"/>
    <pivotField compact="0" outline="0" showAll="0"/>
    <pivotField compact="0" outline="0" showAll="0"/>
    <pivotField compact="0" outline="0" showAll="0"/>
    <pivotField axis="axisRow" compact="0" outline="0" showAll="0">
      <items count="6">
        <item x="2"/>
        <item x="1"/>
        <item x="4"/>
        <item x="3"/>
        <item x="0"/>
        <item t="default"/>
      </items>
    </pivotField>
    <pivotField compact="0" outline="0" showAll="0">
      <items count="9">
        <item x="5"/>
        <item x="1"/>
        <item x="6"/>
        <item x="2"/>
        <item x="4"/>
        <item x="0"/>
        <item x="7"/>
        <item x="3"/>
        <item t="default"/>
      </items>
    </pivotField>
    <pivotField compact="0" outline="0" showAll="0"/>
  </pivotFields>
  <rowFields count="1">
    <field x="13"/>
  </rowFields>
  <rowItems count="6">
    <i>
      <x/>
    </i>
    <i>
      <x v="1"/>
    </i>
    <i>
      <x v="2"/>
    </i>
    <i>
      <x v="3"/>
    </i>
    <i>
      <x v="4"/>
    </i>
    <i t="grand">
      <x/>
    </i>
  </rowItems>
  <colItems count="1">
    <i/>
  </colItems>
  <dataFields count="1">
    <dataField name="Count of Employe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FD4BD6-05CE-4EFD-A5B3-1F81E7E2194D}"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76:D86" firstHeaderRow="1" firstDataRow="2" firstDataCol="1"/>
  <pivotFields count="16">
    <pivotField dataField="1" compact="0" outline="0" showAll="0"/>
    <pivotField compact="0" outline="0" showAll="0"/>
    <pivotField compact="0" outline="0" showAll="0"/>
    <pivotField compact="0" outline="0" showAll="0">
      <items count="4">
        <item x="1"/>
        <item x="0"/>
        <item x="2"/>
        <item t="default"/>
      </items>
    </pivotField>
    <pivotField compact="0" outline="0" showAll="0">
      <items count="9">
        <item x="5"/>
        <item x="7"/>
        <item x="0"/>
        <item x="2"/>
        <item x="3"/>
        <item x="1"/>
        <item x="6"/>
        <item x="4"/>
        <item t="default"/>
      </items>
    </pivotField>
    <pivotField compact="0" outline="0" showAll="0"/>
    <pivotField compact="0" numFmtId="164" outline="0" showAll="0"/>
    <pivotField compact="0" outline="0" showAll="0">
      <items count="6">
        <item x="3"/>
        <item x="1"/>
        <item x="0"/>
        <item x="2"/>
        <item x="4"/>
        <item t="default"/>
      </items>
    </pivotField>
    <pivotField compact="0" outline="0" showAll="0"/>
    <pivotField compact="0" numFmtId="14" outline="0" showAll="0"/>
    <pivotField compact="0" outline="0" showAll="0"/>
    <pivotField compact="0" outline="0" showAll="0"/>
    <pivotField axis="axisCol" compact="0" outline="0" showAll="0">
      <items count="3">
        <item x="1"/>
        <item x="0"/>
        <item t="default"/>
      </items>
    </pivotField>
    <pivotField compact="0" outline="0" showAll="0"/>
    <pivotField axis="axisRow" compact="0" outline="0" showAll="0">
      <items count="9">
        <item x="5"/>
        <item x="1"/>
        <item x="6"/>
        <item x="2"/>
        <item x="4"/>
        <item x="0"/>
        <item x="7"/>
        <item x="3"/>
        <item t="default"/>
      </items>
    </pivotField>
    <pivotField compact="0" outline="0" showAll="0"/>
  </pivotFields>
  <rowFields count="1">
    <field x="14"/>
  </rowFields>
  <rowItems count="9">
    <i>
      <x/>
    </i>
    <i>
      <x v="1"/>
    </i>
    <i>
      <x v="2"/>
    </i>
    <i>
      <x v="3"/>
    </i>
    <i>
      <x v="4"/>
    </i>
    <i>
      <x v="5"/>
    </i>
    <i>
      <x v="6"/>
    </i>
    <i>
      <x v="7"/>
    </i>
    <i t="grand">
      <x/>
    </i>
  </rowItems>
  <colFields count="1">
    <field x="12"/>
  </colFields>
  <colItems count="3">
    <i>
      <x/>
    </i>
    <i>
      <x v="1"/>
    </i>
    <i t="grand">
      <x/>
    </i>
  </colItems>
  <dataFields count="1">
    <dataField name="Count of Employee_ID" fld="0"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9902EE-8157-468A-85A5-1C3D4854A6BD}"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W44:Z50" firstHeaderRow="1" firstDataRow="2" firstDataCol="1"/>
  <pivotFields count="16">
    <pivotField compact="0" outline="0" showAll="0"/>
    <pivotField compact="0" outline="0" showAll="0"/>
    <pivotField compact="0" outline="0" showAll="0"/>
    <pivotField compact="0" outline="0" showAll="0">
      <items count="4">
        <item x="1"/>
        <item x="0"/>
        <item x="2"/>
        <item t="default"/>
      </items>
    </pivotField>
    <pivotField dataField="1" compact="0" outline="0" showAll="0">
      <items count="9">
        <item x="5"/>
        <item x="7"/>
        <item x="0"/>
        <item x="2"/>
        <item x="3"/>
        <item x="1"/>
        <item x="6"/>
        <item x="4"/>
        <item t="default"/>
      </items>
    </pivotField>
    <pivotField compact="0" outline="0" showAll="0"/>
    <pivotField compact="0" numFmtId="164" outline="0" showAll="0"/>
    <pivotField compact="0" outline="0" showAll="0">
      <items count="6">
        <item x="3"/>
        <item x="1"/>
        <item x="0"/>
        <item x="2"/>
        <item x="4"/>
        <item t="default"/>
      </items>
    </pivotField>
    <pivotField compact="0" outline="0" showAll="0"/>
    <pivotField compact="0" numFmtId="14"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items count="9">
        <item x="5"/>
        <item x="1"/>
        <item x="6"/>
        <item x="2"/>
        <item x="4"/>
        <item x="0"/>
        <item x="7"/>
        <item x="3"/>
        <item t="default"/>
      </items>
    </pivotField>
    <pivotField axis="axisRow" compact="0" outline="0" showAll="0">
      <items count="5">
        <item x="1"/>
        <item x="2"/>
        <item x="0"/>
        <item x="3"/>
        <item t="default"/>
      </items>
    </pivotField>
  </pivotFields>
  <rowFields count="1">
    <field x="15"/>
  </rowFields>
  <rowItems count="5">
    <i>
      <x/>
    </i>
    <i>
      <x v="1"/>
    </i>
    <i>
      <x v="2"/>
    </i>
    <i>
      <x v="3"/>
    </i>
    <i t="grand">
      <x/>
    </i>
  </rowItems>
  <colFields count="1">
    <field x="12"/>
  </colFields>
  <colItems count="3">
    <i>
      <x/>
    </i>
    <i>
      <x v="1"/>
    </i>
    <i t="grand">
      <x/>
    </i>
  </colItems>
  <dataFields count="1">
    <dataField name="Count of Department" fld="4" subtotal="count"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10" format="4" series="1">
      <pivotArea type="data" outline="0" fieldPosition="0">
        <references count="2">
          <reference field="4294967294" count="1" selected="0">
            <x v="0"/>
          </reference>
          <reference field="12" count="1" selected="0">
            <x v="0"/>
          </reference>
        </references>
      </pivotArea>
    </chartFormat>
    <chartFormat chart="10"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65DEDB-7C2B-42D6-9FF0-D88BA5948FD2}"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55:B64" firstHeaderRow="1" firstDataRow="1" firstDataCol="1"/>
  <pivotFields count="16">
    <pivotField compact="0" outline="0" showAll="0"/>
    <pivotField compact="0" outline="0" showAll="0"/>
    <pivotField compact="0" outline="0" showAll="0"/>
    <pivotField compact="0" outline="0" showAll="0">
      <items count="4">
        <item x="1"/>
        <item x="0"/>
        <item x="2"/>
        <item t="default"/>
      </items>
    </pivotField>
    <pivotField axis="axisRow" compact="0" outline="0" showAll="0">
      <items count="9">
        <item x="5"/>
        <item x="7"/>
        <item x="0"/>
        <item x="2"/>
        <item x="3"/>
        <item x="1"/>
        <item x="6"/>
        <item x="4"/>
        <item t="default"/>
      </items>
    </pivotField>
    <pivotField compact="0" outline="0" showAll="0"/>
    <pivotField dataField="1" compact="0" numFmtId="164" outline="0" showAll="0"/>
    <pivotField compact="0" outline="0" showAll="0">
      <items count="6">
        <item x="3"/>
        <item x="1"/>
        <item x="0"/>
        <item x="2"/>
        <item x="4"/>
        <item t="default"/>
      </items>
    </pivotField>
    <pivotField compact="0" outline="0" showAll="0"/>
    <pivotField compact="0" numFmtId="14" outline="0" showAll="0"/>
    <pivotField compact="0" outline="0" showAll="0"/>
    <pivotField compact="0" outline="0" showAll="0"/>
    <pivotField compact="0" outline="0" showAll="0"/>
    <pivotField compact="0" outline="0" showAll="0"/>
    <pivotField compact="0" outline="0" showAll="0">
      <items count="9">
        <item x="5"/>
        <item x="1"/>
        <item x="6"/>
        <item x="2"/>
        <item x="4"/>
        <item x="0"/>
        <item x="7"/>
        <item x="3"/>
        <item t="default"/>
      </items>
    </pivotField>
    <pivotField compact="0" outline="0" showAll="0"/>
  </pivotFields>
  <rowFields count="1">
    <field x="4"/>
  </rowFields>
  <rowItems count="9">
    <i>
      <x/>
    </i>
    <i>
      <x v="1"/>
    </i>
    <i>
      <x v="2"/>
    </i>
    <i>
      <x v="3"/>
    </i>
    <i>
      <x v="4"/>
    </i>
    <i>
      <x v="5"/>
    </i>
    <i>
      <x v="6"/>
    </i>
    <i>
      <x v="7"/>
    </i>
    <i t="grand">
      <x/>
    </i>
  </rowItems>
  <colItems count="1">
    <i/>
  </colItems>
  <dataFields count="1">
    <dataField name="Average of Salary" fld="6" subtotal="average" baseField="4" baseItem="0"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279BD4-F527-47B6-9357-2F82FDFAD952}"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5:D47" firstHeaderRow="1" firstDataRow="2" firstDataCol="1"/>
  <pivotFields count="16">
    <pivotField dataField="1" compact="0" outline="0" showAll="0"/>
    <pivotField compact="0" outline="0" showAll="0"/>
    <pivotField compact="0" outline="0" showAll="0"/>
    <pivotField compact="0" outline="0" showAll="0">
      <items count="4">
        <item x="1"/>
        <item x="0"/>
        <item x="2"/>
        <item t="default"/>
      </items>
    </pivotField>
    <pivotField compact="0" outline="0" showAll="0">
      <items count="9">
        <item x="5"/>
        <item x="7"/>
        <item x="0"/>
        <item x="2"/>
        <item x="3"/>
        <item x="1"/>
        <item x="6"/>
        <item x="4"/>
        <item t="default"/>
      </items>
    </pivotField>
    <pivotField compact="0" outline="0" showAll="0"/>
    <pivotField compact="0" numFmtId="164" outline="0" showAll="0"/>
    <pivotField compact="0" outline="0" showAll="0">
      <items count="6">
        <item x="3"/>
        <item x="1"/>
        <item x="0"/>
        <item x="2"/>
        <item x="4"/>
        <item t="default"/>
      </items>
    </pivotField>
    <pivotField compact="0" outline="0" showAll="0"/>
    <pivotField compact="0" numFmtId="14" outline="0" showAll="0"/>
    <pivotField axis="axisRow" compact="0" outline="0" showAll="0">
      <items count="11">
        <item x="9"/>
        <item x="0"/>
        <item x="3"/>
        <item x="5"/>
        <item x="8"/>
        <item x="7"/>
        <item x="4"/>
        <item x="1"/>
        <item x="2"/>
        <item x="6"/>
        <item t="default"/>
      </items>
    </pivotField>
    <pivotField compact="0" outline="0" showAll="0"/>
    <pivotField axis="axisCol" compact="0" outline="0" showAll="0">
      <items count="3">
        <item x="1"/>
        <item x="0"/>
        <item t="default"/>
      </items>
    </pivotField>
    <pivotField compact="0" outline="0" showAll="0"/>
    <pivotField compact="0" outline="0" showAll="0">
      <items count="9">
        <item x="5"/>
        <item x="1"/>
        <item x="6"/>
        <item x="2"/>
        <item x="4"/>
        <item x="0"/>
        <item x="7"/>
        <item x="3"/>
        <item t="default"/>
      </items>
    </pivotField>
    <pivotField compact="0" outline="0" showAll="0"/>
  </pivotFields>
  <rowFields count="1">
    <field x="10"/>
  </rowFields>
  <rowItems count="11">
    <i>
      <x/>
    </i>
    <i>
      <x v="1"/>
    </i>
    <i>
      <x v="2"/>
    </i>
    <i>
      <x v="3"/>
    </i>
    <i>
      <x v="4"/>
    </i>
    <i>
      <x v="5"/>
    </i>
    <i>
      <x v="6"/>
    </i>
    <i>
      <x v="7"/>
    </i>
    <i>
      <x v="8"/>
    </i>
    <i>
      <x v="9"/>
    </i>
    <i t="grand">
      <x/>
    </i>
  </rowItems>
  <colFields count="1">
    <field x="12"/>
  </colFields>
  <colItems count="3">
    <i>
      <x/>
    </i>
    <i>
      <x v="1"/>
    </i>
    <i t="grand">
      <x/>
    </i>
  </colItems>
  <dataFields count="1">
    <dataField name="Count of Employee_ID" fld="0"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5" format="6" series="1">
      <pivotArea type="data" outline="0" fieldPosition="0">
        <references count="2">
          <reference field="4294967294" count="1" selected="0">
            <x v="0"/>
          </reference>
          <reference field="12" count="1" selected="0">
            <x v="0"/>
          </reference>
        </references>
      </pivotArea>
    </chartFormat>
    <chartFormat chart="5"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E3FC0B-F59C-4CAA-9B3A-DEBD0C9E3A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D21" firstHeaderRow="1" firstDataRow="2" firstDataCol="1"/>
  <pivotFields count="16">
    <pivotField dataField="1" showAll="0"/>
    <pivotField showAll="0"/>
    <pivotField showAll="0"/>
    <pivotField axis="axisRow" showAll="0">
      <items count="4">
        <item x="1"/>
        <item x="0"/>
        <item x="2"/>
        <item t="default"/>
      </items>
    </pivotField>
    <pivotField showAll="0">
      <items count="9">
        <item x="5"/>
        <item x="7"/>
        <item x="0"/>
        <item x="2"/>
        <item x="3"/>
        <item x="1"/>
        <item x="6"/>
        <item x="4"/>
        <item t="default"/>
      </items>
    </pivotField>
    <pivotField showAll="0"/>
    <pivotField numFmtId="164" showAll="0"/>
    <pivotField showAll="0">
      <items count="6">
        <item x="3"/>
        <item x="1"/>
        <item x="0"/>
        <item x="2"/>
        <item x="4"/>
        <item t="default"/>
      </items>
    </pivotField>
    <pivotField showAll="0"/>
    <pivotField numFmtId="14" showAll="0"/>
    <pivotField showAll="0"/>
    <pivotField showAll="0"/>
    <pivotField axis="axisCol" showAll="0">
      <items count="3">
        <item x="1"/>
        <item x="0"/>
        <item t="default"/>
      </items>
    </pivotField>
    <pivotField showAll="0"/>
    <pivotField showAll="0">
      <items count="9">
        <item x="5"/>
        <item x="1"/>
        <item x="6"/>
        <item x="2"/>
        <item x="4"/>
        <item x="0"/>
        <item x="7"/>
        <item x="3"/>
        <item t="default"/>
      </items>
    </pivotField>
    <pivotField showAll="0"/>
  </pivotFields>
  <rowFields count="1">
    <field x="3"/>
  </rowFields>
  <rowItems count="4">
    <i>
      <x/>
    </i>
    <i>
      <x v="1"/>
    </i>
    <i>
      <x v="2"/>
    </i>
    <i t="grand">
      <x/>
    </i>
  </rowItems>
  <colFields count="1">
    <field x="12"/>
  </colFields>
  <colItems count="3">
    <i>
      <x/>
    </i>
    <i>
      <x v="1"/>
    </i>
    <i t="grand">
      <x/>
    </i>
  </colItems>
  <dataFields count="1">
    <dataField name="Count of Employee_ID" fld="0"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5" format="6" series="1">
      <pivotArea type="data" outline="0" fieldPosition="0">
        <references count="2">
          <reference field="4294967294" count="1" selected="0">
            <x v="0"/>
          </reference>
          <reference field="12" count="1" selected="0">
            <x v="0"/>
          </reference>
        </references>
      </pivotArea>
    </chartFormat>
    <chartFormat chart="5"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EDA4E5-7F06-42CD-A8E8-36B58111D6B3}"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D13" firstHeaderRow="1" firstDataRow="2" firstDataCol="1"/>
  <pivotFields count="16">
    <pivotField dataField="1" compact="0" outline="0" showAll="0"/>
    <pivotField compact="0" outline="0" showAll="0"/>
    <pivotField compact="0" outline="0" showAll="0"/>
    <pivotField compact="0" outline="0" showAll="0">
      <items count="4">
        <item x="1"/>
        <item x="0"/>
        <item x="2"/>
        <item t="default"/>
      </items>
    </pivotField>
    <pivotField axis="axisRow" compact="0" outline="0" showAll="0">
      <items count="9">
        <item x="5"/>
        <item x="7"/>
        <item x="0"/>
        <item x="2"/>
        <item x="3"/>
        <item x="1"/>
        <item x="6"/>
        <item x="4"/>
        <item t="default"/>
      </items>
    </pivotField>
    <pivotField compact="0" outline="0" showAll="0"/>
    <pivotField compact="0" numFmtId="164" outline="0" showAll="0"/>
    <pivotField compact="0" outline="0" showAll="0">
      <items count="6">
        <item x="3"/>
        <item x="1"/>
        <item x="0"/>
        <item x="2"/>
        <item x="4"/>
        <item t="default"/>
      </items>
    </pivotField>
    <pivotField compact="0" outline="0" showAll="0"/>
    <pivotField compact="0" numFmtId="14" outline="0" showAll="0"/>
    <pivotField compact="0" outline="0" showAll="0"/>
    <pivotField compact="0" outline="0" showAll="0"/>
    <pivotField axis="axisCol" compact="0" outline="0" showAll="0" sortType="ascending">
      <items count="3">
        <item x="1"/>
        <item x="0"/>
        <item t="default"/>
      </items>
    </pivotField>
    <pivotField compact="0" outline="0" showAll="0"/>
    <pivotField compact="0" outline="0" showAll="0">
      <items count="9">
        <item x="5"/>
        <item x="1"/>
        <item x="6"/>
        <item x="2"/>
        <item x="4"/>
        <item x="0"/>
        <item x="7"/>
        <item x="3"/>
        <item t="default"/>
      </items>
    </pivotField>
    <pivotField compact="0" outline="0" showAll="0"/>
  </pivotFields>
  <rowFields count="1">
    <field x="4"/>
  </rowFields>
  <rowItems count="9">
    <i>
      <x/>
    </i>
    <i>
      <x v="1"/>
    </i>
    <i>
      <x v="2"/>
    </i>
    <i>
      <x v="3"/>
    </i>
    <i>
      <x v="4"/>
    </i>
    <i>
      <x v="5"/>
    </i>
    <i>
      <x v="6"/>
    </i>
    <i>
      <x v="7"/>
    </i>
    <i t="grand">
      <x/>
    </i>
  </rowItems>
  <colFields count="1">
    <field x="12"/>
  </colFields>
  <colItems count="3">
    <i>
      <x/>
    </i>
    <i>
      <x v="1"/>
    </i>
    <i t="grand">
      <x/>
    </i>
  </colItems>
  <dataFields count="1">
    <dataField name="Count of Employee_ID" fld="0"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9" format="4" series="1">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2">
          <reference field="4294967294" count="1" selected="0">
            <x v="0"/>
          </reference>
          <reference field="12" count="1" selected="0">
            <x v="1"/>
          </reference>
        </references>
      </pivotArea>
    </chartFormat>
    <chartFormat chart="10" format="6" series="1">
      <pivotArea type="data" outline="0" fieldPosition="0">
        <references count="2">
          <reference field="4294967294" count="1" selected="0">
            <x v="0"/>
          </reference>
          <reference field="12" count="1" selected="0">
            <x v="0"/>
          </reference>
        </references>
      </pivotArea>
    </chartFormat>
    <chartFormat chart="10"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3C33796-AD0D-49BE-A0F1-394E51406EB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20:AY21" firstHeaderRow="1" firstDataRow="1" firstDataCol="0"/>
  <pivotFields count="16">
    <pivotField showAll="0"/>
    <pivotField showAll="0"/>
    <pivotField showAll="0"/>
    <pivotField showAll="0">
      <items count="4">
        <item x="1"/>
        <item x="0"/>
        <item x="2"/>
        <item t="default"/>
      </items>
    </pivotField>
    <pivotField showAll="0">
      <items count="9">
        <item x="5"/>
        <item x="7"/>
        <item x="0"/>
        <item x="2"/>
        <item x="3"/>
        <item x="1"/>
        <item x="6"/>
        <item x="4"/>
        <item t="default"/>
      </items>
    </pivotField>
    <pivotField showAll="0"/>
    <pivotField numFmtId="164" showAll="0"/>
    <pivotField showAll="0">
      <items count="6">
        <item x="3"/>
        <item x="1"/>
        <item x="0"/>
        <item x="2"/>
        <item x="4"/>
        <item t="default"/>
      </items>
    </pivotField>
    <pivotField showAll="0"/>
    <pivotField numFmtId="14" showAll="0"/>
    <pivotField showAll="0"/>
    <pivotField showAll="0"/>
    <pivotField showAll="0"/>
    <pivotField dataField="1" showAll="0"/>
    <pivotField showAll="0">
      <items count="9">
        <item x="5"/>
        <item x="1"/>
        <item x="6"/>
        <item x="2"/>
        <item x="4"/>
        <item x="0"/>
        <item x="7"/>
        <item x="3"/>
        <item t="default"/>
      </items>
    </pivotField>
    <pivotField showAll="0"/>
  </pivotFields>
  <rowItems count="1">
    <i/>
  </rowItems>
  <colItems count="1">
    <i/>
  </colItems>
  <dataFields count="1">
    <dataField name="Average of Performance_Rating" fld="1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499E49E-DB6F-40BE-B439-5D8F0795778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17:AY18" firstHeaderRow="1" firstDataRow="1" firstDataCol="0"/>
  <pivotFields count="16">
    <pivotField showAll="0"/>
    <pivotField showAll="0"/>
    <pivotField showAll="0"/>
    <pivotField showAll="0">
      <items count="4">
        <item x="1"/>
        <item x="0"/>
        <item x="2"/>
        <item t="default"/>
      </items>
    </pivotField>
    <pivotField showAll="0">
      <items count="9">
        <item x="5"/>
        <item x="7"/>
        <item x="0"/>
        <item x="2"/>
        <item x="3"/>
        <item x="1"/>
        <item x="6"/>
        <item x="4"/>
        <item t="default"/>
      </items>
    </pivotField>
    <pivotField showAll="0"/>
    <pivotField numFmtId="164" showAll="0"/>
    <pivotField showAll="0">
      <items count="6">
        <item x="3"/>
        <item x="1"/>
        <item x="0"/>
        <item x="2"/>
        <item x="4"/>
        <item t="default"/>
      </items>
    </pivotField>
    <pivotField showAll="0"/>
    <pivotField numFmtId="14" showAll="0"/>
    <pivotField dataField="1" showAll="0"/>
    <pivotField showAll="0"/>
    <pivotField showAll="0"/>
    <pivotField showAll="0"/>
    <pivotField showAll="0">
      <items count="9">
        <item x="5"/>
        <item x="1"/>
        <item x="6"/>
        <item x="2"/>
        <item x="4"/>
        <item x="0"/>
        <item x="7"/>
        <item x="3"/>
        <item t="default"/>
      </items>
    </pivotField>
    <pivotField showAll="0"/>
  </pivotFields>
  <rowItems count="1">
    <i/>
  </rowItems>
  <colItems count="1">
    <i/>
  </colItems>
  <dataFields count="1">
    <dataField name="Average of Tennure_Years" fld="1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32BB2C-19A3-4455-AF69-74230F1B7C0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14:AY15" firstHeaderRow="1" firstDataRow="1" firstDataCol="0"/>
  <pivotFields count="16">
    <pivotField showAll="0"/>
    <pivotField showAll="0"/>
    <pivotField showAll="0"/>
    <pivotField showAll="0">
      <items count="4">
        <item x="1"/>
        <item x="0"/>
        <item x="2"/>
        <item t="default"/>
      </items>
    </pivotField>
    <pivotField showAll="0">
      <items count="9">
        <item x="5"/>
        <item x="7"/>
        <item x="0"/>
        <item x="2"/>
        <item x="3"/>
        <item x="1"/>
        <item x="6"/>
        <item x="4"/>
        <item t="default"/>
      </items>
    </pivotField>
    <pivotField showAll="0"/>
    <pivotField dataField="1" numFmtId="164" showAll="0"/>
    <pivotField showAll="0">
      <items count="6">
        <item x="3"/>
        <item x="1"/>
        <item x="0"/>
        <item x="2"/>
        <item x="4"/>
        <item t="default"/>
      </items>
    </pivotField>
    <pivotField showAll="0"/>
    <pivotField numFmtId="14" showAll="0"/>
    <pivotField showAll="0"/>
    <pivotField showAll="0"/>
    <pivotField showAll="0"/>
    <pivotField showAll="0"/>
    <pivotField showAll="0">
      <items count="9">
        <item x="5"/>
        <item x="1"/>
        <item x="6"/>
        <item x="2"/>
        <item x="4"/>
        <item x="0"/>
        <item x="7"/>
        <item x="3"/>
        <item t="default"/>
      </items>
    </pivotField>
    <pivotField showAll="0"/>
  </pivotFields>
  <rowItems count="1">
    <i/>
  </rowItems>
  <colItems count="1">
    <i/>
  </colItems>
  <dataFields count="1">
    <dataField name="Average of Salary"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8381D8C-0F6A-4549-B1C8-0705D8DBC6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9:AZ12" firstHeaderRow="1" firstDataRow="1" firstDataCol="1"/>
  <pivotFields count="16">
    <pivotField dataField="1" showAll="0"/>
    <pivotField showAll="0"/>
    <pivotField showAll="0"/>
    <pivotField showAll="0">
      <items count="4">
        <item x="1"/>
        <item x="0"/>
        <item x="2"/>
        <item t="default"/>
      </items>
    </pivotField>
    <pivotField showAll="0">
      <items count="9">
        <item x="5"/>
        <item x="7"/>
        <item x="0"/>
        <item x="2"/>
        <item x="3"/>
        <item x="1"/>
        <item x="6"/>
        <item x="4"/>
        <item t="default"/>
      </items>
    </pivotField>
    <pivotField showAll="0"/>
    <pivotField numFmtId="164" showAll="0"/>
    <pivotField showAll="0">
      <items count="6">
        <item x="3"/>
        <item x="1"/>
        <item x="0"/>
        <item x="2"/>
        <item x="4"/>
        <item t="default"/>
      </items>
    </pivotField>
    <pivotField showAll="0"/>
    <pivotField numFmtId="14" showAll="0"/>
    <pivotField showAll="0"/>
    <pivotField showAll="0"/>
    <pivotField axis="axisRow" showAll="0">
      <items count="3">
        <item x="1"/>
        <item x="0"/>
        <item t="default"/>
      </items>
    </pivotField>
    <pivotField showAll="0"/>
    <pivotField showAll="0">
      <items count="9">
        <item x="5"/>
        <item x="1"/>
        <item x="6"/>
        <item x="2"/>
        <item x="4"/>
        <item x="0"/>
        <item x="7"/>
        <item x="3"/>
        <item t="default"/>
      </items>
    </pivotField>
    <pivotField showAll="0"/>
  </pivotFields>
  <rowFields count="1">
    <field x="12"/>
  </rowFields>
  <rowItems count="3">
    <i>
      <x/>
    </i>
    <i>
      <x v="1"/>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8A7AE07-1DF3-48FB-8034-32D04F4314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5:AY6" firstHeaderRow="1" firstDataRow="1" firstDataCol="0"/>
  <pivotFields count="16">
    <pivotField dataField="1" showAll="0"/>
    <pivotField showAll="0"/>
    <pivotField showAll="0"/>
    <pivotField showAll="0">
      <items count="4">
        <item x="1"/>
        <item x="0"/>
        <item x="2"/>
        <item t="default"/>
      </items>
    </pivotField>
    <pivotField showAll="0">
      <items count="9">
        <item x="5"/>
        <item x="7"/>
        <item x="0"/>
        <item x="2"/>
        <item x="3"/>
        <item x="1"/>
        <item x="6"/>
        <item x="4"/>
        <item t="default"/>
      </items>
    </pivotField>
    <pivotField showAll="0"/>
    <pivotField numFmtId="164" showAll="0"/>
    <pivotField showAll="0">
      <items count="6">
        <item x="3"/>
        <item x="1"/>
        <item x="0"/>
        <item x="2"/>
        <item x="4"/>
        <item t="default"/>
      </items>
    </pivotField>
    <pivotField showAll="0"/>
    <pivotField numFmtId="14" showAll="0"/>
    <pivotField showAll="0"/>
    <pivotField showAll="0"/>
    <pivotField showAll="0"/>
    <pivotField showAll="0"/>
    <pivotField showAll="0">
      <items count="9">
        <item x="5"/>
        <item x="1"/>
        <item x="6"/>
        <item x="2"/>
        <item x="4"/>
        <item x="0"/>
        <item x="7"/>
        <item x="3"/>
        <item t="default"/>
      </items>
    </pivotField>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C2A330-A837-4760-AE82-67CE02562D09}" sourceName="Gender">
  <pivotTables>
    <pivotTable tabId="5" name="PivotTable9"/>
    <pivotTable tabId="2" name="PivotTable1"/>
    <pivotTable tabId="2" name="PivotTable2"/>
    <pivotTable tabId="5" name="PivotTable10"/>
    <pivotTable tabId="5" name="PivotTable11"/>
    <pivotTable tabId="5" name="PivotTable12"/>
    <pivotTable tabId="5" name="PivotTable13"/>
    <pivotTable tabId="6" name="PivotTable10"/>
    <pivotTable tabId="6" name="PivotTable6"/>
    <pivotTable tabId="6" name="PivotTable7"/>
    <pivotTable tabId="6" name="PivotTable8"/>
    <pivotTable tabId="6" name="PivotTable9"/>
    <pivotTable tabId="3" name="PivotTable1"/>
    <pivotTable tabId="3" name="PivotTable2"/>
    <pivotTable tabId="3" name="PivotTable3"/>
    <pivotTable tabId="3" name="PivotTable4"/>
    <pivotTable tabId="3" name="PivotTable5"/>
  </pivotTables>
  <data>
    <tabular pivotCacheId="135888042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CE9D647-84BA-4C39-96FF-856D8D9B9B59}" sourceName="Department">
  <pivotTables>
    <pivotTable tabId="5" name="PivotTable9"/>
    <pivotTable tabId="2" name="PivotTable1"/>
    <pivotTable tabId="2" name="PivotTable2"/>
    <pivotTable tabId="5" name="PivotTable10"/>
    <pivotTable tabId="5" name="PivotTable11"/>
    <pivotTable tabId="5" name="PivotTable12"/>
    <pivotTable tabId="5" name="PivotTable13"/>
    <pivotTable tabId="6" name="PivotTable10"/>
    <pivotTable tabId="6" name="PivotTable6"/>
    <pivotTable tabId="6" name="PivotTable7"/>
    <pivotTable tabId="6" name="PivotTable8"/>
    <pivotTable tabId="6" name="PivotTable9"/>
    <pivotTable tabId="3" name="PivotTable1"/>
    <pivotTable tabId="3" name="PivotTable2"/>
    <pivotTable tabId="3" name="PivotTable3"/>
    <pivotTable tabId="3" name="PivotTable4"/>
    <pivotTable tabId="3" name="PivotTable5"/>
  </pivotTables>
  <data>
    <tabular pivotCacheId="1358880420">
      <items count="8">
        <i x="5" s="1"/>
        <i x="7" s="1"/>
        <i x="0" s="1"/>
        <i x="2" s="1"/>
        <i x="3" s="1"/>
        <i x="1"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C11DC5A-70F5-4E68-A342-C845976FE4D0}" sourceName="Education">
  <pivotTables>
    <pivotTable tabId="5" name="PivotTable9"/>
    <pivotTable tabId="2" name="PivotTable1"/>
    <pivotTable tabId="2" name="PivotTable2"/>
    <pivotTable tabId="5" name="PivotTable10"/>
    <pivotTable tabId="5" name="PivotTable11"/>
    <pivotTable tabId="5" name="PivotTable12"/>
    <pivotTable tabId="5" name="PivotTable13"/>
    <pivotTable tabId="6" name="PivotTable10"/>
    <pivotTable tabId="6" name="PivotTable6"/>
    <pivotTable tabId="6" name="PivotTable7"/>
    <pivotTable tabId="6" name="PivotTable8"/>
    <pivotTable tabId="6" name="PivotTable9"/>
    <pivotTable tabId="3" name="PivotTable1"/>
    <pivotTable tabId="3" name="PivotTable2"/>
    <pivotTable tabId="3" name="PivotTable3"/>
    <pivotTable tabId="3" name="PivotTable4"/>
    <pivotTable tabId="3" name="PivotTable5"/>
  </pivotTables>
  <data>
    <tabular pivotCacheId="1358880420">
      <items count="5">
        <i x="3" s="1"/>
        <i x="1"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CED6D9B-F31D-4AD7-85A7-3272335040D2}" sourceName="City">
  <pivotTables>
    <pivotTable tabId="5" name="PivotTable9"/>
    <pivotTable tabId="2" name="PivotTable1"/>
    <pivotTable tabId="2" name="PivotTable2"/>
    <pivotTable tabId="5" name="PivotTable10"/>
    <pivotTable tabId="5" name="PivotTable11"/>
    <pivotTable tabId="5" name="PivotTable12"/>
    <pivotTable tabId="5" name="PivotTable13"/>
    <pivotTable tabId="6" name="PivotTable10"/>
    <pivotTable tabId="6" name="PivotTable6"/>
    <pivotTable tabId="6" name="PivotTable7"/>
    <pivotTable tabId="6" name="PivotTable8"/>
    <pivotTable tabId="6" name="PivotTable9"/>
    <pivotTable tabId="3" name="PivotTable1"/>
    <pivotTable tabId="3" name="PivotTable2"/>
    <pivotTable tabId="3" name="PivotTable3"/>
    <pivotTable tabId="3" name="PivotTable4"/>
    <pivotTable tabId="3" name="PivotTable5"/>
  </pivotTables>
  <data>
    <tabular pivotCacheId="1358880420">
      <items count="8">
        <i x="5" s="1"/>
        <i x="1" s="1"/>
        <i x="6" s="1"/>
        <i x="2" s="1"/>
        <i x="4" s="1"/>
        <i x="0"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18FB88B-D828-46C1-9BEA-6C9168FB255E}" cache="Slicer_Gender" caption="Gender" rowHeight="234950"/>
  <slicer name="Department" xr10:uid="{7418B5BF-65E1-4A38-A20D-88D5D6E4B53C}" cache="Slicer_Department" caption="Department" rowHeight="234950"/>
  <slicer name="Education" xr10:uid="{90D23550-6828-499F-A3AE-E56576A41635}" cache="Slicer_Education" caption="Education" rowHeight="234950"/>
  <slicer name="City" xr10:uid="{093469A2-D6BC-4047-9E40-26624D2667C3}"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06259D1-6BB0-40A8-AEBD-B9EE37CDFC0B}" cache="Slicer_Gender" caption="Gender" rowHeight="468000"/>
  <slicer name="Department 1" xr10:uid="{AB5F3FBD-D761-4037-A8E6-09CA3E033913}" cache="Slicer_Department" caption="Department" columnCount="2" rowHeight="504000"/>
  <slicer name="Education 1" xr10:uid="{B9BA2EEC-699B-4AB5-A8B7-707402FAADEC}" cache="Slicer_Education" caption="Education" columnCount="2" rowHeight="504000"/>
  <slicer name="City 1" xr10:uid="{7B8D88BB-07F9-4A2E-9963-0171AAF9BE73}" cache="Slicer_City" caption="City" rowHeight="432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microsoft.com/office/2007/relationships/slicer" Target="../slicers/slicer2.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3.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01"/>
  <sheetViews>
    <sheetView zoomScale="130" zoomScaleNormal="130" workbookViewId="0">
      <selection activeCell="A2" sqref="A1:P1701"/>
    </sheetView>
  </sheetViews>
  <sheetFormatPr defaultRowHeight="14.4" x14ac:dyDescent="0.3"/>
  <cols>
    <col min="1" max="1" width="16.5546875" bestFit="1" customWidth="1"/>
    <col min="2" max="2" width="13.21875" bestFit="1" customWidth="1"/>
    <col min="3" max="3" width="8.6640625" bestFit="1" customWidth="1"/>
    <col min="4" max="4" width="11.5546875" bestFit="1" customWidth="1"/>
    <col min="5" max="5" width="15.5546875" bestFit="1" customWidth="1"/>
    <col min="6" max="6" width="12.6640625" bestFit="1" customWidth="1"/>
    <col min="7" max="7" width="12.33203125" style="5" bestFit="1" customWidth="1"/>
    <col min="8" max="8" width="13.88671875" bestFit="1" customWidth="1"/>
    <col min="9" max="9" width="17.77734375" bestFit="1" customWidth="1"/>
    <col min="10" max="10" width="13.6640625" style="2" bestFit="1" customWidth="1"/>
    <col min="11" max="11" width="18" style="2" bestFit="1" customWidth="1"/>
    <col min="12" max="12" width="20.109375" style="2" bestFit="1" customWidth="1"/>
    <col min="13" max="13" width="12.44140625" bestFit="1" customWidth="1"/>
    <col min="14" max="14" width="22.88671875" bestFit="1" customWidth="1"/>
    <col min="15" max="15" width="12.109375" bestFit="1" customWidth="1"/>
    <col min="16" max="16" width="10.88671875" bestFit="1" customWidth="1"/>
  </cols>
  <sheetData>
    <row r="1" spans="1:16" x14ac:dyDescent="0.3">
      <c r="A1" s="1" t="s">
        <v>0</v>
      </c>
      <c r="B1" s="1" t="s">
        <v>1</v>
      </c>
      <c r="C1" s="1" t="s">
        <v>2</v>
      </c>
      <c r="D1" s="1" t="s">
        <v>3</v>
      </c>
      <c r="E1" s="1" t="s">
        <v>4</v>
      </c>
      <c r="F1" s="1" t="s">
        <v>5</v>
      </c>
      <c r="G1" s="4" t="s">
        <v>6</v>
      </c>
      <c r="H1" s="1" t="s">
        <v>7</v>
      </c>
      <c r="I1" s="1" t="s">
        <v>8</v>
      </c>
      <c r="J1" s="3" t="s">
        <v>9</v>
      </c>
      <c r="K1" s="3" t="s">
        <v>1819</v>
      </c>
      <c r="L1" s="3" t="s">
        <v>1820</v>
      </c>
      <c r="M1" s="1" t="s">
        <v>10</v>
      </c>
      <c r="N1" s="1" t="s">
        <v>11</v>
      </c>
      <c r="O1" s="1" t="s">
        <v>12</v>
      </c>
      <c r="P1" s="12" t="s">
        <v>1836</v>
      </c>
    </row>
    <row r="2" spans="1:16" x14ac:dyDescent="0.3">
      <c r="A2" t="s">
        <v>13</v>
      </c>
      <c r="B2" t="s">
        <v>1713</v>
      </c>
      <c r="C2">
        <v>37</v>
      </c>
      <c r="D2" t="s">
        <v>1783</v>
      </c>
      <c r="E2" t="s">
        <v>1786</v>
      </c>
      <c r="F2" t="s">
        <v>1794</v>
      </c>
      <c r="G2" s="5">
        <v>36289</v>
      </c>
      <c r="H2" t="s">
        <v>1801</v>
      </c>
      <c r="I2" t="s">
        <v>1806</v>
      </c>
      <c r="J2" s="2">
        <v>45471</v>
      </c>
      <c r="K2">
        <f ca="1">YEAR(TODAY()) - YEAR(J2)</f>
        <v>1</v>
      </c>
      <c r="L2">
        <f ca="1">DATEDIF(J2,TODAY(),"YM")</f>
        <v>5</v>
      </c>
      <c r="M2" t="s">
        <v>1809</v>
      </c>
      <c r="N2">
        <v>5</v>
      </c>
      <c r="O2" t="s">
        <v>1811</v>
      </c>
      <c r="P2" t="s">
        <v>1831</v>
      </c>
    </row>
    <row r="3" spans="1:16" x14ac:dyDescent="0.3">
      <c r="A3" t="s">
        <v>14</v>
      </c>
      <c r="B3" t="s">
        <v>1714</v>
      </c>
      <c r="C3">
        <v>25</v>
      </c>
      <c r="D3" t="s">
        <v>1783</v>
      </c>
      <c r="E3" t="s">
        <v>1786</v>
      </c>
      <c r="F3" t="s">
        <v>1795</v>
      </c>
      <c r="G3" s="5">
        <v>84237</v>
      </c>
      <c r="H3" t="s">
        <v>1801</v>
      </c>
      <c r="I3" t="s">
        <v>1806</v>
      </c>
      <c r="J3" s="2">
        <v>43252</v>
      </c>
      <c r="K3">
        <f t="shared" ref="K3:K66" ca="1" si="0">YEAR(TODAY()) - YEAR(J3)</f>
        <v>7</v>
      </c>
      <c r="L3">
        <f t="shared" ref="L3:L66" ca="1" si="1">DATEDIF(J3,TODAY(),"YM")</f>
        <v>6</v>
      </c>
      <c r="M3" t="s">
        <v>1810</v>
      </c>
      <c r="N3">
        <v>2</v>
      </c>
      <c r="O3" t="s">
        <v>1812</v>
      </c>
      <c r="P3" t="s">
        <v>1832</v>
      </c>
    </row>
    <row r="4" spans="1:16" x14ac:dyDescent="0.3">
      <c r="A4" t="s">
        <v>15</v>
      </c>
      <c r="B4" t="s">
        <v>1715</v>
      </c>
      <c r="C4">
        <v>20</v>
      </c>
      <c r="D4" t="s">
        <v>1783</v>
      </c>
      <c r="E4" t="s">
        <v>1787</v>
      </c>
      <c r="F4" t="s">
        <v>1796</v>
      </c>
      <c r="G4" s="5">
        <v>62597</v>
      </c>
      <c r="H4" t="s">
        <v>1802</v>
      </c>
      <c r="I4" t="s">
        <v>1807</v>
      </c>
      <c r="J4" s="2">
        <v>45565</v>
      </c>
      <c r="K4">
        <f t="shared" ca="1" si="0"/>
        <v>1</v>
      </c>
      <c r="L4">
        <f t="shared" ca="1" si="1"/>
        <v>2</v>
      </c>
      <c r="M4" t="s">
        <v>1810</v>
      </c>
      <c r="N4">
        <v>1</v>
      </c>
      <c r="O4" t="s">
        <v>1813</v>
      </c>
      <c r="P4" t="s">
        <v>1832</v>
      </c>
    </row>
    <row r="5" spans="1:16" x14ac:dyDescent="0.3">
      <c r="A5" t="s">
        <v>16</v>
      </c>
      <c r="B5" t="s">
        <v>1716</v>
      </c>
      <c r="C5">
        <v>42</v>
      </c>
      <c r="D5" t="s">
        <v>1784</v>
      </c>
      <c r="E5" t="s">
        <v>1788</v>
      </c>
      <c r="F5" t="s">
        <v>1794</v>
      </c>
      <c r="G5" s="5">
        <v>23695</v>
      </c>
      <c r="H5" t="s">
        <v>1803</v>
      </c>
      <c r="I5" t="s">
        <v>1806</v>
      </c>
      <c r="J5" s="2">
        <v>42949</v>
      </c>
      <c r="K5">
        <f t="shared" ca="1" si="0"/>
        <v>8</v>
      </c>
      <c r="L5">
        <f t="shared" ca="1" si="1"/>
        <v>4</v>
      </c>
      <c r="M5" t="s">
        <v>1810</v>
      </c>
      <c r="N5">
        <v>1</v>
      </c>
      <c r="O5" t="s">
        <v>1814</v>
      </c>
      <c r="P5" t="s">
        <v>1831</v>
      </c>
    </row>
    <row r="6" spans="1:16" x14ac:dyDescent="0.3">
      <c r="A6" t="s">
        <v>17</v>
      </c>
      <c r="B6" t="s">
        <v>1717</v>
      </c>
      <c r="C6">
        <v>43</v>
      </c>
      <c r="D6" t="s">
        <v>1785</v>
      </c>
      <c r="E6" t="s">
        <v>1786</v>
      </c>
      <c r="F6" t="s">
        <v>1797</v>
      </c>
      <c r="G6" s="5">
        <v>110349</v>
      </c>
      <c r="H6" t="s">
        <v>1801</v>
      </c>
      <c r="I6" t="s">
        <v>1806</v>
      </c>
      <c r="J6" s="2">
        <v>43371</v>
      </c>
      <c r="K6">
        <f t="shared" ca="1" si="0"/>
        <v>7</v>
      </c>
      <c r="L6">
        <f t="shared" ca="1" si="1"/>
        <v>2</v>
      </c>
      <c r="M6" t="s">
        <v>1810</v>
      </c>
      <c r="N6">
        <v>1</v>
      </c>
      <c r="O6" t="s">
        <v>1815</v>
      </c>
      <c r="P6" t="s">
        <v>1831</v>
      </c>
    </row>
    <row r="7" spans="1:16" x14ac:dyDescent="0.3">
      <c r="A7" t="s">
        <v>18</v>
      </c>
      <c r="B7" t="s">
        <v>1718</v>
      </c>
      <c r="C7">
        <v>37</v>
      </c>
      <c r="D7" t="s">
        <v>1784</v>
      </c>
      <c r="E7" t="s">
        <v>1789</v>
      </c>
      <c r="F7" t="s">
        <v>1796</v>
      </c>
      <c r="G7" s="5">
        <v>39319</v>
      </c>
      <c r="H7" t="s">
        <v>1804</v>
      </c>
      <c r="I7" t="s">
        <v>1807</v>
      </c>
      <c r="J7" s="2">
        <v>45183</v>
      </c>
      <c r="K7">
        <f t="shared" ca="1" si="0"/>
        <v>2</v>
      </c>
      <c r="L7">
        <f t="shared" ca="1" si="1"/>
        <v>2</v>
      </c>
      <c r="M7" t="s">
        <v>1810</v>
      </c>
      <c r="N7">
        <v>1</v>
      </c>
      <c r="O7" t="s">
        <v>1816</v>
      </c>
      <c r="P7" t="s">
        <v>1831</v>
      </c>
    </row>
    <row r="8" spans="1:16" x14ac:dyDescent="0.3">
      <c r="A8" t="s">
        <v>19</v>
      </c>
      <c r="B8" t="s">
        <v>1719</v>
      </c>
      <c r="C8">
        <v>35</v>
      </c>
      <c r="D8" t="s">
        <v>1783</v>
      </c>
      <c r="E8" t="s">
        <v>1790</v>
      </c>
      <c r="F8" t="s">
        <v>1796</v>
      </c>
      <c r="G8" s="5">
        <v>67735</v>
      </c>
      <c r="H8" t="s">
        <v>1805</v>
      </c>
      <c r="I8" t="s">
        <v>1807</v>
      </c>
      <c r="J8" s="2">
        <v>45242</v>
      </c>
      <c r="K8">
        <f t="shared" ca="1" si="0"/>
        <v>2</v>
      </c>
      <c r="L8">
        <f t="shared" ca="1" si="1"/>
        <v>0</v>
      </c>
      <c r="M8" t="s">
        <v>1810</v>
      </c>
      <c r="N8">
        <v>1</v>
      </c>
      <c r="O8" t="s">
        <v>1815</v>
      </c>
      <c r="P8" t="s">
        <v>1833</v>
      </c>
    </row>
    <row r="9" spans="1:16" x14ac:dyDescent="0.3">
      <c r="A9" t="s">
        <v>20</v>
      </c>
      <c r="B9" t="s">
        <v>1720</v>
      </c>
      <c r="C9">
        <v>40</v>
      </c>
      <c r="D9" t="s">
        <v>1784</v>
      </c>
      <c r="E9" t="s">
        <v>1788</v>
      </c>
      <c r="F9" t="s">
        <v>1798</v>
      </c>
      <c r="G9" s="5">
        <v>26675</v>
      </c>
      <c r="H9" t="s">
        <v>1805</v>
      </c>
      <c r="I9" t="s">
        <v>1806</v>
      </c>
      <c r="J9" s="2">
        <v>43726</v>
      </c>
      <c r="K9">
        <f t="shared" ca="1" si="0"/>
        <v>6</v>
      </c>
      <c r="L9">
        <f t="shared" ca="1" si="1"/>
        <v>2</v>
      </c>
      <c r="M9" t="s">
        <v>1809</v>
      </c>
      <c r="N9">
        <v>4</v>
      </c>
      <c r="O9" t="s">
        <v>1811</v>
      </c>
      <c r="P9" t="s">
        <v>1831</v>
      </c>
    </row>
    <row r="10" spans="1:16" x14ac:dyDescent="0.3">
      <c r="A10" t="s">
        <v>21</v>
      </c>
      <c r="B10" t="s">
        <v>1721</v>
      </c>
      <c r="C10">
        <v>36</v>
      </c>
      <c r="D10" t="s">
        <v>1783</v>
      </c>
      <c r="E10" t="s">
        <v>1786</v>
      </c>
      <c r="F10" t="s">
        <v>1795</v>
      </c>
      <c r="G10" s="5">
        <v>115647</v>
      </c>
      <c r="H10" t="s">
        <v>1805</v>
      </c>
      <c r="I10" t="s">
        <v>1808</v>
      </c>
      <c r="J10" s="2">
        <v>45497</v>
      </c>
      <c r="K10">
        <f t="shared" ca="1" si="0"/>
        <v>1</v>
      </c>
      <c r="L10">
        <f t="shared" ca="1" si="1"/>
        <v>4</v>
      </c>
      <c r="M10" t="s">
        <v>1810</v>
      </c>
      <c r="N10">
        <v>5</v>
      </c>
      <c r="O10" t="s">
        <v>1811</v>
      </c>
      <c r="P10" t="s">
        <v>1831</v>
      </c>
    </row>
    <row r="11" spans="1:16" x14ac:dyDescent="0.3">
      <c r="A11" t="s">
        <v>22</v>
      </c>
      <c r="B11" t="s">
        <v>1722</v>
      </c>
      <c r="C11">
        <v>28</v>
      </c>
      <c r="D11" t="s">
        <v>1785</v>
      </c>
      <c r="E11" t="s">
        <v>1790</v>
      </c>
      <c r="F11" t="s">
        <v>1799</v>
      </c>
      <c r="G11" s="5">
        <v>29915</v>
      </c>
      <c r="H11" t="s">
        <v>1801</v>
      </c>
      <c r="I11" t="s">
        <v>1807</v>
      </c>
      <c r="J11" s="2">
        <v>43064</v>
      </c>
      <c r="K11">
        <f t="shared" ca="1" si="0"/>
        <v>8</v>
      </c>
      <c r="L11">
        <f t="shared" ca="1" si="1"/>
        <v>0</v>
      </c>
      <c r="M11" t="s">
        <v>1809</v>
      </c>
      <c r="N11">
        <v>4</v>
      </c>
      <c r="O11" t="s">
        <v>1813</v>
      </c>
      <c r="P11" t="s">
        <v>1833</v>
      </c>
    </row>
    <row r="12" spans="1:16" x14ac:dyDescent="0.3">
      <c r="A12" t="s">
        <v>23</v>
      </c>
      <c r="B12" t="s">
        <v>1723</v>
      </c>
      <c r="C12">
        <v>58</v>
      </c>
      <c r="D12" t="s">
        <v>1784</v>
      </c>
      <c r="E12" t="s">
        <v>1788</v>
      </c>
      <c r="F12" t="s">
        <v>1799</v>
      </c>
      <c r="G12" s="5">
        <v>90512</v>
      </c>
      <c r="H12" t="s">
        <v>1801</v>
      </c>
      <c r="I12" t="s">
        <v>1806</v>
      </c>
      <c r="J12" s="2">
        <v>45390</v>
      </c>
      <c r="K12">
        <f t="shared" ca="1" si="0"/>
        <v>1</v>
      </c>
      <c r="L12">
        <f t="shared" ca="1" si="1"/>
        <v>8</v>
      </c>
      <c r="M12" t="s">
        <v>1809</v>
      </c>
      <c r="N12">
        <v>5</v>
      </c>
      <c r="O12" t="s">
        <v>1814</v>
      </c>
      <c r="P12" t="s">
        <v>1834</v>
      </c>
    </row>
    <row r="13" spans="1:16" x14ac:dyDescent="0.3">
      <c r="A13" t="s">
        <v>24</v>
      </c>
      <c r="B13" t="s">
        <v>1724</v>
      </c>
      <c r="C13">
        <v>38</v>
      </c>
      <c r="D13" t="s">
        <v>1784</v>
      </c>
      <c r="E13" t="s">
        <v>1791</v>
      </c>
      <c r="F13" t="s">
        <v>1797</v>
      </c>
      <c r="G13" s="5">
        <v>77470</v>
      </c>
      <c r="H13" t="s">
        <v>1804</v>
      </c>
      <c r="I13" t="s">
        <v>1806</v>
      </c>
      <c r="J13" s="2">
        <v>45558</v>
      </c>
      <c r="K13">
        <f t="shared" ca="1" si="0"/>
        <v>1</v>
      </c>
      <c r="L13">
        <f t="shared" ca="1" si="1"/>
        <v>2</v>
      </c>
      <c r="M13" t="s">
        <v>1809</v>
      </c>
      <c r="N13">
        <v>5</v>
      </c>
      <c r="O13" t="s">
        <v>1813</v>
      </c>
      <c r="P13" t="s">
        <v>1831</v>
      </c>
    </row>
    <row r="14" spans="1:16" x14ac:dyDescent="0.3">
      <c r="A14" t="s">
        <v>25</v>
      </c>
      <c r="B14" t="s">
        <v>1725</v>
      </c>
      <c r="C14">
        <v>52</v>
      </c>
      <c r="D14" t="s">
        <v>1785</v>
      </c>
      <c r="E14" t="s">
        <v>1786</v>
      </c>
      <c r="F14" t="s">
        <v>1796</v>
      </c>
      <c r="G14" s="5">
        <v>38032</v>
      </c>
      <c r="H14" t="s">
        <v>1802</v>
      </c>
      <c r="I14" t="s">
        <v>1806</v>
      </c>
      <c r="J14" s="2">
        <v>45627</v>
      </c>
      <c r="K14">
        <f t="shared" ca="1" si="0"/>
        <v>1</v>
      </c>
      <c r="L14">
        <f t="shared" ca="1" si="1"/>
        <v>0</v>
      </c>
      <c r="M14" t="s">
        <v>1809</v>
      </c>
      <c r="N14">
        <v>5</v>
      </c>
      <c r="O14" t="s">
        <v>1817</v>
      </c>
      <c r="P14" t="s">
        <v>1834</v>
      </c>
    </row>
    <row r="15" spans="1:16" x14ac:dyDescent="0.3">
      <c r="A15" t="s">
        <v>26</v>
      </c>
      <c r="B15" t="s">
        <v>1726</v>
      </c>
      <c r="C15">
        <v>27</v>
      </c>
      <c r="D15" t="s">
        <v>1784</v>
      </c>
      <c r="E15" t="s">
        <v>1788</v>
      </c>
      <c r="F15" t="s">
        <v>1797</v>
      </c>
      <c r="G15" s="5">
        <v>49385</v>
      </c>
      <c r="H15" t="s">
        <v>1802</v>
      </c>
      <c r="I15" t="s">
        <v>1806</v>
      </c>
      <c r="J15" s="2">
        <v>42760</v>
      </c>
      <c r="K15">
        <f t="shared" ca="1" si="0"/>
        <v>8</v>
      </c>
      <c r="L15">
        <f t="shared" ca="1" si="1"/>
        <v>10</v>
      </c>
      <c r="M15" t="s">
        <v>1809</v>
      </c>
      <c r="N15">
        <v>4</v>
      </c>
      <c r="O15" t="s">
        <v>1813</v>
      </c>
      <c r="P15" t="s">
        <v>1833</v>
      </c>
    </row>
    <row r="16" spans="1:16" x14ac:dyDescent="0.3">
      <c r="A16" t="s">
        <v>27</v>
      </c>
      <c r="B16" t="s">
        <v>1727</v>
      </c>
      <c r="C16">
        <v>28</v>
      </c>
      <c r="D16" t="s">
        <v>1783</v>
      </c>
      <c r="E16" t="s">
        <v>1790</v>
      </c>
      <c r="F16" t="s">
        <v>1798</v>
      </c>
      <c r="G16" s="5">
        <v>90063</v>
      </c>
      <c r="H16" t="s">
        <v>1804</v>
      </c>
      <c r="I16" t="s">
        <v>1806</v>
      </c>
      <c r="J16" s="2">
        <v>44922</v>
      </c>
      <c r="K16">
        <f t="shared" ca="1" si="0"/>
        <v>3</v>
      </c>
      <c r="L16">
        <f t="shared" ca="1" si="1"/>
        <v>11</v>
      </c>
      <c r="M16" t="s">
        <v>1810</v>
      </c>
      <c r="N16">
        <v>2</v>
      </c>
      <c r="O16" t="s">
        <v>1815</v>
      </c>
      <c r="P16" t="s">
        <v>1833</v>
      </c>
    </row>
    <row r="17" spans="1:16" x14ac:dyDescent="0.3">
      <c r="A17" t="s">
        <v>28</v>
      </c>
      <c r="B17" t="s">
        <v>1728</v>
      </c>
      <c r="C17">
        <v>43</v>
      </c>
      <c r="D17" t="s">
        <v>1784</v>
      </c>
      <c r="E17" t="s">
        <v>1790</v>
      </c>
      <c r="F17" t="s">
        <v>1798</v>
      </c>
      <c r="G17" s="5">
        <v>33860</v>
      </c>
      <c r="H17" t="s">
        <v>1802</v>
      </c>
      <c r="I17" t="s">
        <v>1807</v>
      </c>
      <c r="J17" s="2">
        <v>43822</v>
      </c>
      <c r="K17">
        <f t="shared" ca="1" si="0"/>
        <v>6</v>
      </c>
      <c r="L17">
        <f t="shared" ca="1" si="1"/>
        <v>11</v>
      </c>
      <c r="M17" t="s">
        <v>1809</v>
      </c>
      <c r="N17">
        <v>5</v>
      </c>
      <c r="O17" t="s">
        <v>1815</v>
      </c>
      <c r="P17" t="s">
        <v>1831</v>
      </c>
    </row>
    <row r="18" spans="1:16" x14ac:dyDescent="0.3">
      <c r="A18" t="s">
        <v>29</v>
      </c>
      <c r="B18" t="s">
        <v>1729</v>
      </c>
      <c r="C18">
        <v>20</v>
      </c>
      <c r="D18" t="s">
        <v>1783</v>
      </c>
      <c r="E18" t="s">
        <v>1792</v>
      </c>
      <c r="F18" t="s">
        <v>1797</v>
      </c>
      <c r="G18" s="5">
        <v>48007</v>
      </c>
      <c r="H18" t="s">
        <v>1801</v>
      </c>
      <c r="I18" t="s">
        <v>1808</v>
      </c>
      <c r="J18" s="2">
        <v>42728</v>
      </c>
      <c r="K18">
        <f t="shared" ca="1" si="0"/>
        <v>9</v>
      </c>
      <c r="L18">
        <f t="shared" ca="1" si="1"/>
        <v>11</v>
      </c>
      <c r="M18" t="s">
        <v>1809</v>
      </c>
      <c r="N18">
        <v>3</v>
      </c>
      <c r="O18" t="s">
        <v>1812</v>
      </c>
      <c r="P18" t="s">
        <v>1832</v>
      </c>
    </row>
    <row r="19" spans="1:16" x14ac:dyDescent="0.3">
      <c r="A19" t="s">
        <v>30</v>
      </c>
      <c r="B19" t="s">
        <v>1730</v>
      </c>
      <c r="C19">
        <v>28</v>
      </c>
      <c r="D19" t="s">
        <v>1785</v>
      </c>
      <c r="E19" t="s">
        <v>1790</v>
      </c>
      <c r="F19" t="s">
        <v>1799</v>
      </c>
      <c r="G19" s="5">
        <v>49850</v>
      </c>
      <c r="H19" t="s">
        <v>1803</v>
      </c>
      <c r="I19" t="s">
        <v>1808</v>
      </c>
      <c r="J19" s="2">
        <v>43217</v>
      </c>
      <c r="K19">
        <f t="shared" ca="1" si="0"/>
        <v>7</v>
      </c>
      <c r="L19">
        <f t="shared" ca="1" si="1"/>
        <v>7</v>
      </c>
      <c r="M19" t="s">
        <v>1809</v>
      </c>
      <c r="N19">
        <v>1</v>
      </c>
      <c r="O19" t="s">
        <v>1811</v>
      </c>
      <c r="P19" t="s">
        <v>1833</v>
      </c>
    </row>
    <row r="20" spans="1:16" x14ac:dyDescent="0.3">
      <c r="A20" t="s">
        <v>31</v>
      </c>
      <c r="B20" t="s">
        <v>1731</v>
      </c>
      <c r="C20">
        <v>46</v>
      </c>
      <c r="D20" t="s">
        <v>1784</v>
      </c>
      <c r="E20" t="s">
        <v>1792</v>
      </c>
      <c r="F20" t="s">
        <v>1794</v>
      </c>
      <c r="G20" s="5">
        <v>106259</v>
      </c>
      <c r="H20" t="s">
        <v>1801</v>
      </c>
      <c r="I20" t="s">
        <v>1807</v>
      </c>
      <c r="J20" s="2">
        <v>44087</v>
      </c>
      <c r="K20">
        <f t="shared" ca="1" si="0"/>
        <v>5</v>
      </c>
      <c r="L20">
        <f t="shared" ca="1" si="1"/>
        <v>2</v>
      </c>
      <c r="M20" t="s">
        <v>1810</v>
      </c>
      <c r="N20">
        <v>1</v>
      </c>
      <c r="O20" t="s">
        <v>1815</v>
      </c>
      <c r="P20" t="s">
        <v>1834</v>
      </c>
    </row>
    <row r="21" spans="1:16" x14ac:dyDescent="0.3">
      <c r="A21" t="s">
        <v>32</v>
      </c>
      <c r="B21" t="s">
        <v>1732</v>
      </c>
      <c r="C21">
        <v>54</v>
      </c>
      <c r="D21" t="s">
        <v>1784</v>
      </c>
      <c r="E21" t="s">
        <v>1791</v>
      </c>
      <c r="F21" t="s">
        <v>1798</v>
      </c>
      <c r="G21" s="5">
        <v>73296</v>
      </c>
      <c r="H21" t="s">
        <v>1804</v>
      </c>
      <c r="I21" t="s">
        <v>1808</v>
      </c>
      <c r="J21" s="2">
        <v>43461</v>
      </c>
      <c r="K21">
        <f t="shared" ca="1" si="0"/>
        <v>7</v>
      </c>
      <c r="L21">
        <f t="shared" ca="1" si="1"/>
        <v>11</v>
      </c>
      <c r="M21" t="s">
        <v>1809</v>
      </c>
      <c r="N21">
        <v>4</v>
      </c>
      <c r="O21" t="s">
        <v>1813</v>
      </c>
      <c r="P21" t="s">
        <v>1834</v>
      </c>
    </row>
    <row r="22" spans="1:16" x14ac:dyDescent="0.3">
      <c r="A22" t="s">
        <v>33</v>
      </c>
      <c r="B22" t="s">
        <v>1733</v>
      </c>
      <c r="C22">
        <v>54</v>
      </c>
      <c r="D22" t="s">
        <v>1783</v>
      </c>
      <c r="E22" t="s">
        <v>1793</v>
      </c>
      <c r="F22" t="s">
        <v>1799</v>
      </c>
      <c r="G22" s="5">
        <v>116771</v>
      </c>
      <c r="H22" t="s">
        <v>1802</v>
      </c>
      <c r="I22" t="s">
        <v>1807</v>
      </c>
      <c r="J22" s="2">
        <v>44102</v>
      </c>
      <c r="K22">
        <f t="shared" ca="1" si="0"/>
        <v>5</v>
      </c>
      <c r="L22">
        <f t="shared" ca="1" si="1"/>
        <v>2</v>
      </c>
      <c r="M22" t="s">
        <v>1810</v>
      </c>
      <c r="N22">
        <v>4</v>
      </c>
      <c r="O22" t="s">
        <v>1815</v>
      </c>
      <c r="P22" t="s">
        <v>1834</v>
      </c>
    </row>
    <row r="23" spans="1:16" x14ac:dyDescent="0.3">
      <c r="A23" t="s">
        <v>34</v>
      </c>
      <c r="B23" t="s">
        <v>1716</v>
      </c>
      <c r="C23">
        <v>30</v>
      </c>
      <c r="D23" t="s">
        <v>1784</v>
      </c>
      <c r="E23" t="s">
        <v>1792</v>
      </c>
      <c r="F23" t="s">
        <v>1796</v>
      </c>
      <c r="G23" s="5">
        <v>69173</v>
      </c>
      <c r="H23" t="s">
        <v>1803</v>
      </c>
      <c r="I23" t="s">
        <v>1808</v>
      </c>
      <c r="J23" s="2">
        <v>44170</v>
      </c>
      <c r="K23">
        <f t="shared" ca="1" si="0"/>
        <v>5</v>
      </c>
      <c r="L23">
        <f t="shared" ca="1" si="1"/>
        <v>0</v>
      </c>
      <c r="M23" t="s">
        <v>1810</v>
      </c>
      <c r="N23">
        <v>2</v>
      </c>
      <c r="O23" t="s">
        <v>1815</v>
      </c>
      <c r="P23" t="s">
        <v>1833</v>
      </c>
    </row>
    <row r="24" spans="1:16" x14ac:dyDescent="0.3">
      <c r="A24" t="s">
        <v>35</v>
      </c>
      <c r="B24" t="s">
        <v>1734</v>
      </c>
      <c r="C24">
        <v>23</v>
      </c>
      <c r="D24" t="s">
        <v>1785</v>
      </c>
      <c r="E24" t="s">
        <v>1792</v>
      </c>
      <c r="F24" t="s">
        <v>1796</v>
      </c>
      <c r="G24" s="5">
        <v>116038</v>
      </c>
      <c r="H24" t="s">
        <v>1801</v>
      </c>
      <c r="I24" t="s">
        <v>1807</v>
      </c>
      <c r="J24" s="2">
        <v>44830</v>
      </c>
      <c r="K24">
        <f t="shared" ca="1" si="0"/>
        <v>3</v>
      </c>
      <c r="L24">
        <f t="shared" ca="1" si="1"/>
        <v>2</v>
      </c>
      <c r="M24" t="s">
        <v>1810</v>
      </c>
      <c r="N24">
        <v>5</v>
      </c>
      <c r="O24" t="s">
        <v>1816</v>
      </c>
      <c r="P24" t="s">
        <v>1832</v>
      </c>
    </row>
    <row r="25" spans="1:16" x14ac:dyDescent="0.3">
      <c r="A25" t="s">
        <v>36</v>
      </c>
      <c r="B25" t="s">
        <v>1735</v>
      </c>
      <c r="C25">
        <v>25</v>
      </c>
      <c r="D25" t="s">
        <v>1783</v>
      </c>
      <c r="E25" t="s">
        <v>1793</v>
      </c>
      <c r="F25" t="s">
        <v>1797</v>
      </c>
      <c r="G25" s="5">
        <v>95992</v>
      </c>
      <c r="H25" t="s">
        <v>1802</v>
      </c>
      <c r="I25" t="s">
        <v>1808</v>
      </c>
      <c r="J25" s="2">
        <v>42929</v>
      </c>
      <c r="K25">
        <f t="shared" ca="1" si="0"/>
        <v>8</v>
      </c>
      <c r="L25">
        <f t="shared" ca="1" si="1"/>
        <v>4</v>
      </c>
      <c r="M25" t="s">
        <v>1809</v>
      </c>
      <c r="N25">
        <v>5</v>
      </c>
      <c r="O25" t="s">
        <v>1818</v>
      </c>
      <c r="P25" t="s">
        <v>1832</v>
      </c>
    </row>
    <row r="26" spans="1:16" x14ac:dyDescent="0.3">
      <c r="A26" t="s">
        <v>37</v>
      </c>
      <c r="B26" t="s">
        <v>1736</v>
      </c>
      <c r="C26">
        <v>46</v>
      </c>
      <c r="D26" t="s">
        <v>1785</v>
      </c>
      <c r="E26" t="s">
        <v>1789</v>
      </c>
      <c r="F26" t="s">
        <v>1798</v>
      </c>
      <c r="G26" s="5">
        <v>52179</v>
      </c>
      <c r="H26" t="s">
        <v>1804</v>
      </c>
      <c r="I26" t="s">
        <v>1807</v>
      </c>
      <c r="J26" s="2">
        <v>43525</v>
      </c>
      <c r="K26">
        <f t="shared" ca="1" si="0"/>
        <v>6</v>
      </c>
      <c r="L26">
        <f t="shared" ca="1" si="1"/>
        <v>9</v>
      </c>
      <c r="M26" t="s">
        <v>1810</v>
      </c>
      <c r="N26">
        <v>2</v>
      </c>
      <c r="O26" t="s">
        <v>1814</v>
      </c>
      <c r="P26" t="s">
        <v>1834</v>
      </c>
    </row>
    <row r="27" spans="1:16" x14ac:dyDescent="0.3">
      <c r="A27" t="s">
        <v>38</v>
      </c>
      <c r="B27" t="s">
        <v>1737</v>
      </c>
      <c r="C27">
        <v>24</v>
      </c>
      <c r="D27" t="s">
        <v>1783</v>
      </c>
      <c r="E27" t="s">
        <v>1790</v>
      </c>
      <c r="F27" t="s">
        <v>1795</v>
      </c>
      <c r="G27" s="5">
        <v>99416</v>
      </c>
      <c r="H27" t="s">
        <v>1801</v>
      </c>
      <c r="I27" t="s">
        <v>1807</v>
      </c>
      <c r="J27" s="2">
        <v>44640</v>
      </c>
      <c r="K27">
        <f t="shared" ca="1" si="0"/>
        <v>3</v>
      </c>
      <c r="L27">
        <f t="shared" ca="1" si="1"/>
        <v>8</v>
      </c>
      <c r="M27" t="s">
        <v>1809</v>
      </c>
      <c r="N27">
        <v>5</v>
      </c>
      <c r="O27" t="s">
        <v>1814</v>
      </c>
      <c r="P27" t="s">
        <v>1832</v>
      </c>
    </row>
    <row r="28" spans="1:16" x14ac:dyDescent="0.3">
      <c r="A28" t="s">
        <v>39</v>
      </c>
      <c r="B28" t="s">
        <v>1738</v>
      </c>
      <c r="C28">
        <v>24</v>
      </c>
      <c r="D28" t="s">
        <v>1783</v>
      </c>
      <c r="E28" t="s">
        <v>1789</v>
      </c>
      <c r="F28" t="s">
        <v>1798</v>
      </c>
      <c r="G28" s="5">
        <v>55353</v>
      </c>
      <c r="H28" t="s">
        <v>1803</v>
      </c>
      <c r="I28" t="s">
        <v>1806</v>
      </c>
      <c r="J28" s="2">
        <v>45319</v>
      </c>
      <c r="K28">
        <f t="shared" ca="1" si="0"/>
        <v>1</v>
      </c>
      <c r="L28">
        <f t="shared" ca="1" si="1"/>
        <v>10</v>
      </c>
      <c r="M28" t="s">
        <v>1810</v>
      </c>
      <c r="N28">
        <v>5</v>
      </c>
      <c r="O28" t="s">
        <v>1818</v>
      </c>
      <c r="P28" t="s">
        <v>1832</v>
      </c>
    </row>
    <row r="29" spans="1:16" x14ac:dyDescent="0.3">
      <c r="A29" t="s">
        <v>40</v>
      </c>
      <c r="B29" t="s">
        <v>1739</v>
      </c>
      <c r="C29">
        <v>26</v>
      </c>
      <c r="D29" t="s">
        <v>1783</v>
      </c>
      <c r="E29" t="s">
        <v>1788</v>
      </c>
      <c r="F29" t="s">
        <v>1797</v>
      </c>
      <c r="G29" s="5">
        <v>33129</v>
      </c>
      <c r="H29" t="s">
        <v>1805</v>
      </c>
      <c r="I29" t="s">
        <v>1807</v>
      </c>
      <c r="J29" s="2">
        <v>43553</v>
      </c>
      <c r="K29">
        <f t="shared" ca="1" si="0"/>
        <v>6</v>
      </c>
      <c r="L29">
        <f t="shared" ca="1" si="1"/>
        <v>8</v>
      </c>
      <c r="M29" t="s">
        <v>1810</v>
      </c>
      <c r="N29">
        <v>5</v>
      </c>
      <c r="O29" t="s">
        <v>1815</v>
      </c>
      <c r="P29" t="s">
        <v>1833</v>
      </c>
    </row>
    <row r="30" spans="1:16" x14ac:dyDescent="0.3">
      <c r="A30" t="s">
        <v>41</v>
      </c>
      <c r="B30" t="s">
        <v>1722</v>
      </c>
      <c r="C30">
        <v>36</v>
      </c>
      <c r="D30" t="s">
        <v>1785</v>
      </c>
      <c r="E30" t="s">
        <v>1790</v>
      </c>
      <c r="F30" t="s">
        <v>1799</v>
      </c>
      <c r="G30" s="5">
        <v>50914</v>
      </c>
      <c r="H30" t="s">
        <v>1801</v>
      </c>
      <c r="I30" t="s">
        <v>1807</v>
      </c>
      <c r="J30" s="2">
        <v>45036</v>
      </c>
      <c r="K30">
        <f t="shared" ca="1" si="0"/>
        <v>2</v>
      </c>
      <c r="L30">
        <f t="shared" ca="1" si="1"/>
        <v>7</v>
      </c>
      <c r="M30" t="s">
        <v>1810</v>
      </c>
      <c r="N30">
        <v>3</v>
      </c>
      <c r="O30" t="s">
        <v>1818</v>
      </c>
      <c r="P30" t="s">
        <v>1831</v>
      </c>
    </row>
    <row r="31" spans="1:16" x14ac:dyDescent="0.3">
      <c r="A31" t="s">
        <v>42</v>
      </c>
      <c r="B31" t="s">
        <v>1740</v>
      </c>
      <c r="C31">
        <v>28</v>
      </c>
      <c r="D31" t="s">
        <v>1785</v>
      </c>
      <c r="E31" t="s">
        <v>1788</v>
      </c>
      <c r="F31" t="s">
        <v>1794</v>
      </c>
      <c r="G31" s="5">
        <v>39178</v>
      </c>
      <c r="H31" t="s">
        <v>1803</v>
      </c>
      <c r="I31" t="s">
        <v>1806</v>
      </c>
      <c r="J31" s="2">
        <v>45328</v>
      </c>
      <c r="K31">
        <f t="shared" ca="1" si="0"/>
        <v>1</v>
      </c>
      <c r="L31">
        <f t="shared" ca="1" si="1"/>
        <v>10</v>
      </c>
      <c r="M31" t="s">
        <v>1810</v>
      </c>
      <c r="N31">
        <v>5</v>
      </c>
      <c r="O31" t="s">
        <v>1818</v>
      </c>
      <c r="P31" t="s">
        <v>1833</v>
      </c>
    </row>
    <row r="32" spans="1:16" x14ac:dyDescent="0.3">
      <c r="A32" t="s">
        <v>43</v>
      </c>
      <c r="B32" t="s">
        <v>1713</v>
      </c>
      <c r="C32">
        <v>29</v>
      </c>
      <c r="D32" t="s">
        <v>1785</v>
      </c>
      <c r="E32" t="s">
        <v>1792</v>
      </c>
      <c r="F32" t="s">
        <v>1795</v>
      </c>
      <c r="G32" s="5">
        <v>66393</v>
      </c>
      <c r="H32" t="s">
        <v>1805</v>
      </c>
      <c r="I32" t="s">
        <v>1807</v>
      </c>
      <c r="J32" s="2">
        <v>44198</v>
      </c>
      <c r="K32">
        <f t="shared" ca="1" si="0"/>
        <v>4</v>
      </c>
      <c r="L32">
        <f t="shared" ca="1" si="1"/>
        <v>11</v>
      </c>
      <c r="M32" t="s">
        <v>1809</v>
      </c>
      <c r="N32">
        <v>1</v>
      </c>
      <c r="O32" t="s">
        <v>1814</v>
      </c>
      <c r="P32" t="s">
        <v>1833</v>
      </c>
    </row>
    <row r="33" spans="1:16" x14ac:dyDescent="0.3">
      <c r="A33" t="s">
        <v>44</v>
      </c>
      <c r="B33" t="s">
        <v>1741</v>
      </c>
      <c r="C33">
        <v>22</v>
      </c>
      <c r="D33" t="s">
        <v>1784</v>
      </c>
      <c r="E33" t="s">
        <v>1786</v>
      </c>
      <c r="F33" t="s">
        <v>1798</v>
      </c>
      <c r="G33" s="5">
        <v>107399</v>
      </c>
      <c r="H33" t="s">
        <v>1801</v>
      </c>
      <c r="I33" t="s">
        <v>1808</v>
      </c>
      <c r="J33" s="2">
        <v>45633</v>
      </c>
      <c r="K33">
        <f t="shared" ca="1" si="0"/>
        <v>1</v>
      </c>
      <c r="L33">
        <f t="shared" ca="1" si="1"/>
        <v>0</v>
      </c>
      <c r="M33" t="s">
        <v>1810</v>
      </c>
      <c r="N33">
        <v>5</v>
      </c>
      <c r="O33" t="s">
        <v>1816</v>
      </c>
      <c r="P33" t="s">
        <v>1832</v>
      </c>
    </row>
    <row r="34" spans="1:16" x14ac:dyDescent="0.3">
      <c r="A34" t="s">
        <v>45</v>
      </c>
      <c r="B34" t="s">
        <v>1742</v>
      </c>
      <c r="C34">
        <v>30</v>
      </c>
      <c r="D34" t="s">
        <v>1783</v>
      </c>
      <c r="E34" t="s">
        <v>1787</v>
      </c>
      <c r="F34" t="s">
        <v>1798</v>
      </c>
      <c r="G34" s="5">
        <v>21248</v>
      </c>
      <c r="H34" t="s">
        <v>1804</v>
      </c>
      <c r="I34" t="s">
        <v>1808</v>
      </c>
      <c r="J34" s="2">
        <v>45723</v>
      </c>
      <c r="K34">
        <f t="shared" ca="1" si="0"/>
        <v>0</v>
      </c>
      <c r="L34">
        <f t="shared" ca="1" si="1"/>
        <v>9</v>
      </c>
      <c r="M34" t="s">
        <v>1809</v>
      </c>
      <c r="N34">
        <v>3</v>
      </c>
      <c r="O34" t="s">
        <v>1816</v>
      </c>
      <c r="P34" t="s">
        <v>1833</v>
      </c>
    </row>
    <row r="35" spans="1:16" x14ac:dyDescent="0.3">
      <c r="A35" t="s">
        <v>46</v>
      </c>
      <c r="B35" t="s">
        <v>1718</v>
      </c>
      <c r="C35">
        <v>22</v>
      </c>
      <c r="D35" t="s">
        <v>1784</v>
      </c>
      <c r="E35" t="s">
        <v>1786</v>
      </c>
      <c r="F35" t="s">
        <v>1799</v>
      </c>
      <c r="G35" s="5">
        <v>44158</v>
      </c>
      <c r="H35" t="s">
        <v>1803</v>
      </c>
      <c r="I35" t="s">
        <v>1808</v>
      </c>
      <c r="J35" s="2">
        <v>43688</v>
      </c>
      <c r="K35">
        <f t="shared" ca="1" si="0"/>
        <v>6</v>
      </c>
      <c r="L35">
        <f t="shared" ca="1" si="1"/>
        <v>3</v>
      </c>
      <c r="M35" t="s">
        <v>1809</v>
      </c>
      <c r="N35">
        <v>2</v>
      </c>
      <c r="O35" t="s">
        <v>1818</v>
      </c>
      <c r="P35" t="s">
        <v>1832</v>
      </c>
    </row>
    <row r="36" spans="1:16" x14ac:dyDescent="0.3">
      <c r="A36" t="s">
        <v>47</v>
      </c>
      <c r="B36" t="s">
        <v>1743</v>
      </c>
      <c r="C36">
        <v>41</v>
      </c>
      <c r="D36" t="s">
        <v>1784</v>
      </c>
      <c r="E36" t="s">
        <v>1793</v>
      </c>
      <c r="F36" t="s">
        <v>1796</v>
      </c>
      <c r="G36" s="5">
        <v>119361</v>
      </c>
      <c r="H36" t="s">
        <v>1804</v>
      </c>
      <c r="I36" t="s">
        <v>1806</v>
      </c>
      <c r="J36" s="2">
        <v>44524</v>
      </c>
      <c r="K36">
        <f t="shared" ca="1" si="0"/>
        <v>4</v>
      </c>
      <c r="L36">
        <f t="shared" ca="1" si="1"/>
        <v>0</v>
      </c>
      <c r="M36" t="s">
        <v>1810</v>
      </c>
      <c r="N36">
        <v>5</v>
      </c>
      <c r="O36" t="s">
        <v>1817</v>
      </c>
      <c r="P36" t="s">
        <v>1831</v>
      </c>
    </row>
    <row r="37" spans="1:16" x14ac:dyDescent="0.3">
      <c r="A37" t="s">
        <v>48</v>
      </c>
      <c r="B37" t="s">
        <v>1714</v>
      </c>
      <c r="C37">
        <v>36</v>
      </c>
      <c r="D37" t="s">
        <v>1783</v>
      </c>
      <c r="E37" t="s">
        <v>1788</v>
      </c>
      <c r="F37" t="s">
        <v>1797</v>
      </c>
      <c r="G37" s="5">
        <v>23014</v>
      </c>
      <c r="H37" t="s">
        <v>1805</v>
      </c>
      <c r="I37" t="s">
        <v>1808</v>
      </c>
      <c r="J37" s="2">
        <v>43853</v>
      </c>
      <c r="K37">
        <f t="shared" ca="1" si="0"/>
        <v>5</v>
      </c>
      <c r="L37">
        <f t="shared" ca="1" si="1"/>
        <v>10</v>
      </c>
      <c r="M37" t="s">
        <v>1810</v>
      </c>
      <c r="N37">
        <v>4</v>
      </c>
      <c r="O37" t="s">
        <v>1813</v>
      </c>
      <c r="P37" t="s">
        <v>1831</v>
      </c>
    </row>
    <row r="38" spans="1:16" x14ac:dyDescent="0.3">
      <c r="A38" t="s">
        <v>49</v>
      </c>
      <c r="B38" t="s">
        <v>1744</v>
      </c>
      <c r="C38">
        <v>32</v>
      </c>
      <c r="D38" t="s">
        <v>1784</v>
      </c>
      <c r="E38" t="s">
        <v>1792</v>
      </c>
      <c r="F38" t="s">
        <v>1800</v>
      </c>
      <c r="G38" s="5">
        <v>110901</v>
      </c>
      <c r="H38" t="s">
        <v>1801</v>
      </c>
      <c r="I38" t="s">
        <v>1806</v>
      </c>
      <c r="J38" s="2">
        <v>45741</v>
      </c>
      <c r="K38">
        <f t="shared" ca="1" si="0"/>
        <v>0</v>
      </c>
      <c r="L38">
        <f t="shared" ca="1" si="1"/>
        <v>8</v>
      </c>
      <c r="M38" t="s">
        <v>1809</v>
      </c>
      <c r="N38">
        <v>3</v>
      </c>
      <c r="O38" t="s">
        <v>1811</v>
      </c>
      <c r="P38" t="s">
        <v>1833</v>
      </c>
    </row>
    <row r="39" spans="1:16" x14ac:dyDescent="0.3">
      <c r="A39" t="s">
        <v>50</v>
      </c>
      <c r="B39" t="s">
        <v>1745</v>
      </c>
      <c r="C39">
        <v>41</v>
      </c>
      <c r="D39" t="s">
        <v>1785</v>
      </c>
      <c r="E39" t="s">
        <v>1789</v>
      </c>
      <c r="F39" t="s">
        <v>1799</v>
      </c>
      <c r="G39" s="5">
        <v>104951</v>
      </c>
      <c r="H39" t="s">
        <v>1801</v>
      </c>
      <c r="I39" t="s">
        <v>1806</v>
      </c>
      <c r="J39" s="2">
        <v>43668</v>
      </c>
      <c r="K39">
        <f t="shared" ca="1" si="0"/>
        <v>6</v>
      </c>
      <c r="L39">
        <f t="shared" ca="1" si="1"/>
        <v>4</v>
      </c>
      <c r="M39" t="s">
        <v>1810</v>
      </c>
      <c r="N39">
        <v>4</v>
      </c>
      <c r="O39" t="s">
        <v>1817</v>
      </c>
      <c r="P39" t="s">
        <v>1831</v>
      </c>
    </row>
    <row r="40" spans="1:16" x14ac:dyDescent="0.3">
      <c r="A40" t="s">
        <v>51</v>
      </c>
      <c r="B40" t="s">
        <v>1746</v>
      </c>
      <c r="C40">
        <v>38</v>
      </c>
      <c r="D40" t="s">
        <v>1785</v>
      </c>
      <c r="E40" t="s">
        <v>1791</v>
      </c>
      <c r="F40" t="s">
        <v>1800</v>
      </c>
      <c r="G40" s="5">
        <v>43144</v>
      </c>
      <c r="H40" t="s">
        <v>1803</v>
      </c>
      <c r="I40" t="s">
        <v>1806</v>
      </c>
      <c r="J40" s="2">
        <v>45502</v>
      </c>
      <c r="K40">
        <f t="shared" ca="1" si="0"/>
        <v>1</v>
      </c>
      <c r="L40">
        <f t="shared" ca="1" si="1"/>
        <v>4</v>
      </c>
      <c r="M40" t="s">
        <v>1809</v>
      </c>
      <c r="N40">
        <v>5</v>
      </c>
      <c r="O40" t="s">
        <v>1814</v>
      </c>
      <c r="P40" t="s">
        <v>1831</v>
      </c>
    </row>
    <row r="41" spans="1:16" x14ac:dyDescent="0.3">
      <c r="A41" t="s">
        <v>52</v>
      </c>
      <c r="B41" t="s">
        <v>1744</v>
      </c>
      <c r="C41">
        <v>20</v>
      </c>
      <c r="D41" t="s">
        <v>1784</v>
      </c>
      <c r="E41" t="s">
        <v>1788</v>
      </c>
      <c r="F41" t="s">
        <v>1800</v>
      </c>
      <c r="G41" s="5">
        <v>45549</v>
      </c>
      <c r="H41" t="s">
        <v>1805</v>
      </c>
      <c r="I41" t="s">
        <v>1806</v>
      </c>
      <c r="J41" s="2">
        <v>45119</v>
      </c>
      <c r="K41">
        <f t="shared" ca="1" si="0"/>
        <v>2</v>
      </c>
      <c r="L41">
        <f t="shared" ca="1" si="1"/>
        <v>4</v>
      </c>
      <c r="M41" t="s">
        <v>1810</v>
      </c>
      <c r="N41">
        <v>4</v>
      </c>
      <c r="O41" t="s">
        <v>1812</v>
      </c>
      <c r="P41" t="s">
        <v>1832</v>
      </c>
    </row>
    <row r="42" spans="1:16" x14ac:dyDescent="0.3">
      <c r="A42" t="s">
        <v>53</v>
      </c>
      <c r="B42" t="s">
        <v>1747</v>
      </c>
      <c r="C42">
        <v>33</v>
      </c>
      <c r="D42" t="s">
        <v>1785</v>
      </c>
      <c r="E42" t="s">
        <v>1790</v>
      </c>
      <c r="F42" t="s">
        <v>1798</v>
      </c>
      <c r="G42" s="5">
        <v>114463</v>
      </c>
      <c r="H42" t="s">
        <v>1801</v>
      </c>
      <c r="I42" t="s">
        <v>1808</v>
      </c>
      <c r="J42" s="2">
        <v>44549</v>
      </c>
      <c r="K42">
        <f t="shared" ca="1" si="0"/>
        <v>4</v>
      </c>
      <c r="L42">
        <f t="shared" ca="1" si="1"/>
        <v>11</v>
      </c>
      <c r="M42" t="s">
        <v>1810</v>
      </c>
      <c r="N42">
        <v>1</v>
      </c>
      <c r="O42" t="s">
        <v>1815</v>
      </c>
      <c r="P42" t="s">
        <v>1833</v>
      </c>
    </row>
    <row r="43" spans="1:16" x14ac:dyDescent="0.3">
      <c r="A43" t="s">
        <v>54</v>
      </c>
      <c r="B43" t="s">
        <v>1734</v>
      </c>
      <c r="C43">
        <v>32</v>
      </c>
      <c r="D43" t="s">
        <v>1783</v>
      </c>
      <c r="E43" t="s">
        <v>1792</v>
      </c>
      <c r="F43" t="s">
        <v>1798</v>
      </c>
      <c r="G43" s="5">
        <v>24057</v>
      </c>
      <c r="H43" t="s">
        <v>1803</v>
      </c>
      <c r="I43" t="s">
        <v>1806</v>
      </c>
      <c r="J43" s="2">
        <v>45918</v>
      </c>
      <c r="K43">
        <f t="shared" ca="1" si="0"/>
        <v>0</v>
      </c>
      <c r="L43">
        <f t="shared" ca="1" si="1"/>
        <v>2</v>
      </c>
      <c r="M43" t="s">
        <v>1809</v>
      </c>
      <c r="N43">
        <v>4</v>
      </c>
      <c r="O43" t="s">
        <v>1811</v>
      </c>
      <c r="P43" t="s">
        <v>1833</v>
      </c>
    </row>
    <row r="44" spans="1:16" x14ac:dyDescent="0.3">
      <c r="A44" t="s">
        <v>55</v>
      </c>
      <c r="B44" t="s">
        <v>1729</v>
      </c>
      <c r="C44">
        <v>44</v>
      </c>
      <c r="D44" t="s">
        <v>1784</v>
      </c>
      <c r="E44" t="s">
        <v>1787</v>
      </c>
      <c r="F44" t="s">
        <v>1798</v>
      </c>
      <c r="G44" s="5">
        <v>49979</v>
      </c>
      <c r="H44" t="s">
        <v>1801</v>
      </c>
      <c r="I44" t="s">
        <v>1807</v>
      </c>
      <c r="J44" s="2">
        <v>45626</v>
      </c>
      <c r="K44">
        <f t="shared" ca="1" si="0"/>
        <v>1</v>
      </c>
      <c r="L44">
        <f t="shared" ca="1" si="1"/>
        <v>0</v>
      </c>
      <c r="M44" t="s">
        <v>1810</v>
      </c>
      <c r="N44">
        <v>2</v>
      </c>
      <c r="O44" t="s">
        <v>1816</v>
      </c>
      <c r="P44" t="s">
        <v>1831</v>
      </c>
    </row>
    <row r="45" spans="1:16" x14ac:dyDescent="0.3">
      <c r="A45" t="s">
        <v>56</v>
      </c>
      <c r="B45" t="s">
        <v>1748</v>
      </c>
      <c r="C45">
        <v>23</v>
      </c>
      <c r="D45" t="s">
        <v>1785</v>
      </c>
      <c r="E45" t="s">
        <v>1786</v>
      </c>
      <c r="F45" t="s">
        <v>1800</v>
      </c>
      <c r="G45" s="5">
        <v>33906</v>
      </c>
      <c r="H45" t="s">
        <v>1802</v>
      </c>
      <c r="I45" t="s">
        <v>1808</v>
      </c>
      <c r="J45" s="2">
        <v>45172</v>
      </c>
      <c r="K45">
        <f t="shared" ca="1" si="0"/>
        <v>2</v>
      </c>
      <c r="L45">
        <f t="shared" ca="1" si="1"/>
        <v>3</v>
      </c>
      <c r="M45" t="s">
        <v>1810</v>
      </c>
      <c r="N45">
        <v>4</v>
      </c>
      <c r="O45" t="s">
        <v>1811</v>
      </c>
      <c r="P45" t="s">
        <v>1832</v>
      </c>
    </row>
    <row r="46" spans="1:16" x14ac:dyDescent="0.3">
      <c r="A46" t="s">
        <v>57</v>
      </c>
      <c r="B46" t="s">
        <v>1748</v>
      </c>
      <c r="C46">
        <v>30</v>
      </c>
      <c r="D46" t="s">
        <v>1785</v>
      </c>
      <c r="E46" t="s">
        <v>1790</v>
      </c>
      <c r="F46" t="s">
        <v>1796</v>
      </c>
      <c r="G46" s="5">
        <v>76991</v>
      </c>
      <c r="H46" t="s">
        <v>1802</v>
      </c>
      <c r="I46" t="s">
        <v>1806</v>
      </c>
      <c r="J46" s="2">
        <v>43573</v>
      </c>
      <c r="K46">
        <f t="shared" ca="1" si="0"/>
        <v>6</v>
      </c>
      <c r="L46">
        <f t="shared" ca="1" si="1"/>
        <v>7</v>
      </c>
      <c r="M46" t="s">
        <v>1810</v>
      </c>
      <c r="N46">
        <v>2</v>
      </c>
      <c r="O46" t="s">
        <v>1814</v>
      </c>
      <c r="P46" t="s">
        <v>1833</v>
      </c>
    </row>
    <row r="47" spans="1:16" x14ac:dyDescent="0.3">
      <c r="A47" t="s">
        <v>58</v>
      </c>
      <c r="B47" t="s">
        <v>1726</v>
      </c>
      <c r="C47">
        <v>38</v>
      </c>
      <c r="D47" t="s">
        <v>1783</v>
      </c>
      <c r="E47" t="s">
        <v>1788</v>
      </c>
      <c r="F47" t="s">
        <v>1796</v>
      </c>
      <c r="G47" s="5">
        <v>62020</v>
      </c>
      <c r="H47" t="s">
        <v>1805</v>
      </c>
      <c r="I47" t="s">
        <v>1807</v>
      </c>
      <c r="J47" s="2">
        <v>43004</v>
      </c>
      <c r="K47">
        <f t="shared" ca="1" si="0"/>
        <v>8</v>
      </c>
      <c r="L47">
        <f t="shared" ca="1" si="1"/>
        <v>2</v>
      </c>
      <c r="M47" t="s">
        <v>1809</v>
      </c>
      <c r="N47">
        <v>2</v>
      </c>
      <c r="O47" t="s">
        <v>1811</v>
      </c>
      <c r="P47" t="s">
        <v>1831</v>
      </c>
    </row>
    <row r="48" spans="1:16" x14ac:dyDescent="0.3">
      <c r="A48" t="s">
        <v>59</v>
      </c>
      <c r="B48" t="s">
        <v>1749</v>
      </c>
      <c r="C48">
        <v>33</v>
      </c>
      <c r="D48" t="s">
        <v>1783</v>
      </c>
      <c r="E48" t="s">
        <v>1787</v>
      </c>
      <c r="F48" t="s">
        <v>1796</v>
      </c>
      <c r="G48" s="5">
        <v>71424</v>
      </c>
      <c r="H48" t="s">
        <v>1805</v>
      </c>
      <c r="I48" t="s">
        <v>1808</v>
      </c>
      <c r="J48" s="2">
        <v>44141</v>
      </c>
      <c r="K48">
        <f t="shared" ca="1" si="0"/>
        <v>5</v>
      </c>
      <c r="L48">
        <f t="shared" ca="1" si="1"/>
        <v>1</v>
      </c>
      <c r="M48" t="s">
        <v>1809</v>
      </c>
      <c r="N48">
        <v>2</v>
      </c>
      <c r="O48" t="s">
        <v>1811</v>
      </c>
      <c r="P48" t="s">
        <v>1833</v>
      </c>
    </row>
    <row r="49" spans="1:16" x14ac:dyDescent="0.3">
      <c r="A49" t="s">
        <v>60</v>
      </c>
      <c r="B49" t="s">
        <v>1750</v>
      </c>
      <c r="C49">
        <v>57</v>
      </c>
      <c r="D49" t="s">
        <v>1785</v>
      </c>
      <c r="E49" t="s">
        <v>1792</v>
      </c>
      <c r="F49" t="s">
        <v>1795</v>
      </c>
      <c r="G49" s="5">
        <v>118348</v>
      </c>
      <c r="H49" t="s">
        <v>1803</v>
      </c>
      <c r="I49" t="s">
        <v>1808</v>
      </c>
      <c r="J49" s="2">
        <v>42462</v>
      </c>
      <c r="K49">
        <f t="shared" ca="1" si="0"/>
        <v>9</v>
      </c>
      <c r="L49">
        <f t="shared" ca="1" si="1"/>
        <v>8</v>
      </c>
      <c r="M49" t="s">
        <v>1810</v>
      </c>
      <c r="N49">
        <v>3</v>
      </c>
      <c r="O49" t="s">
        <v>1811</v>
      </c>
      <c r="P49" t="s">
        <v>1834</v>
      </c>
    </row>
    <row r="50" spans="1:16" x14ac:dyDescent="0.3">
      <c r="A50" t="s">
        <v>61</v>
      </c>
      <c r="B50" t="s">
        <v>1744</v>
      </c>
      <c r="C50">
        <v>54</v>
      </c>
      <c r="D50" t="s">
        <v>1785</v>
      </c>
      <c r="E50" t="s">
        <v>1786</v>
      </c>
      <c r="F50" t="s">
        <v>1798</v>
      </c>
      <c r="G50" s="5">
        <v>81993</v>
      </c>
      <c r="H50" t="s">
        <v>1804</v>
      </c>
      <c r="I50" t="s">
        <v>1808</v>
      </c>
      <c r="J50" s="2">
        <v>44427</v>
      </c>
      <c r="K50">
        <f t="shared" ca="1" si="0"/>
        <v>4</v>
      </c>
      <c r="L50">
        <f t="shared" ca="1" si="1"/>
        <v>3</v>
      </c>
      <c r="M50" t="s">
        <v>1809</v>
      </c>
      <c r="N50">
        <v>4</v>
      </c>
      <c r="O50" t="s">
        <v>1817</v>
      </c>
      <c r="P50" t="s">
        <v>1834</v>
      </c>
    </row>
    <row r="51" spans="1:16" x14ac:dyDescent="0.3">
      <c r="A51" t="s">
        <v>62</v>
      </c>
      <c r="B51" t="s">
        <v>1746</v>
      </c>
      <c r="C51">
        <v>30</v>
      </c>
      <c r="D51" t="s">
        <v>1784</v>
      </c>
      <c r="E51" t="s">
        <v>1791</v>
      </c>
      <c r="F51" t="s">
        <v>1795</v>
      </c>
      <c r="G51" s="5">
        <v>99560</v>
      </c>
      <c r="H51" t="s">
        <v>1801</v>
      </c>
      <c r="I51" t="s">
        <v>1808</v>
      </c>
      <c r="J51" s="2">
        <v>44862</v>
      </c>
      <c r="K51">
        <f t="shared" ca="1" si="0"/>
        <v>3</v>
      </c>
      <c r="L51">
        <f t="shared" ca="1" si="1"/>
        <v>1</v>
      </c>
      <c r="M51" t="s">
        <v>1809</v>
      </c>
      <c r="N51">
        <v>1</v>
      </c>
      <c r="O51" t="s">
        <v>1811</v>
      </c>
      <c r="P51" t="s">
        <v>1833</v>
      </c>
    </row>
    <row r="52" spans="1:16" x14ac:dyDescent="0.3">
      <c r="A52" t="s">
        <v>63</v>
      </c>
      <c r="B52" t="s">
        <v>1751</v>
      </c>
      <c r="C52">
        <v>49</v>
      </c>
      <c r="D52" t="s">
        <v>1783</v>
      </c>
      <c r="E52" t="s">
        <v>1792</v>
      </c>
      <c r="F52" t="s">
        <v>1800</v>
      </c>
      <c r="G52" s="5">
        <v>52099</v>
      </c>
      <c r="H52" t="s">
        <v>1804</v>
      </c>
      <c r="I52" t="s">
        <v>1807</v>
      </c>
      <c r="J52" s="2">
        <v>44300</v>
      </c>
      <c r="K52">
        <f t="shared" ca="1" si="0"/>
        <v>4</v>
      </c>
      <c r="L52">
        <f t="shared" ca="1" si="1"/>
        <v>7</v>
      </c>
      <c r="M52" t="s">
        <v>1810</v>
      </c>
      <c r="N52">
        <v>3</v>
      </c>
      <c r="O52" t="s">
        <v>1811</v>
      </c>
      <c r="P52" t="s">
        <v>1834</v>
      </c>
    </row>
    <row r="53" spans="1:16" x14ac:dyDescent="0.3">
      <c r="A53" t="s">
        <v>64</v>
      </c>
      <c r="B53" t="s">
        <v>1725</v>
      </c>
      <c r="C53">
        <v>46</v>
      </c>
      <c r="D53" t="s">
        <v>1784</v>
      </c>
      <c r="E53" t="s">
        <v>1793</v>
      </c>
      <c r="F53" t="s">
        <v>1797</v>
      </c>
      <c r="G53" s="5">
        <v>79644</v>
      </c>
      <c r="H53" t="s">
        <v>1805</v>
      </c>
      <c r="I53" t="s">
        <v>1807</v>
      </c>
      <c r="J53" s="2">
        <v>43871</v>
      </c>
      <c r="K53">
        <f t="shared" ca="1" si="0"/>
        <v>5</v>
      </c>
      <c r="L53">
        <f t="shared" ca="1" si="1"/>
        <v>10</v>
      </c>
      <c r="M53" t="s">
        <v>1809</v>
      </c>
      <c r="N53">
        <v>1</v>
      </c>
      <c r="O53" t="s">
        <v>1818</v>
      </c>
      <c r="P53" t="s">
        <v>1834</v>
      </c>
    </row>
    <row r="54" spans="1:16" x14ac:dyDescent="0.3">
      <c r="A54" t="s">
        <v>65</v>
      </c>
      <c r="B54" t="s">
        <v>1752</v>
      </c>
      <c r="C54">
        <v>32</v>
      </c>
      <c r="D54" t="s">
        <v>1783</v>
      </c>
      <c r="E54" t="s">
        <v>1791</v>
      </c>
      <c r="F54" t="s">
        <v>1798</v>
      </c>
      <c r="G54" s="5">
        <v>49266</v>
      </c>
      <c r="H54" t="s">
        <v>1803</v>
      </c>
      <c r="I54" t="s">
        <v>1806</v>
      </c>
      <c r="J54" s="2">
        <v>42906</v>
      </c>
      <c r="K54">
        <f t="shared" ca="1" si="0"/>
        <v>8</v>
      </c>
      <c r="L54">
        <f t="shared" ca="1" si="1"/>
        <v>5</v>
      </c>
      <c r="M54" t="s">
        <v>1809</v>
      </c>
      <c r="N54">
        <v>4</v>
      </c>
      <c r="O54" t="s">
        <v>1814</v>
      </c>
      <c r="P54" t="s">
        <v>1833</v>
      </c>
    </row>
    <row r="55" spans="1:16" x14ac:dyDescent="0.3">
      <c r="A55" t="s">
        <v>66</v>
      </c>
      <c r="B55" t="s">
        <v>1722</v>
      </c>
      <c r="C55">
        <v>58</v>
      </c>
      <c r="D55" t="s">
        <v>1785</v>
      </c>
      <c r="E55" t="s">
        <v>1793</v>
      </c>
      <c r="F55" t="s">
        <v>1799</v>
      </c>
      <c r="G55" s="5">
        <v>119946</v>
      </c>
      <c r="H55" t="s">
        <v>1802</v>
      </c>
      <c r="I55" t="s">
        <v>1808</v>
      </c>
      <c r="J55" s="2">
        <v>42880</v>
      </c>
      <c r="K55">
        <f t="shared" ca="1" si="0"/>
        <v>8</v>
      </c>
      <c r="L55">
        <f t="shared" ca="1" si="1"/>
        <v>6</v>
      </c>
      <c r="M55" t="s">
        <v>1809</v>
      </c>
      <c r="N55">
        <v>3</v>
      </c>
      <c r="O55" t="s">
        <v>1811</v>
      </c>
      <c r="P55" t="s">
        <v>1834</v>
      </c>
    </row>
    <row r="56" spans="1:16" x14ac:dyDescent="0.3">
      <c r="A56" t="s">
        <v>67</v>
      </c>
      <c r="B56" t="s">
        <v>1746</v>
      </c>
      <c r="C56">
        <v>32</v>
      </c>
      <c r="D56" t="s">
        <v>1783</v>
      </c>
      <c r="E56" t="s">
        <v>1786</v>
      </c>
      <c r="F56" t="s">
        <v>1794</v>
      </c>
      <c r="G56" s="5">
        <v>31356</v>
      </c>
      <c r="H56" t="s">
        <v>1804</v>
      </c>
      <c r="I56" t="s">
        <v>1806</v>
      </c>
      <c r="J56" s="2">
        <v>44897</v>
      </c>
      <c r="K56">
        <f t="shared" ca="1" si="0"/>
        <v>3</v>
      </c>
      <c r="L56">
        <f t="shared" ca="1" si="1"/>
        <v>0</v>
      </c>
      <c r="M56" t="s">
        <v>1809</v>
      </c>
      <c r="N56">
        <v>5</v>
      </c>
      <c r="O56" t="s">
        <v>1818</v>
      </c>
      <c r="P56" t="s">
        <v>1833</v>
      </c>
    </row>
    <row r="57" spans="1:16" x14ac:dyDescent="0.3">
      <c r="A57" t="s">
        <v>68</v>
      </c>
      <c r="B57" t="s">
        <v>1753</v>
      </c>
      <c r="C57">
        <v>47</v>
      </c>
      <c r="D57" t="s">
        <v>1785</v>
      </c>
      <c r="E57" t="s">
        <v>1789</v>
      </c>
      <c r="F57" t="s">
        <v>1795</v>
      </c>
      <c r="G57" s="5">
        <v>27038</v>
      </c>
      <c r="H57" t="s">
        <v>1804</v>
      </c>
      <c r="I57" t="s">
        <v>1807</v>
      </c>
      <c r="J57" s="2">
        <v>45917</v>
      </c>
      <c r="K57">
        <f t="shared" ca="1" si="0"/>
        <v>0</v>
      </c>
      <c r="L57">
        <f t="shared" ca="1" si="1"/>
        <v>2</v>
      </c>
      <c r="M57" t="s">
        <v>1810</v>
      </c>
      <c r="N57">
        <v>4</v>
      </c>
      <c r="O57" t="s">
        <v>1813</v>
      </c>
      <c r="P57" t="s">
        <v>1834</v>
      </c>
    </row>
    <row r="58" spans="1:16" x14ac:dyDescent="0.3">
      <c r="A58" t="s">
        <v>69</v>
      </c>
      <c r="B58" t="s">
        <v>1754</v>
      </c>
      <c r="C58">
        <v>49</v>
      </c>
      <c r="D58" t="s">
        <v>1785</v>
      </c>
      <c r="E58" t="s">
        <v>1791</v>
      </c>
      <c r="F58" t="s">
        <v>1798</v>
      </c>
      <c r="G58" s="5">
        <v>75080</v>
      </c>
      <c r="H58" t="s">
        <v>1805</v>
      </c>
      <c r="I58" t="s">
        <v>1806</v>
      </c>
      <c r="J58" s="2">
        <v>43544</v>
      </c>
      <c r="K58">
        <f t="shared" ca="1" si="0"/>
        <v>6</v>
      </c>
      <c r="L58">
        <f t="shared" ca="1" si="1"/>
        <v>8</v>
      </c>
      <c r="M58" t="s">
        <v>1810</v>
      </c>
      <c r="N58">
        <v>4</v>
      </c>
      <c r="O58" t="s">
        <v>1811</v>
      </c>
      <c r="P58" t="s">
        <v>1834</v>
      </c>
    </row>
    <row r="59" spans="1:16" x14ac:dyDescent="0.3">
      <c r="A59" t="s">
        <v>70</v>
      </c>
      <c r="B59" t="s">
        <v>1715</v>
      </c>
      <c r="C59">
        <v>40</v>
      </c>
      <c r="D59" t="s">
        <v>1783</v>
      </c>
      <c r="E59" t="s">
        <v>1793</v>
      </c>
      <c r="F59" t="s">
        <v>1800</v>
      </c>
      <c r="G59" s="5">
        <v>54559</v>
      </c>
      <c r="H59" t="s">
        <v>1802</v>
      </c>
      <c r="I59" t="s">
        <v>1808</v>
      </c>
      <c r="J59" s="2">
        <v>44772</v>
      </c>
      <c r="K59">
        <f t="shared" ca="1" si="0"/>
        <v>3</v>
      </c>
      <c r="L59">
        <f t="shared" ca="1" si="1"/>
        <v>4</v>
      </c>
      <c r="M59" t="s">
        <v>1810</v>
      </c>
      <c r="N59">
        <v>3</v>
      </c>
      <c r="O59" t="s">
        <v>1818</v>
      </c>
      <c r="P59" t="s">
        <v>1831</v>
      </c>
    </row>
    <row r="60" spans="1:16" x14ac:dyDescent="0.3">
      <c r="A60" t="s">
        <v>71</v>
      </c>
      <c r="B60" t="s">
        <v>1755</v>
      </c>
      <c r="C60">
        <v>40</v>
      </c>
      <c r="D60" t="s">
        <v>1783</v>
      </c>
      <c r="E60" t="s">
        <v>1790</v>
      </c>
      <c r="F60" t="s">
        <v>1796</v>
      </c>
      <c r="G60" s="5">
        <v>45802</v>
      </c>
      <c r="H60" t="s">
        <v>1804</v>
      </c>
      <c r="I60" t="s">
        <v>1808</v>
      </c>
      <c r="J60" s="2">
        <v>43583</v>
      </c>
      <c r="K60">
        <f t="shared" ca="1" si="0"/>
        <v>6</v>
      </c>
      <c r="L60">
        <f t="shared" ca="1" si="1"/>
        <v>7</v>
      </c>
      <c r="M60" t="s">
        <v>1810</v>
      </c>
      <c r="N60">
        <v>5</v>
      </c>
      <c r="O60" t="s">
        <v>1818</v>
      </c>
      <c r="P60" t="s">
        <v>1831</v>
      </c>
    </row>
    <row r="61" spans="1:16" x14ac:dyDescent="0.3">
      <c r="A61" t="s">
        <v>72</v>
      </c>
      <c r="B61" t="s">
        <v>1756</v>
      </c>
      <c r="C61">
        <v>25</v>
      </c>
      <c r="D61" t="s">
        <v>1783</v>
      </c>
      <c r="E61" t="s">
        <v>1787</v>
      </c>
      <c r="F61" t="s">
        <v>1795</v>
      </c>
      <c r="G61" s="5">
        <v>82038</v>
      </c>
      <c r="H61" t="s">
        <v>1802</v>
      </c>
      <c r="I61" t="s">
        <v>1806</v>
      </c>
      <c r="J61" s="2">
        <v>44388</v>
      </c>
      <c r="K61">
        <f t="shared" ca="1" si="0"/>
        <v>4</v>
      </c>
      <c r="L61">
        <f t="shared" ca="1" si="1"/>
        <v>4</v>
      </c>
      <c r="M61" t="s">
        <v>1810</v>
      </c>
      <c r="N61">
        <v>4</v>
      </c>
      <c r="O61" t="s">
        <v>1818</v>
      </c>
      <c r="P61" t="s">
        <v>1832</v>
      </c>
    </row>
    <row r="62" spans="1:16" x14ac:dyDescent="0.3">
      <c r="A62" t="s">
        <v>73</v>
      </c>
      <c r="B62" t="s">
        <v>1757</v>
      </c>
      <c r="C62">
        <v>34</v>
      </c>
      <c r="D62" t="s">
        <v>1784</v>
      </c>
      <c r="E62" t="s">
        <v>1786</v>
      </c>
      <c r="F62" t="s">
        <v>1794</v>
      </c>
      <c r="G62" s="5">
        <v>58135</v>
      </c>
      <c r="H62" t="s">
        <v>1805</v>
      </c>
      <c r="I62" t="s">
        <v>1808</v>
      </c>
      <c r="J62" s="2">
        <v>44376</v>
      </c>
      <c r="K62">
        <f t="shared" ca="1" si="0"/>
        <v>4</v>
      </c>
      <c r="L62">
        <f t="shared" ca="1" si="1"/>
        <v>5</v>
      </c>
      <c r="M62" t="s">
        <v>1810</v>
      </c>
      <c r="N62">
        <v>4</v>
      </c>
      <c r="O62" t="s">
        <v>1817</v>
      </c>
      <c r="P62" t="s">
        <v>1833</v>
      </c>
    </row>
    <row r="63" spans="1:16" x14ac:dyDescent="0.3">
      <c r="A63" t="s">
        <v>74</v>
      </c>
      <c r="B63" t="s">
        <v>1758</v>
      </c>
      <c r="C63">
        <v>49</v>
      </c>
      <c r="D63" t="s">
        <v>1784</v>
      </c>
      <c r="E63" t="s">
        <v>1788</v>
      </c>
      <c r="F63" t="s">
        <v>1798</v>
      </c>
      <c r="G63" s="5">
        <v>50951</v>
      </c>
      <c r="H63" t="s">
        <v>1801</v>
      </c>
      <c r="I63" t="s">
        <v>1806</v>
      </c>
      <c r="J63" s="2">
        <v>43226</v>
      </c>
      <c r="K63">
        <f t="shared" ca="1" si="0"/>
        <v>7</v>
      </c>
      <c r="L63">
        <f t="shared" ca="1" si="1"/>
        <v>7</v>
      </c>
      <c r="M63" t="s">
        <v>1810</v>
      </c>
      <c r="N63">
        <v>1</v>
      </c>
      <c r="O63" t="s">
        <v>1816</v>
      </c>
      <c r="P63" t="s">
        <v>1834</v>
      </c>
    </row>
    <row r="64" spans="1:16" x14ac:dyDescent="0.3">
      <c r="A64" t="s">
        <v>75</v>
      </c>
      <c r="B64" t="s">
        <v>1732</v>
      </c>
      <c r="C64">
        <v>50</v>
      </c>
      <c r="D64" t="s">
        <v>1784</v>
      </c>
      <c r="E64" t="s">
        <v>1788</v>
      </c>
      <c r="F64" t="s">
        <v>1799</v>
      </c>
      <c r="G64" s="5">
        <v>31176</v>
      </c>
      <c r="H64" t="s">
        <v>1802</v>
      </c>
      <c r="I64" t="s">
        <v>1808</v>
      </c>
      <c r="J64" s="2">
        <v>43369</v>
      </c>
      <c r="K64">
        <f t="shared" ca="1" si="0"/>
        <v>7</v>
      </c>
      <c r="L64">
        <f t="shared" ca="1" si="1"/>
        <v>2</v>
      </c>
      <c r="M64" t="s">
        <v>1810</v>
      </c>
      <c r="N64">
        <v>2</v>
      </c>
      <c r="O64" t="s">
        <v>1814</v>
      </c>
      <c r="P64" t="s">
        <v>1834</v>
      </c>
    </row>
    <row r="65" spans="1:16" x14ac:dyDescent="0.3">
      <c r="A65" t="s">
        <v>76</v>
      </c>
      <c r="B65" t="s">
        <v>1733</v>
      </c>
      <c r="C65">
        <v>54</v>
      </c>
      <c r="D65" t="s">
        <v>1783</v>
      </c>
      <c r="E65" t="s">
        <v>1788</v>
      </c>
      <c r="F65" t="s">
        <v>1797</v>
      </c>
      <c r="G65" s="5">
        <v>23965</v>
      </c>
      <c r="H65" t="s">
        <v>1805</v>
      </c>
      <c r="I65" t="s">
        <v>1808</v>
      </c>
      <c r="J65" s="2">
        <v>45294</v>
      </c>
      <c r="K65">
        <f t="shared" ca="1" si="0"/>
        <v>1</v>
      </c>
      <c r="L65">
        <f t="shared" ca="1" si="1"/>
        <v>11</v>
      </c>
      <c r="M65" t="s">
        <v>1809</v>
      </c>
      <c r="N65">
        <v>4</v>
      </c>
      <c r="O65" t="s">
        <v>1813</v>
      </c>
      <c r="P65" t="s">
        <v>1834</v>
      </c>
    </row>
    <row r="66" spans="1:16" x14ac:dyDescent="0.3">
      <c r="A66" t="s">
        <v>77</v>
      </c>
      <c r="B66" t="s">
        <v>1735</v>
      </c>
      <c r="C66">
        <v>38</v>
      </c>
      <c r="D66" t="s">
        <v>1784</v>
      </c>
      <c r="E66" t="s">
        <v>1790</v>
      </c>
      <c r="F66" t="s">
        <v>1796</v>
      </c>
      <c r="G66" s="5">
        <v>75733</v>
      </c>
      <c r="H66" t="s">
        <v>1802</v>
      </c>
      <c r="I66" t="s">
        <v>1807</v>
      </c>
      <c r="J66" s="2">
        <v>43472</v>
      </c>
      <c r="K66">
        <f t="shared" ca="1" si="0"/>
        <v>6</v>
      </c>
      <c r="L66">
        <f t="shared" ca="1" si="1"/>
        <v>11</v>
      </c>
      <c r="M66" t="s">
        <v>1810</v>
      </c>
      <c r="N66">
        <v>1</v>
      </c>
      <c r="O66" t="s">
        <v>1813</v>
      </c>
      <c r="P66" t="s">
        <v>1831</v>
      </c>
    </row>
    <row r="67" spans="1:16" x14ac:dyDescent="0.3">
      <c r="A67" t="s">
        <v>78</v>
      </c>
      <c r="B67" t="s">
        <v>1723</v>
      </c>
      <c r="C67">
        <v>24</v>
      </c>
      <c r="D67" t="s">
        <v>1785</v>
      </c>
      <c r="E67" t="s">
        <v>1792</v>
      </c>
      <c r="F67" t="s">
        <v>1798</v>
      </c>
      <c r="G67" s="5">
        <v>37887</v>
      </c>
      <c r="H67" t="s">
        <v>1805</v>
      </c>
      <c r="I67" t="s">
        <v>1808</v>
      </c>
      <c r="J67" s="2">
        <v>42786</v>
      </c>
      <c r="K67">
        <f t="shared" ref="K67:K130" ca="1" si="2">YEAR(TODAY()) - YEAR(J67)</f>
        <v>8</v>
      </c>
      <c r="L67">
        <f t="shared" ref="L67:L130" ca="1" si="3">DATEDIF(J67,TODAY(),"YM")</f>
        <v>9</v>
      </c>
      <c r="M67" t="s">
        <v>1809</v>
      </c>
      <c r="N67">
        <v>1</v>
      </c>
      <c r="O67" t="s">
        <v>1811</v>
      </c>
      <c r="P67" t="s">
        <v>1832</v>
      </c>
    </row>
    <row r="68" spans="1:16" x14ac:dyDescent="0.3">
      <c r="A68" t="s">
        <v>79</v>
      </c>
      <c r="B68" t="s">
        <v>1759</v>
      </c>
      <c r="C68">
        <v>34</v>
      </c>
      <c r="D68" t="s">
        <v>1785</v>
      </c>
      <c r="E68" t="s">
        <v>1787</v>
      </c>
      <c r="F68" t="s">
        <v>1800</v>
      </c>
      <c r="G68" s="5">
        <v>77049</v>
      </c>
      <c r="H68" t="s">
        <v>1804</v>
      </c>
      <c r="I68" t="s">
        <v>1806</v>
      </c>
      <c r="J68" s="2">
        <v>44194</v>
      </c>
      <c r="K68">
        <f t="shared" ca="1" si="2"/>
        <v>5</v>
      </c>
      <c r="L68">
        <f t="shared" ca="1" si="3"/>
        <v>11</v>
      </c>
      <c r="M68" t="s">
        <v>1810</v>
      </c>
      <c r="N68">
        <v>5</v>
      </c>
      <c r="O68" t="s">
        <v>1818</v>
      </c>
      <c r="P68" t="s">
        <v>1833</v>
      </c>
    </row>
    <row r="69" spans="1:16" x14ac:dyDescent="0.3">
      <c r="A69" t="s">
        <v>80</v>
      </c>
      <c r="B69" t="s">
        <v>1760</v>
      </c>
      <c r="C69">
        <v>26</v>
      </c>
      <c r="D69" t="s">
        <v>1783</v>
      </c>
      <c r="E69" t="s">
        <v>1786</v>
      </c>
      <c r="F69" t="s">
        <v>1794</v>
      </c>
      <c r="G69" s="5">
        <v>52687</v>
      </c>
      <c r="H69" t="s">
        <v>1801</v>
      </c>
      <c r="I69" t="s">
        <v>1807</v>
      </c>
      <c r="J69" s="2">
        <v>43420</v>
      </c>
      <c r="K69">
        <f t="shared" ca="1" si="2"/>
        <v>7</v>
      </c>
      <c r="L69">
        <f t="shared" ca="1" si="3"/>
        <v>0</v>
      </c>
      <c r="M69" t="s">
        <v>1809</v>
      </c>
      <c r="N69">
        <v>5</v>
      </c>
      <c r="O69" t="s">
        <v>1813</v>
      </c>
      <c r="P69" t="s">
        <v>1833</v>
      </c>
    </row>
    <row r="70" spans="1:16" x14ac:dyDescent="0.3">
      <c r="A70" t="s">
        <v>81</v>
      </c>
      <c r="B70" t="s">
        <v>1761</v>
      </c>
      <c r="C70">
        <v>46</v>
      </c>
      <c r="D70" t="s">
        <v>1784</v>
      </c>
      <c r="E70" t="s">
        <v>1790</v>
      </c>
      <c r="F70" t="s">
        <v>1797</v>
      </c>
      <c r="G70" s="5">
        <v>56175</v>
      </c>
      <c r="H70" t="s">
        <v>1802</v>
      </c>
      <c r="I70" t="s">
        <v>1808</v>
      </c>
      <c r="J70" s="2">
        <v>45333</v>
      </c>
      <c r="K70">
        <f t="shared" ca="1" si="2"/>
        <v>1</v>
      </c>
      <c r="L70">
        <f t="shared" ca="1" si="3"/>
        <v>9</v>
      </c>
      <c r="M70" t="s">
        <v>1810</v>
      </c>
      <c r="N70">
        <v>4</v>
      </c>
      <c r="O70" t="s">
        <v>1813</v>
      </c>
      <c r="P70" t="s">
        <v>1834</v>
      </c>
    </row>
    <row r="71" spans="1:16" x14ac:dyDescent="0.3">
      <c r="A71" t="s">
        <v>82</v>
      </c>
      <c r="B71" t="s">
        <v>1762</v>
      </c>
      <c r="C71">
        <v>57</v>
      </c>
      <c r="D71" t="s">
        <v>1785</v>
      </c>
      <c r="E71" t="s">
        <v>1786</v>
      </c>
      <c r="F71" t="s">
        <v>1797</v>
      </c>
      <c r="G71" s="5">
        <v>73723</v>
      </c>
      <c r="H71" t="s">
        <v>1805</v>
      </c>
      <c r="I71" t="s">
        <v>1807</v>
      </c>
      <c r="J71" s="2">
        <v>45090</v>
      </c>
      <c r="K71">
        <f t="shared" ca="1" si="2"/>
        <v>2</v>
      </c>
      <c r="L71">
        <f t="shared" ca="1" si="3"/>
        <v>5</v>
      </c>
      <c r="M71" t="s">
        <v>1809</v>
      </c>
      <c r="N71">
        <v>3</v>
      </c>
      <c r="O71" t="s">
        <v>1816</v>
      </c>
      <c r="P71" t="s">
        <v>1834</v>
      </c>
    </row>
    <row r="72" spans="1:16" x14ac:dyDescent="0.3">
      <c r="A72" t="s">
        <v>83</v>
      </c>
      <c r="B72" t="s">
        <v>1713</v>
      </c>
      <c r="C72">
        <v>30</v>
      </c>
      <c r="D72" t="s">
        <v>1784</v>
      </c>
      <c r="E72" t="s">
        <v>1788</v>
      </c>
      <c r="F72" t="s">
        <v>1797</v>
      </c>
      <c r="G72" s="5">
        <v>75560</v>
      </c>
      <c r="H72" t="s">
        <v>1803</v>
      </c>
      <c r="I72" t="s">
        <v>1806</v>
      </c>
      <c r="J72" s="2">
        <v>43683</v>
      </c>
      <c r="K72">
        <f t="shared" ca="1" si="2"/>
        <v>6</v>
      </c>
      <c r="L72">
        <f t="shared" ca="1" si="3"/>
        <v>4</v>
      </c>
      <c r="M72" t="s">
        <v>1810</v>
      </c>
      <c r="N72">
        <v>3</v>
      </c>
      <c r="O72" t="s">
        <v>1812</v>
      </c>
      <c r="P72" t="s">
        <v>1833</v>
      </c>
    </row>
    <row r="73" spans="1:16" x14ac:dyDescent="0.3">
      <c r="A73" t="s">
        <v>84</v>
      </c>
      <c r="B73" t="s">
        <v>1726</v>
      </c>
      <c r="C73">
        <v>58</v>
      </c>
      <c r="D73" t="s">
        <v>1783</v>
      </c>
      <c r="E73" t="s">
        <v>1787</v>
      </c>
      <c r="F73" t="s">
        <v>1796</v>
      </c>
      <c r="G73" s="5">
        <v>114276</v>
      </c>
      <c r="H73" t="s">
        <v>1805</v>
      </c>
      <c r="I73" t="s">
        <v>1808</v>
      </c>
      <c r="J73" s="2">
        <v>42543</v>
      </c>
      <c r="K73">
        <f t="shared" ca="1" si="2"/>
        <v>9</v>
      </c>
      <c r="L73">
        <f t="shared" ca="1" si="3"/>
        <v>5</v>
      </c>
      <c r="M73" t="s">
        <v>1809</v>
      </c>
      <c r="N73">
        <v>2</v>
      </c>
      <c r="O73" t="s">
        <v>1818</v>
      </c>
      <c r="P73" t="s">
        <v>1834</v>
      </c>
    </row>
    <row r="74" spans="1:16" x14ac:dyDescent="0.3">
      <c r="A74" t="s">
        <v>85</v>
      </c>
      <c r="B74" t="s">
        <v>1763</v>
      </c>
      <c r="C74">
        <v>22</v>
      </c>
      <c r="D74" t="s">
        <v>1783</v>
      </c>
      <c r="E74" t="s">
        <v>1790</v>
      </c>
      <c r="F74" t="s">
        <v>1794</v>
      </c>
      <c r="G74" s="5">
        <v>86021</v>
      </c>
      <c r="H74" t="s">
        <v>1803</v>
      </c>
      <c r="I74" t="s">
        <v>1808</v>
      </c>
      <c r="J74" s="2">
        <v>43181</v>
      </c>
      <c r="K74">
        <f t="shared" ca="1" si="2"/>
        <v>7</v>
      </c>
      <c r="L74">
        <f t="shared" ca="1" si="3"/>
        <v>8</v>
      </c>
      <c r="M74" t="s">
        <v>1810</v>
      </c>
      <c r="N74">
        <v>4</v>
      </c>
      <c r="O74" t="s">
        <v>1813</v>
      </c>
      <c r="P74" t="s">
        <v>1832</v>
      </c>
    </row>
    <row r="75" spans="1:16" x14ac:dyDescent="0.3">
      <c r="A75" t="s">
        <v>86</v>
      </c>
      <c r="B75" t="s">
        <v>1737</v>
      </c>
      <c r="C75">
        <v>46</v>
      </c>
      <c r="D75" t="s">
        <v>1784</v>
      </c>
      <c r="E75" t="s">
        <v>1789</v>
      </c>
      <c r="F75" t="s">
        <v>1797</v>
      </c>
      <c r="G75" s="5">
        <v>105835</v>
      </c>
      <c r="H75" t="s">
        <v>1802</v>
      </c>
      <c r="I75" t="s">
        <v>1808</v>
      </c>
      <c r="J75" s="2">
        <v>44124</v>
      </c>
      <c r="K75">
        <f t="shared" ca="1" si="2"/>
        <v>5</v>
      </c>
      <c r="L75">
        <f t="shared" ca="1" si="3"/>
        <v>1</v>
      </c>
      <c r="M75" t="s">
        <v>1810</v>
      </c>
      <c r="N75">
        <v>3</v>
      </c>
      <c r="O75" t="s">
        <v>1811</v>
      </c>
      <c r="P75" t="s">
        <v>1834</v>
      </c>
    </row>
    <row r="76" spans="1:16" x14ac:dyDescent="0.3">
      <c r="A76" t="s">
        <v>87</v>
      </c>
      <c r="B76" t="s">
        <v>1764</v>
      </c>
      <c r="C76">
        <v>49</v>
      </c>
      <c r="D76" t="s">
        <v>1783</v>
      </c>
      <c r="E76" t="s">
        <v>1789</v>
      </c>
      <c r="F76" t="s">
        <v>1796</v>
      </c>
      <c r="G76" s="5">
        <v>51082</v>
      </c>
      <c r="H76" t="s">
        <v>1801</v>
      </c>
      <c r="I76" t="s">
        <v>1808</v>
      </c>
      <c r="J76" s="2">
        <v>45980</v>
      </c>
      <c r="K76">
        <f t="shared" ca="1" si="2"/>
        <v>0</v>
      </c>
      <c r="L76">
        <f t="shared" ca="1" si="3"/>
        <v>0</v>
      </c>
      <c r="M76" t="s">
        <v>1809</v>
      </c>
      <c r="N76">
        <v>5</v>
      </c>
      <c r="O76" t="s">
        <v>1812</v>
      </c>
      <c r="P76" t="s">
        <v>1834</v>
      </c>
    </row>
    <row r="77" spans="1:16" x14ac:dyDescent="0.3">
      <c r="A77" t="s">
        <v>88</v>
      </c>
      <c r="B77" t="s">
        <v>1716</v>
      </c>
      <c r="C77">
        <v>32</v>
      </c>
      <c r="D77" t="s">
        <v>1785</v>
      </c>
      <c r="E77" t="s">
        <v>1789</v>
      </c>
      <c r="F77" t="s">
        <v>1799</v>
      </c>
      <c r="G77" s="5">
        <v>99609</v>
      </c>
      <c r="H77" t="s">
        <v>1803</v>
      </c>
      <c r="I77" t="s">
        <v>1806</v>
      </c>
      <c r="J77" s="2">
        <v>44248</v>
      </c>
      <c r="K77">
        <f t="shared" ca="1" si="2"/>
        <v>4</v>
      </c>
      <c r="L77">
        <f t="shared" ca="1" si="3"/>
        <v>9</v>
      </c>
      <c r="M77" t="s">
        <v>1809</v>
      </c>
      <c r="N77">
        <v>2</v>
      </c>
      <c r="O77" t="s">
        <v>1814</v>
      </c>
      <c r="P77" t="s">
        <v>1833</v>
      </c>
    </row>
    <row r="78" spans="1:16" x14ac:dyDescent="0.3">
      <c r="A78" t="s">
        <v>89</v>
      </c>
      <c r="B78" t="s">
        <v>1756</v>
      </c>
      <c r="C78">
        <v>38</v>
      </c>
      <c r="D78" t="s">
        <v>1784</v>
      </c>
      <c r="E78" t="s">
        <v>1790</v>
      </c>
      <c r="F78" t="s">
        <v>1797</v>
      </c>
      <c r="G78" s="5">
        <v>33915</v>
      </c>
      <c r="H78" t="s">
        <v>1805</v>
      </c>
      <c r="I78" t="s">
        <v>1807</v>
      </c>
      <c r="J78" s="2">
        <v>45345</v>
      </c>
      <c r="K78">
        <f t="shared" ca="1" si="2"/>
        <v>1</v>
      </c>
      <c r="L78">
        <f t="shared" ca="1" si="3"/>
        <v>9</v>
      </c>
      <c r="M78" t="s">
        <v>1809</v>
      </c>
      <c r="N78">
        <v>3</v>
      </c>
      <c r="O78" t="s">
        <v>1818</v>
      </c>
      <c r="P78" t="s">
        <v>1831</v>
      </c>
    </row>
    <row r="79" spans="1:16" x14ac:dyDescent="0.3">
      <c r="A79" t="s">
        <v>90</v>
      </c>
      <c r="B79" t="s">
        <v>1748</v>
      </c>
      <c r="C79">
        <v>25</v>
      </c>
      <c r="D79" t="s">
        <v>1783</v>
      </c>
      <c r="E79" t="s">
        <v>1793</v>
      </c>
      <c r="F79" t="s">
        <v>1797</v>
      </c>
      <c r="G79" s="5">
        <v>78482</v>
      </c>
      <c r="H79" t="s">
        <v>1802</v>
      </c>
      <c r="I79" t="s">
        <v>1808</v>
      </c>
      <c r="J79" s="2">
        <v>45373</v>
      </c>
      <c r="K79">
        <f t="shared" ca="1" si="2"/>
        <v>1</v>
      </c>
      <c r="L79">
        <f t="shared" ca="1" si="3"/>
        <v>8</v>
      </c>
      <c r="M79" t="s">
        <v>1810</v>
      </c>
      <c r="N79">
        <v>5</v>
      </c>
      <c r="O79" t="s">
        <v>1814</v>
      </c>
      <c r="P79" t="s">
        <v>1832</v>
      </c>
    </row>
    <row r="80" spans="1:16" x14ac:dyDescent="0.3">
      <c r="A80" t="s">
        <v>91</v>
      </c>
      <c r="B80" t="s">
        <v>1750</v>
      </c>
      <c r="C80">
        <v>50</v>
      </c>
      <c r="D80" t="s">
        <v>1784</v>
      </c>
      <c r="E80" t="s">
        <v>1786</v>
      </c>
      <c r="F80" t="s">
        <v>1795</v>
      </c>
      <c r="G80" s="5">
        <v>77871</v>
      </c>
      <c r="H80" t="s">
        <v>1802</v>
      </c>
      <c r="I80" t="s">
        <v>1808</v>
      </c>
      <c r="J80" s="2">
        <v>43218</v>
      </c>
      <c r="K80">
        <f t="shared" ca="1" si="2"/>
        <v>7</v>
      </c>
      <c r="L80">
        <f t="shared" ca="1" si="3"/>
        <v>7</v>
      </c>
      <c r="M80" t="s">
        <v>1809</v>
      </c>
      <c r="N80">
        <v>1</v>
      </c>
      <c r="O80" t="s">
        <v>1814</v>
      </c>
      <c r="P80" t="s">
        <v>1834</v>
      </c>
    </row>
    <row r="81" spans="1:16" x14ac:dyDescent="0.3">
      <c r="A81" t="s">
        <v>92</v>
      </c>
      <c r="B81" t="s">
        <v>1754</v>
      </c>
      <c r="C81">
        <v>52</v>
      </c>
      <c r="D81" t="s">
        <v>1784</v>
      </c>
      <c r="E81" t="s">
        <v>1792</v>
      </c>
      <c r="F81" t="s">
        <v>1794</v>
      </c>
      <c r="G81" s="5">
        <v>55072</v>
      </c>
      <c r="H81" t="s">
        <v>1804</v>
      </c>
      <c r="I81" t="s">
        <v>1806</v>
      </c>
      <c r="J81" s="2">
        <v>44813</v>
      </c>
      <c r="K81">
        <f t="shared" ca="1" si="2"/>
        <v>3</v>
      </c>
      <c r="L81">
        <f t="shared" ca="1" si="3"/>
        <v>3</v>
      </c>
      <c r="M81" t="s">
        <v>1810</v>
      </c>
      <c r="N81">
        <v>2</v>
      </c>
      <c r="O81" t="s">
        <v>1812</v>
      </c>
      <c r="P81" t="s">
        <v>1834</v>
      </c>
    </row>
    <row r="82" spans="1:16" x14ac:dyDescent="0.3">
      <c r="A82" t="s">
        <v>93</v>
      </c>
      <c r="B82" t="s">
        <v>1748</v>
      </c>
      <c r="C82">
        <v>42</v>
      </c>
      <c r="D82" t="s">
        <v>1784</v>
      </c>
      <c r="E82" t="s">
        <v>1787</v>
      </c>
      <c r="F82" t="s">
        <v>1796</v>
      </c>
      <c r="G82" s="5">
        <v>77682</v>
      </c>
      <c r="H82" t="s">
        <v>1802</v>
      </c>
      <c r="I82" t="s">
        <v>1806</v>
      </c>
      <c r="J82" s="2">
        <v>43416</v>
      </c>
      <c r="K82">
        <f t="shared" ca="1" si="2"/>
        <v>7</v>
      </c>
      <c r="L82">
        <f t="shared" ca="1" si="3"/>
        <v>0</v>
      </c>
      <c r="M82" t="s">
        <v>1810</v>
      </c>
      <c r="N82">
        <v>2</v>
      </c>
      <c r="O82" t="s">
        <v>1811</v>
      </c>
      <c r="P82" t="s">
        <v>1831</v>
      </c>
    </row>
    <row r="83" spans="1:16" x14ac:dyDescent="0.3">
      <c r="A83" t="s">
        <v>94</v>
      </c>
      <c r="B83" t="s">
        <v>1740</v>
      </c>
      <c r="C83">
        <v>50</v>
      </c>
      <c r="D83" t="s">
        <v>1785</v>
      </c>
      <c r="E83" t="s">
        <v>1787</v>
      </c>
      <c r="F83" t="s">
        <v>1794</v>
      </c>
      <c r="G83" s="5">
        <v>68604</v>
      </c>
      <c r="H83" t="s">
        <v>1802</v>
      </c>
      <c r="I83" t="s">
        <v>1808</v>
      </c>
      <c r="J83" s="2">
        <v>42589</v>
      </c>
      <c r="K83">
        <f t="shared" ca="1" si="2"/>
        <v>9</v>
      </c>
      <c r="L83">
        <f t="shared" ca="1" si="3"/>
        <v>4</v>
      </c>
      <c r="M83" t="s">
        <v>1809</v>
      </c>
      <c r="N83">
        <v>5</v>
      </c>
      <c r="O83" t="s">
        <v>1817</v>
      </c>
      <c r="P83" t="s">
        <v>1834</v>
      </c>
    </row>
    <row r="84" spans="1:16" x14ac:dyDescent="0.3">
      <c r="A84" t="s">
        <v>95</v>
      </c>
      <c r="B84" t="s">
        <v>1765</v>
      </c>
      <c r="C84">
        <v>48</v>
      </c>
      <c r="D84" t="s">
        <v>1783</v>
      </c>
      <c r="E84" t="s">
        <v>1790</v>
      </c>
      <c r="F84" t="s">
        <v>1794</v>
      </c>
      <c r="G84" s="5">
        <v>20011</v>
      </c>
      <c r="H84" t="s">
        <v>1802</v>
      </c>
      <c r="I84" t="s">
        <v>1808</v>
      </c>
      <c r="J84" s="2">
        <v>45119</v>
      </c>
      <c r="K84">
        <f t="shared" ca="1" si="2"/>
        <v>2</v>
      </c>
      <c r="L84">
        <f t="shared" ca="1" si="3"/>
        <v>4</v>
      </c>
      <c r="M84" t="s">
        <v>1809</v>
      </c>
      <c r="N84">
        <v>1</v>
      </c>
      <c r="O84" t="s">
        <v>1812</v>
      </c>
      <c r="P84" t="s">
        <v>1834</v>
      </c>
    </row>
    <row r="85" spans="1:16" x14ac:dyDescent="0.3">
      <c r="A85" t="s">
        <v>96</v>
      </c>
      <c r="B85" t="s">
        <v>1766</v>
      </c>
      <c r="C85">
        <v>45</v>
      </c>
      <c r="D85" t="s">
        <v>1785</v>
      </c>
      <c r="E85" t="s">
        <v>1793</v>
      </c>
      <c r="F85" t="s">
        <v>1799</v>
      </c>
      <c r="G85" s="5">
        <v>61065</v>
      </c>
      <c r="H85" t="s">
        <v>1805</v>
      </c>
      <c r="I85" t="s">
        <v>1808</v>
      </c>
      <c r="J85" s="2">
        <v>43735</v>
      </c>
      <c r="K85">
        <f t="shared" ca="1" si="2"/>
        <v>6</v>
      </c>
      <c r="L85">
        <f t="shared" ca="1" si="3"/>
        <v>2</v>
      </c>
      <c r="M85" t="s">
        <v>1810</v>
      </c>
      <c r="N85">
        <v>5</v>
      </c>
      <c r="O85" t="s">
        <v>1818</v>
      </c>
      <c r="P85" t="s">
        <v>1831</v>
      </c>
    </row>
    <row r="86" spans="1:16" x14ac:dyDescent="0.3">
      <c r="A86" t="s">
        <v>97</v>
      </c>
      <c r="B86" t="s">
        <v>1736</v>
      </c>
      <c r="C86">
        <v>35</v>
      </c>
      <c r="D86" t="s">
        <v>1785</v>
      </c>
      <c r="E86" t="s">
        <v>1788</v>
      </c>
      <c r="F86" t="s">
        <v>1794</v>
      </c>
      <c r="G86" s="5">
        <v>47817</v>
      </c>
      <c r="H86" t="s">
        <v>1801</v>
      </c>
      <c r="I86" t="s">
        <v>1808</v>
      </c>
      <c r="J86" s="2">
        <v>42841</v>
      </c>
      <c r="K86">
        <f t="shared" ca="1" si="2"/>
        <v>8</v>
      </c>
      <c r="L86">
        <f t="shared" ca="1" si="3"/>
        <v>7</v>
      </c>
      <c r="M86" t="s">
        <v>1809</v>
      </c>
      <c r="N86">
        <v>4</v>
      </c>
      <c r="O86" t="s">
        <v>1816</v>
      </c>
      <c r="P86" t="s">
        <v>1833</v>
      </c>
    </row>
    <row r="87" spans="1:16" x14ac:dyDescent="0.3">
      <c r="A87" t="s">
        <v>98</v>
      </c>
      <c r="B87" t="s">
        <v>1767</v>
      </c>
      <c r="C87">
        <v>22</v>
      </c>
      <c r="D87" t="s">
        <v>1784</v>
      </c>
      <c r="E87" t="s">
        <v>1792</v>
      </c>
      <c r="F87" t="s">
        <v>1796</v>
      </c>
      <c r="G87" s="5">
        <v>56452</v>
      </c>
      <c r="H87" t="s">
        <v>1804</v>
      </c>
      <c r="I87" t="s">
        <v>1808</v>
      </c>
      <c r="J87" s="2">
        <v>43034</v>
      </c>
      <c r="K87">
        <f t="shared" ca="1" si="2"/>
        <v>8</v>
      </c>
      <c r="L87">
        <f t="shared" ca="1" si="3"/>
        <v>1</v>
      </c>
      <c r="M87" t="s">
        <v>1809</v>
      </c>
      <c r="N87">
        <v>5</v>
      </c>
      <c r="O87" t="s">
        <v>1811</v>
      </c>
      <c r="P87" t="s">
        <v>1832</v>
      </c>
    </row>
    <row r="88" spans="1:16" x14ac:dyDescent="0.3">
      <c r="A88" t="s">
        <v>99</v>
      </c>
      <c r="B88" t="s">
        <v>1760</v>
      </c>
      <c r="C88">
        <v>31</v>
      </c>
      <c r="D88" t="s">
        <v>1783</v>
      </c>
      <c r="E88" t="s">
        <v>1791</v>
      </c>
      <c r="F88" t="s">
        <v>1795</v>
      </c>
      <c r="G88" s="5">
        <v>28350</v>
      </c>
      <c r="H88" t="s">
        <v>1803</v>
      </c>
      <c r="I88" t="s">
        <v>1806</v>
      </c>
      <c r="J88" s="2">
        <v>45236</v>
      </c>
      <c r="K88">
        <f t="shared" ca="1" si="2"/>
        <v>2</v>
      </c>
      <c r="L88">
        <f t="shared" ca="1" si="3"/>
        <v>1</v>
      </c>
      <c r="M88" t="s">
        <v>1809</v>
      </c>
      <c r="N88">
        <v>4</v>
      </c>
      <c r="O88" t="s">
        <v>1816</v>
      </c>
      <c r="P88" t="s">
        <v>1833</v>
      </c>
    </row>
    <row r="89" spans="1:16" x14ac:dyDescent="0.3">
      <c r="A89" t="s">
        <v>100</v>
      </c>
      <c r="B89" t="s">
        <v>1743</v>
      </c>
      <c r="C89">
        <v>36</v>
      </c>
      <c r="D89" t="s">
        <v>1784</v>
      </c>
      <c r="E89" t="s">
        <v>1788</v>
      </c>
      <c r="F89" t="s">
        <v>1797</v>
      </c>
      <c r="G89" s="5">
        <v>105404</v>
      </c>
      <c r="H89" t="s">
        <v>1803</v>
      </c>
      <c r="I89" t="s">
        <v>1808</v>
      </c>
      <c r="J89" s="2">
        <v>45213</v>
      </c>
      <c r="K89">
        <f t="shared" ca="1" si="2"/>
        <v>2</v>
      </c>
      <c r="L89">
        <f t="shared" ca="1" si="3"/>
        <v>1</v>
      </c>
      <c r="M89" t="s">
        <v>1809</v>
      </c>
      <c r="N89">
        <v>1</v>
      </c>
      <c r="O89" t="s">
        <v>1812</v>
      </c>
      <c r="P89" t="s">
        <v>1831</v>
      </c>
    </row>
    <row r="90" spans="1:16" x14ac:dyDescent="0.3">
      <c r="A90" t="s">
        <v>101</v>
      </c>
      <c r="B90" t="s">
        <v>1753</v>
      </c>
      <c r="C90">
        <v>39</v>
      </c>
      <c r="D90" t="s">
        <v>1785</v>
      </c>
      <c r="E90" t="s">
        <v>1787</v>
      </c>
      <c r="F90" t="s">
        <v>1796</v>
      </c>
      <c r="G90" s="5">
        <v>108480</v>
      </c>
      <c r="H90" t="s">
        <v>1803</v>
      </c>
      <c r="I90" t="s">
        <v>1808</v>
      </c>
      <c r="J90" s="2">
        <v>43253</v>
      </c>
      <c r="K90">
        <f t="shared" ca="1" si="2"/>
        <v>7</v>
      </c>
      <c r="L90">
        <f t="shared" ca="1" si="3"/>
        <v>6</v>
      </c>
      <c r="M90" t="s">
        <v>1810</v>
      </c>
      <c r="N90">
        <v>4</v>
      </c>
      <c r="O90" t="s">
        <v>1813</v>
      </c>
      <c r="P90" t="s">
        <v>1831</v>
      </c>
    </row>
    <row r="91" spans="1:16" x14ac:dyDescent="0.3">
      <c r="A91" t="s">
        <v>102</v>
      </c>
      <c r="B91" t="s">
        <v>1743</v>
      </c>
      <c r="C91">
        <v>56</v>
      </c>
      <c r="D91" t="s">
        <v>1784</v>
      </c>
      <c r="E91" t="s">
        <v>1788</v>
      </c>
      <c r="F91" t="s">
        <v>1796</v>
      </c>
      <c r="G91" s="5">
        <v>109655</v>
      </c>
      <c r="H91" t="s">
        <v>1801</v>
      </c>
      <c r="I91" t="s">
        <v>1806</v>
      </c>
      <c r="J91" s="2">
        <v>44059</v>
      </c>
      <c r="K91">
        <f t="shared" ca="1" si="2"/>
        <v>5</v>
      </c>
      <c r="L91">
        <f t="shared" ca="1" si="3"/>
        <v>3</v>
      </c>
      <c r="M91" t="s">
        <v>1810</v>
      </c>
      <c r="N91">
        <v>1</v>
      </c>
      <c r="O91" t="s">
        <v>1818</v>
      </c>
      <c r="P91" t="s">
        <v>1834</v>
      </c>
    </row>
    <row r="92" spans="1:16" x14ac:dyDescent="0.3">
      <c r="A92" t="s">
        <v>103</v>
      </c>
      <c r="B92" t="s">
        <v>1760</v>
      </c>
      <c r="C92">
        <v>51</v>
      </c>
      <c r="D92" t="s">
        <v>1784</v>
      </c>
      <c r="E92" t="s">
        <v>1786</v>
      </c>
      <c r="F92" t="s">
        <v>1799</v>
      </c>
      <c r="G92" s="5">
        <v>97569</v>
      </c>
      <c r="H92" t="s">
        <v>1804</v>
      </c>
      <c r="I92" t="s">
        <v>1807</v>
      </c>
      <c r="J92" s="2">
        <v>45045</v>
      </c>
      <c r="K92">
        <f t="shared" ca="1" si="2"/>
        <v>2</v>
      </c>
      <c r="L92">
        <f t="shared" ca="1" si="3"/>
        <v>7</v>
      </c>
      <c r="M92" t="s">
        <v>1809</v>
      </c>
      <c r="N92">
        <v>5</v>
      </c>
      <c r="O92" t="s">
        <v>1814</v>
      </c>
      <c r="P92" t="s">
        <v>1834</v>
      </c>
    </row>
    <row r="93" spans="1:16" x14ac:dyDescent="0.3">
      <c r="A93" t="s">
        <v>104</v>
      </c>
      <c r="B93" t="s">
        <v>1749</v>
      </c>
      <c r="C93">
        <v>26</v>
      </c>
      <c r="D93" t="s">
        <v>1785</v>
      </c>
      <c r="E93" t="s">
        <v>1792</v>
      </c>
      <c r="F93" t="s">
        <v>1799</v>
      </c>
      <c r="G93" s="5">
        <v>58492</v>
      </c>
      <c r="H93" t="s">
        <v>1803</v>
      </c>
      <c r="I93" t="s">
        <v>1807</v>
      </c>
      <c r="J93" s="2">
        <v>44811</v>
      </c>
      <c r="K93">
        <f t="shared" ca="1" si="2"/>
        <v>3</v>
      </c>
      <c r="L93">
        <f t="shared" ca="1" si="3"/>
        <v>3</v>
      </c>
      <c r="M93" t="s">
        <v>1810</v>
      </c>
      <c r="N93">
        <v>2</v>
      </c>
      <c r="O93" t="s">
        <v>1813</v>
      </c>
      <c r="P93" t="s">
        <v>1833</v>
      </c>
    </row>
    <row r="94" spans="1:16" x14ac:dyDescent="0.3">
      <c r="A94" t="s">
        <v>105</v>
      </c>
      <c r="B94" t="s">
        <v>1766</v>
      </c>
      <c r="C94">
        <v>46</v>
      </c>
      <c r="D94" t="s">
        <v>1783</v>
      </c>
      <c r="E94" t="s">
        <v>1786</v>
      </c>
      <c r="F94" t="s">
        <v>1799</v>
      </c>
      <c r="G94" s="5">
        <v>35322</v>
      </c>
      <c r="H94" t="s">
        <v>1805</v>
      </c>
      <c r="I94" t="s">
        <v>1808</v>
      </c>
      <c r="J94" s="2">
        <v>44612</v>
      </c>
      <c r="K94">
        <f t="shared" ca="1" si="2"/>
        <v>3</v>
      </c>
      <c r="L94">
        <f t="shared" ca="1" si="3"/>
        <v>9</v>
      </c>
      <c r="M94" t="s">
        <v>1810</v>
      </c>
      <c r="N94">
        <v>2</v>
      </c>
      <c r="O94" t="s">
        <v>1814</v>
      </c>
      <c r="P94" t="s">
        <v>1834</v>
      </c>
    </row>
    <row r="95" spans="1:16" x14ac:dyDescent="0.3">
      <c r="A95" t="s">
        <v>106</v>
      </c>
      <c r="B95" t="s">
        <v>1755</v>
      </c>
      <c r="C95">
        <v>38</v>
      </c>
      <c r="D95" t="s">
        <v>1785</v>
      </c>
      <c r="E95" t="s">
        <v>1789</v>
      </c>
      <c r="F95" t="s">
        <v>1800</v>
      </c>
      <c r="G95" s="5">
        <v>33095</v>
      </c>
      <c r="H95" t="s">
        <v>1801</v>
      </c>
      <c r="I95" t="s">
        <v>1807</v>
      </c>
      <c r="J95" s="2">
        <v>45527</v>
      </c>
      <c r="K95">
        <f t="shared" ca="1" si="2"/>
        <v>1</v>
      </c>
      <c r="L95">
        <f t="shared" ca="1" si="3"/>
        <v>3</v>
      </c>
      <c r="M95" t="s">
        <v>1809</v>
      </c>
      <c r="N95">
        <v>4</v>
      </c>
      <c r="O95" t="s">
        <v>1817</v>
      </c>
      <c r="P95" t="s">
        <v>1831</v>
      </c>
    </row>
    <row r="96" spans="1:16" x14ac:dyDescent="0.3">
      <c r="A96" t="s">
        <v>107</v>
      </c>
      <c r="B96" t="s">
        <v>1765</v>
      </c>
      <c r="C96">
        <v>45</v>
      </c>
      <c r="D96" t="s">
        <v>1783</v>
      </c>
      <c r="E96" t="s">
        <v>1788</v>
      </c>
      <c r="F96" t="s">
        <v>1797</v>
      </c>
      <c r="G96" s="5">
        <v>88329</v>
      </c>
      <c r="H96" t="s">
        <v>1803</v>
      </c>
      <c r="I96" t="s">
        <v>1808</v>
      </c>
      <c r="J96" s="2">
        <v>45193</v>
      </c>
      <c r="K96">
        <f t="shared" ca="1" si="2"/>
        <v>2</v>
      </c>
      <c r="L96">
        <f t="shared" ca="1" si="3"/>
        <v>2</v>
      </c>
      <c r="M96" t="s">
        <v>1810</v>
      </c>
      <c r="N96">
        <v>5</v>
      </c>
      <c r="O96" t="s">
        <v>1811</v>
      </c>
      <c r="P96" t="s">
        <v>1831</v>
      </c>
    </row>
    <row r="97" spans="1:16" x14ac:dyDescent="0.3">
      <c r="A97" t="s">
        <v>108</v>
      </c>
      <c r="B97" t="s">
        <v>1724</v>
      </c>
      <c r="C97">
        <v>34</v>
      </c>
      <c r="D97" t="s">
        <v>1784</v>
      </c>
      <c r="E97" t="s">
        <v>1792</v>
      </c>
      <c r="F97" t="s">
        <v>1795</v>
      </c>
      <c r="G97" s="5">
        <v>99205</v>
      </c>
      <c r="H97" t="s">
        <v>1804</v>
      </c>
      <c r="I97" t="s">
        <v>1806</v>
      </c>
      <c r="J97" s="2">
        <v>43344</v>
      </c>
      <c r="K97">
        <f t="shared" ca="1" si="2"/>
        <v>7</v>
      </c>
      <c r="L97">
        <f t="shared" ca="1" si="3"/>
        <v>3</v>
      </c>
      <c r="M97" t="s">
        <v>1809</v>
      </c>
      <c r="N97">
        <v>4</v>
      </c>
      <c r="O97" t="s">
        <v>1814</v>
      </c>
      <c r="P97" t="s">
        <v>1833</v>
      </c>
    </row>
    <row r="98" spans="1:16" x14ac:dyDescent="0.3">
      <c r="A98" t="s">
        <v>109</v>
      </c>
      <c r="B98" t="s">
        <v>1716</v>
      </c>
      <c r="C98">
        <v>28</v>
      </c>
      <c r="D98" t="s">
        <v>1783</v>
      </c>
      <c r="E98" t="s">
        <v>1792</v>
      </c>
      <c r="F98" t="s">
        <v>1800</v>
      </c>
      <c r="G98" s="5">
        <v>57893</v>
      </c>
      <c r="H98" t="s">
        <v>1801</v>
      </c>
      <c r="I98" t="s">
        <v>1807</v>
      </c>
      <c r="J98" s="2">
        <v>43399</v>
      </c>
      <c r="K98">
        <f t="shared" ca="1" si="2"/>
        <v>7</v>
      </c>
      <c r="L98">
        <f t="shared" ca="1" si="3"/>
        <v>1</v>
      </c>
      <c r="M98" t="s">
        <v>1809</v>
      </c>
      <c r="N98">
        <v>4</v>
      </c>
      <c r="O98" t="s">
        <v>1812</v>
      </c>
      <c r="P98" t="s">
        <v>1833</v>
      </c>
    </row>
    <row r="99" spans="1:16" x14ac:dyDescent="0.3">
      <c r="A99" t="s">
        <v>110</v>
      </c>
      <c r="B99" t="s">
        <v>1758</v>
      </c>
      <c r="C99">
        <v>54</v>
      </c>
      <c r="D99" t="s">
        <v>1784</v>
      </c>
      <c r="E99" t="s">
        <v>1791</v>
      </c>
      <c r="F99" t="s">
        <v>1794</v>
      </c>
      <c r="G99" s="5">
        <v>72379</v>
      </c>
      <c r="H99" t="s">
        <v>1801</v>
      </c>
      <c r="I99" t="s">
        <v>1808</v>
      </c>
      <c r="J99" s="2">
        <v>44959</v>
      </c>
      <c r="K99">
        <f t="shared" ca="1" si="2"/>
        <v>2</v>
      </c>
      <c r="L99">
        <f t="shared" ca="1" si="3"/>
        <v>10</v>
      </c>
      <c r="M99" t="s">
        <v>1810</v>
      </c>
      <c r="N99">
        <v>3</v>
      </c>
      <c r="O99" t="s">
        <v>1818</v>
      </c>
      <c r="P99" t="s">
        <v>1834</v>
      </c>
    </row>
    <row r="100" spans="1:16" x14ac:dyDescent="0.3">
      <c r="A100" t="s">
        <v>111</v>
      </c>
      <c r="B100" t="s">
        <v>1722</v>
      </c>
      <c r="C100">
        <v>48</v>
      </c>
      <c r="D100" t="s">
        <v>1784</v>
      </c>
      <c r="E100" t="s">
        <v>1786</v>
      </c>
      <c r="F100" t="s">
        <v>1797</v>
      </c>
      <c r="G100" s="5">
        <v>65537</v>
      </c>
      <c r="H100" t="s">
        <v>1804</v>
      </c>
      <c r="I100" t="s">
        <v>1806</v>
      </c>
      <c r="J100" s="2">
        <v>45079</v>
      </c>
      <c r="K100">
        <f t="shared" ca="1" si="2"/>
        <v>2</v>
      </c>
      <c r="L100">
        <f t="shared" ca="1" si="3"/>
        <v>6</v>
      </c>
      <c r="M100" t="s">
        <v>1810</v>
      </c>
      <c r="N100">
        <v>1</v>
      </c>
      <c r="O100" t="s">
        <v>1811</v>
      </c>
      <c r="P100" t="s">
        <v>1834</v>
      </c>
    </row>
    <row r="101" spans="1:16" x14ac:dyDescent="0.3">
      <c r="A101" t="s">
        <v>112</v>
      </c>
      <c r="B101" t="s">
        <v>1734</v>
      </c>
      <c r="C101">
        <v>27</v>
      </c>
      <c r="D101" t="s">
        <v>1784</v>
      </c>
      <c r="E101" t="s">
        <v>1793</v>
      </c>
      <c r="F101" t="s">
        <v>1798</v>
      </c>
      <c r="G101" s="5">
        <v>104870</v>
      </c>
      <c r="H101" t="s">
        <v>1805</v>
      </c>
      <c r="I101" t="s">
        <v>1807</v>
      </c>
      <c r="J101" s="2">
        <v>42645</v>
      </c>
      <c r="K101">
        <f t="shared" ca="1" si="2"/>
        <v>9</v>
      </c>
      <c r="L101">
        <f t="shared" ca="1" si="3"/>
        <v>2</v>
      </c>
      <c r="M101" t="s">
        <v>1810</v>
      </c>
      <c r="N101">
        <v>2</v>
      </c>
      <c r="O101" t="s">
        <v>1816</v>
      </c>
      <c r="P101" t="s">
        <v>1833</v>
      </c>
    </row>
    <row r="102" spans="1:16" x14ac:dyDescent="0.3">
      <c r="A102" t="s">
        <v>113</v>
      </c>
      <c r="B102" t="s">
        <v>1729</v>
      </c>
      <c r="C102">
        <v>24</v>
      </c>
      <c r="D102" t="s">
        <v>1785</v>
      </c>
      <c r="E102" t="s">
        <v>1786</v>
      </c>
      <c r="F102" t="s">
        <v>1798</v>
      </c>
      <c r="G102" s="5">
        <v>94858</v>
      </c>
      <c r="H102" t="s">
        <v>1802</v>
      </c>
      <c r="I102" t="s">
        <v>1808</v>
      </c>
      <c r="J102" s="2">
        <v>45609</v>
      </c>
      <c r="K102">
        <f t="shared" ca="1" si="2"/>
        <v>1</v>
      </c>
      <c r="L102">
        <f t="shared" ca="1" si="3"/>
        <v>0</v>
      </c>
      <c r="M102" t="s">
        <v>1809</v>
      </c>
      <c r="N102">
        <v>5</v>
      </c>
      <c r="O102" t="s">
        <v>1818</v>
      </c>
      <c r="P102" t="s">
        <v>1832</v>
      </c>
    </row>
    <row r="103" spans="1:16" x14ac:dyDescent="0.3">
      <c r="A103" t="s">
        <v>114</v>
      </c>
      <c r="B103" t="s">
        <v>1725</v>
      </c>
      <c r="C103">
        <v>29</v>
      </c>
      <c r="D103" t="s">
        <v>1783</v>
      </c>
      <c r="E103" t="s">
        <v>1788</v>
      </c>
      <c r="F103" t="s">
        <v>1797</v>
      </c>
      <c r="G103" s="5">
        <v>40871</v>
      </c>
      <c r="H103" t="s">
        <v>1801</v>
      </c>
      <c r="I103" t="s">
        <v>1807</v>
      </c>
      <c r="J103" s="2">
        <v>42498</v>
      </c>
      <c r="K103">
        <f t="shared" ca="1" si="2"/>
        <v>9</v>
      </c>
      <c r="L103">
        <f t="shared" ca="1" si="3"/>
        <v>7</v>
      </c>
      <c r="M103" t="s">
        <v>1810</v>
      </c>
      <c r="N103">
        <v>2</v>
      </c>
      <c r="O103" t="s">
        <v>1817</v>
      </c>
      <c r="P103" t="s">
        <v>1833</v>
      </c>
    </row>
    <row r="104" spans="1:16" x14ac:dyDescent="0.3">
      <c r="A104" t="s">
        <v>115</v>
      </c>
      <c r="B104" t="s">
        <v>1752</v>
      </c>
      <c r="C104">
        <v>36</v>
      </c>
      <c r="D104" t="s">
        <v>1783</v>
      </c>
      <c r="E104" t="s">
        <v>1791</v>
      </c>
      <c r="F104" t="s">
        <v>1800</v>
      </c>
      <c r="G104" s="5">
        <v>115218</v>
      </c>
      <c r="H104" t="s">
        <v>1805</v>
      </c>
      <c r="I104" t="s">
        <v>1807</v>
      </c>
      <c r="J104" s="2">
        <v>45492</v>
      </c>
      <c r="K104">
        <f t="shared" ca="1" si="2"/>
        <v>1</v>
      </c>
      <c r="L104">
        <f t="shared" ca="1" si="3"/>
        <v>4</v>
      </c>
      <c r="M104" t="s">
        <v>1809</v>
      </c>
      <c r="N104">
        <v>4</v>
      </c>
      <c r="O104" t="s">
        <v>1812</v>
      </c>
      <c r="P104" t="s">
        <v>1831</v>
      </c>
    </row>
    <row r="105" spans="1:16" x14ac:dyDescent="0.3">
      <c r="A105" t="s">
        <v>116</v>
      </c>
      <c r="B105" t="s">
        <v>1753</v>
      </c>
      <c r="C105">
        <v>57</v>
      </c>
      <c r="D105" t="s">
        <v>1783</v>
      </c>
      <c r="E105" t="s">
        <v>1790</v>
      </c>
      <c r="F105" t="s">
        <v>1798</v>
      </c>
      <c r="G105" s="5">
        <v>84039</v>
      </c>
      <c r="H105" t="s">
        <v>1805</v>
      </c>
      <c r="I105" t="s">
        <v>1807</v>
      </c>
      <c r="J105" s="2">
        <v>45416</v>
      </c>
      <c r="K105">
        <f t="shared" ca="1" si="2"/>
        <v>1</v>
      </c>
      <c r="L105">
        <f t="shared" ca="1" si="3"/>
        <v>7</v>
      </c>
      <c r="M105" t="s">
        <v>1810</v>
      </c>
      <c r="N105">
        <v>4</v>
      </c>
      <c r="O105" t="s">
        <v>1818</v>
      </c>
      <c r="P105" t="s">
        <v>1834</v>
      </c>
    </row>
    <row r="106" spans="1:16" x14ac:dyDescent="0.3">
      <c r="A106" t="s">
        <v>117</v>
      </c>
      <c r="B106" t="s">
        <v>1768</v>
      </c>
      <c r="C106">
        <v>45</v>
      </c>
      <c r="D106" t="s">
        <v>1784</v>
      </c>
      <c r="E106" t="s">
        <v>1793</v>
      </c>
      <c r="F106" t="s">
        <v>1794</v>
      </c>
      <c r="G106" s="5">
        <v>82260</v>
      </c>
      <c r="H106" t="s">
        <v>1803</v>
      </c>
      <c r="I106" t="s">
        <v>1807</v>
      </c>
      <c r="J106" s="2">
        <v>42768</v>
      </c>
      <c r="K106">
        <f t="shared" ca="1" si="2"/>
        <v>8</v>
      </c>
      <c r="L106">
        <f t="shared" ca="1" si="3"/>
        <v>10</v>
      </c>
      <c r="M106" t="s">
        <v>1810</v>
      </c>
      <c r="N106">
        <v>5</v>
      </c>
      <c r="O106" t="s">
        <v>1816</v>
      </c>
      <c r="P106" t="s">
        <v>1831</v>
      </c>
    </row>
    <row r="107" spans="1:16" x14ac:dyDescent="0.3">
      <c r="A107" t="s">
        <v>118</v>
      </c>
      <c r="B107" t="s">
        <v>1769</v>
      </c>
      <c r="C107">
        <v>37</v>
      </c>
      <c r="D107" t="s">
        <v>1785</v>
      </c>
      <c r="E107" t="s">
        <v>1789</v>
      </c>
      <c r="F107" t="s">
        <v>1795</v>
      </c>
      <c r="G107" s="5">
        <v>67925</v>
      </c>
      <c r="H107" t="s">
        <v>1805</v>
      </c>
      <c r="I107" t="s">
        <v>1808</v>
      </c>
      <c r="J107" s="2">
        <v>44296</v>
      </c>
      <c r="K107">
        <f t="shared" ca="1" si="2"/>
        <v>4</v>
      </c>
      <c r="L107">
        <f t="shared" ca="1" si="3"/>
        <v>8</v>
      </c>
      <c r="M107" t="s">
        <v>1810</v>
      </c>
      <c r="N107">
        <v>1</v>
      </c>
      <c r="O107" t="s">
        <v>1813</v>
      </c>
      <c r="P107" t="s">
        <v>1831</v>
      </c>
    </row>
    <row r="108" spans="1:16" x14ac:dyDescent="0.3">
      <c r="A108" t="s">
        <v>119</v>
      </c>
      <c r="B108" t="s">
        <v>1719</v>
      </c>
      <c r="C108">
        <v>33</v>
      </c>
      <c r="D108" t="s">
        <v>1784</v>
      </c>
      <c r="E108" t="s">
        <v>1790</v>
      </c>
      <c r="F108" t="s">
        <v>1800</v>
      </c>
      <c r="G108" s="5">
        <v>47949</v>
      </c>
      <c r="H108" t="s">
        <v>1804</v>
      </c>
      <c r="I108" t="s">
        <v>1808</v>
      </c>
      <c r="J108" s="2">
        <v>44071</v>
      </c>
      <c r="K108">
        <f t="shared" ca="1" si="2"/>
        <v>5</v>
      </c>
      <c r="L108">
        <f t="shared" ca="1" si="3"/>
        <v>3</v>
      </c>
      <c r="M108" t="s">
        <v>1810</v>
      </c>
      <c r="N108">
        <v>1</v>
      </c>
      <c r="O108" t="s">
        <v>1817</v>
      </c>
      <c r="P108" t="s">
        <v>1833</v>
      </c>
    </row>
    <row r="109" spans="1:16" x14ac:dyDescent="0.3">
      <c r="A109" t="s">
        <v>120</v>
      </c>
      <c r="B109" t="s">
        <v>1754</v>
      </c>
      <c r="C109">
        <v>36</v>
      </c>
      <c r="D109" t="s">
        <v>1784</v>
      </c>
      <c r="E109" t="s">
        <v>1791</v>
      </c>
      <c r="F109" t="s">
        <v>1800</v>
      </c>
      <c r="G109" s="5">
        <v>108023</v>
      </c>
      <c r="H109" t="s">
        <v>1801</v>
      </c>
      <c r="I109" t="s">
        <v>1807</v>
      </c>
      <c r="J109" s="2">
        <v>45844</v>
      </c>
      <c r="K109">
        <f t="shared" ca="1" si="2"/>
        <v>0</v>
      </c>
      <c r="L109">
        <f t="shared" ca="1" si="3"/>
        <v>5</v>
      </c>
      <c r="M109" t="s">
        <v>1809</v>
      </c>
      <c r="N109">
        <v>1</v>
      </c>
      <c r="O109" t="s">
        <v>1811</v>
      </c>
      <c r="P109" t="s">
        <v>1831</v>
      </c>
    </row>
    <row r="110" spans="1:16" x14ac:dyDescent="0.3">
      <c r="A110" t="s">
        <v>121</v>
      </c>
      <c r="B110" t="s">
        <v>1745</v>
      </c>
      <c r="C110">
        <v>43</v>
      </c>
      <c r="D110" t="s">
        <v>1783</v>
      </c>
      <c r="E110" t="s">
        <v>1792</v>
      </c>
      <c r="F110" t="s">
        <v>1795</v>
      </c>
      <c r="G110" s="5">
        <v>94869</v>
      </c>
      <c r="H110" t="s">
        <v>1805</v>
      </c>
      <c r="I110" t="s">
        <v>1808</v>
      </c>
      <c r="J110" s="2">
        <v>45182</v>
      </c>
      <c r="K110">
        <f t="shared" ca="1" si="2"/>
        <v>2</v>
      </c>
      <c r="L110">
        <f t="shared" ca="1" si="3"/>
        <v>2</v>
      </c>
      <c r="M110" t="s">
        <v>1809</v>
      </c>
      <c r="N110">
        <v>4</v>
      </c>
      <c r="O110" t="s">
        <v>1817</v>
      </c>
      <c r="P110" t="s">
        <v>1831</v>
      </c>
    </row>
    <row r="111" spans="1:16" x14ac:dyDescent="0.3">
      <c r="A111" t="s">
        <v>122</v>
      </c>
      <c r="B111" t="s">
        <v>1750</v>
      </c>
      <c r="C111">
        <v>23</v>
      </c>
      <c r="D111" t="s">
        <v>1784</v>
      </c>
      <c r="E111" t="s">
        <v>1788</v>
      </c>
      <c r="F111" t="s">
        <v>1797</v>
      </c>
      <c r="G111" s="5">
        <v>64090</v>
      </c>
      <c r="H111" t="s">
        <v>1805</v>
      </c>
      <c r="I111" t="s">
        <v>1806</v>
      </c>
      <c r="J111" s="2">
        <v>43309</v>
      </c>
      <c r="K111">
        <f t="shared" ca="1" si="2"/>
        <v>7</v>
      </c>
      <c r="L111">
        <f t="shared" ca="1" si="3"/>
        <v>4</v>
      </c>
      <c r="M111" t="s">
        <v>1809</v>
      </c>
      <c r="N111">
        <v>4</v>
      </c>
      <c r="O111" t="s">
        <v>1815</v>
      </c>
      <c r="P111" t="s">
        <v>1832</v>
      </c>
    </row>
    <row r="112" spans="1:16" x14ac:dyDescent="0.3">
      <c r="A112" t="s">
        <v>123</v>
      </c>
      <c r="B112" t="s">
        <v>1757</v>
      </c>
      <c r="C112">
        <v>55</v>
      </c>
      <c r="D112" t="s">
        <v>1784</v>
      </c>
      <c r="E112" t="s">
        <v>1793</v>
      </c>
      <c r="F112" t="s">
        <v>1796</v>
      </c>
      <c r="G112" s="5">
        <v>117956</v>
      </c>
      <c r="H112" t="s">
        <v>1805</v>
      </c>
      <c r="I112" t="s">
        <v>1807</v>
      </c>
      <c r="J112" s="2">
        <v>45744</v>
      </c>
      <c r="K112">
        <f t="shared" ca="1" si="2"/>
        <v>0</v>
      </c>
      <c r="L112">
        <f t="shared" ca="1" si="3"/>
        <v>8</v>
      </c>
      <c r="M112" t="s">
        <v>1810</v>
      </c>
      <c r="N112">
        <v>5</v>
      </c>
      <c r="O112" t="s">
        <v>1818</v>
      </c>
      <c r="P112" t="s">
        <v>1834</v>
      </c>
    </row>
    <row r="113" spans="1:16" x14ac:dyDescent="0.3">
      <c r="A113" t="s">
        <v>124</v>
      </c>
      <c r="B113" t="s">
        <v>1760</v>
      </c>
      <c r="C113">
        <v>37</v>
      </c>
      <c r="D113" t="s">
        <v>1783</v>
      </c>
      <c r="E113" t="s">
        <v>1791</v>
      </c>
      <c r="F113" t="s">
        <v>1794</v>
      </c>
      <c r="G113" s="5">
        <v>53818</v>
      </c>
      <c r="H113" t="s">
        <v>1804</v>
      </c>
      <c r="I113" t="s">
        <v>1808</v>
      </c>
      <c r="J113" s="2">
        <v>43875</v>
      </c>
      <c r="K113">
        <f t="shared" ca="1" si="2"/>
        <v>5</v>
      </c>
      <c r="L113">
        <f t="shared" ca="1" si="3"/>
        <v>9</v>
      </c>
      <c r="M113" t="s">
        <v>1809</v>
      </c>
      <c r="N113">
        <v>2</v>
      </c>
      <c r="O113" t="s">
        <v>1816</v>
      </c>
      <c r="P113" t="s">
        <v>1831</v>
      </c>
    </row>
    <row r="114" spans="1:16" x14ac:dyDescent="0.3">
      <c r="A114" t="s">
        <v>125</v>
      </c>
      <c r="B114" t="s">
        <v>1760</v>
      </c>
      <c r="C114">
        <v>45</v>
      </c>
      <c r="D114" t="s">
        <v>1783</v>
      </c>
      <c r="E114" t="s">
        <v>1791</v>
      </c>
      <c r="F114" t="s">
        <v>1794</v>
      </c>
      <c r="G114" s="5">
        <v>115120</v>
      </c>
      <c r="H114" t="s">
        <v>1801</v>
      </c>
      <c r="I114" t="s">
        <v>1807</v>
      </c>
      <c r="J114" s="2">
        <v>45494</v>
      </c>
      <c r="K114">
        <f t="shared" ca="1" si="2"/>
        <v>1</v>
      </c>
      <c r="L114">
        <f t="shared" ca="1" si="3"/>
        <v>4</v>
      </c>
      <c r="M114" t="s">
        <v>1809</v>
      </c>
      <c r="N114">
        <v>4</v>
      </c>
      <c r="O114" t="s">
        <v>1811</v>
      </c>
      <c r="P114" t="s">
        <v>1831</v>
      </c>
    </row>
    <row r="115" spans="1:16" x14ac:dyDescent="0.3">
      <c r="A115" t="s">
        <v>126</v>
      </c>
      <c r="B115" t="s">
        <v>1737</v>
      </c>
      <c r="C115">
        <v>30</v>
      </c>
      <c r="D115" t="s">
        <v>1784</v>
      </c>
      <c r="E115" t="s">
        <v>1788</v>
      </c>
      <c r="F115" t="s">
        <v>1796</v>
      </c>
      <c r="G115" s="5">
        <v>112581</v>
      </c>
      <c r="H115" t="s">
        <v>1805</v>
      </c>
      <c r="I115" t="s">
        <v>1806</v>
      </c>
      <c r="J115" s="2">
        <v>42785</v>
      </c>
      <c r="K115">
        <f t="shared" ca="1" si="2"/>
        <v>8</v>
      </c>
      <c r="L115">
        <f t="shared" ca="1" si="3"/>
        <v>9</v>
      </c>
      <c r="M115" t="s">
        <v>1809</v>
      </c>
      <c r="N115">
        <v>2</v>
      </c>
      <c r="O115" t="s">
        <v>1816</v>
      </c>
      <c r="P115" t="s">
        <v>1833</v>
      </c>
    </row>
    <row r="116" spans="1:16" x14ac:dyDescent="0.3">
      <c r="A116" t="s">
        <v>127</v>
      </c>
      <c r="B116" t="s">
        <v>1736</v>
      </c>
      <c r="C116">
        <v>25</v>
      </c>
      <c r="D116" t="s">
        <v>1784</v>
      </c>
      <c r="E116" t="s">
        <v>1790</v>
      </c>
      <c r="F116" t="s">
        <v>1800</v>
      </c>
      <c r="G116" s="5">
        <v>104761</v>
      </c>
      <c r="H116" t="s">
        <v>1803</v>
      </c>
      <c r="I116" t="s">
        <v>1806</v>
      </c>
      <c r="J116" s="2">
        <v>44248</v>
      </c>
      <c r="K116">
        <f t="shared" ca="1" si="2"/>
        <v>4</v>
      </c>
      <c r="L116">
        <f t="shared" ca="1" si="3"/>
        <v>9</v>
      </c>
      <c r="M116" t="s">
        <v>1810</v>
      </c>
      <c r="N116">
        <v>3</v>
      </c>
      <c r="O116" t="s">
        <v>1815</v>
      </c>
      <c r="P116" t="s">
        <v>1832</v>
      </c>
    </row>
    <row r="117" spans="1:16" x14ac:dyDescent="0.3">
      <c r="A117" t="s">
        <v>128</v>
      </c>
      <c r="B117" t="s">
        <v>1764</v>
      </c>
      <c r="C117">
        <v>42</v>
      </c>
      <c r="D117" t="s">
        <v>1784</v>
      </c>
      <c r="E117" t="s">
        <v>1793</v>
      </c>
      <c r="F117" t="s">
        <v>1794</v>
      </c>
      <c r="G117" s="5">
        <v>55125</v>
      </c>
      <c r="H117" t="s">
        <v>1805</v>
      </c>
      <c r="I117" t="s">
        <v>1808</v>
      </c>
      <c r="J117" s="2">
        <v>44596</v>
      </c>
      <c r="K117">
        <f t="shared" ca="1" si="2"/>
        <v>3</v>
      </c>
      <c r="L117">
        <f t="shared" ca="1" si="3"/>
        <v>10</v>
      </c>
      <c r="M117" t="s">
        <v>1810</v>
      </c>
      <c r="N117">
        <v>1</v>
      </c>
      <c r="O117" t="s">
        <v>1815</v>
      </c>
      <c r="P117" t="s">
        <v>1831</v>
      </c>
    </row>
    <row r="118" spans="1:16" x14ac:dyDescent="0.3">
      <c r="A118" t="s">
        <v>129</v>
      </c>
      <c r="B118" t="s">
        <v>1744</v>
      </c>
      <c r="C118">
        <v>23</v>
      </c>
      <c r="D118" t="s">
        <v>1783</v>
      </c>
      <c r="E118" t="s">
        <v>1786</v>
      </c>
      <c r="F118" t="s">
        <v>1798</v>
      </c>
      <c r="G118" s="5">
        <v>57507</v>
      </c>
      <c r="H118" t="s">
        <v>1802</v>
      </c>
      <c r="I118" t="s">
        <v>1808</v>
      </c>
      <c r="J118" s="2">
        <v>43623</v>
      </c>
      <c r="K118">
        <f t="shared" ca="1" si="2"/>
        <v>6</v>
      </c>
      <c r="L118">
        <f t="shared" ca="1" si="3"/>
        <v>6</v>
      </c>
      <c r="M118" t="s">
        <v>1810</v>
      </c>
      <c r="N118">
        <v>1</v>
      </c>
      <c r="O118" t="s">
        <v>1818</v>
      </c>
      <c r="P118" t="s">
        <v>1832</v>
      </c>
    </row>
    <row r="119" spans="1:16" x14ac:dyDescent="0.3">
      <c r="A119" t="s">
        <v>130</v>
      </c>
      <c r="B119" t="s">
        <v>1747</v>
      </c>
      <c r="C119">
        <v>47</v>
      </c>
      <c r="D119" t="s">
        <v>1783</v>
      </c>
      <c r="E119" t="s">
        <v>1791</v>
      </c>
      <c r="F119" t="s">
        <v>1795</v>
      </c>
      <c r="G119" s="5">
        <v>67834</v>
      </c>
      <c r="H119" t="s">
        <v>1802</v>
      </c>
      <c r="I119" t="s">
        <v>1806</v>
      </c>
      <c r="J119" s="2">
        <v>44726</v>
      </c>
      <c r="K119">
        <f t="shared" ca="1" si="2"/>
        <v>3</v>
      </c>
      <c r="L119">
        <f t="shared" ca="1" si="3"/>
        <v>5</v>
      </c>
      <c r="M119" t="s">
        <v>1810</v>
      </c>
      <c r="N119">
        <v>1</v>
      </c>
      <c r="O119" t="s">
        <v>1811</v>
      </c>
      <c r="P119" t="s">
        <v>1834</v>
      </c>
    </row>
    <row r="120" spans="1:16" x14ac:dyDescent="0.3">
      <c r="A120" t="s">
        <v>131</v>
      </c>
      <c r="B120" t="s">
        <v>1768</v>
      </c>
      <c r="C120">
        <v>21</v>
      </c>
      <c r="D120" t="s">
        <v>1784</v>
      </c>
      <c r="E120" t="s">
        <v>1793</v>
      </c>
      <c r="F120" t="s">
        <v>1795</v>
      </c>
      <c r="G120" s="5">
        <v>59033</v>
      </c>
      <c r="H120" t="s">
        <v>1803</v>
      </c>
      <c r="I120" t="s">
        <v>1806</v>
      </c>
      <c r="J120" s="2">
        <v>44094</v>
      </c>
      <c r="K120">
        <f t="shared" ca="1" si="2"/>
        <v>5</v>
      </c>
      <c r="L120">
        <f t="shared" ca="1" si="3"/>
        <v>2</v>
      </c>
      <c r="M120" t="s">
        <v>1810</v>
      </c>
      <c r="N120">
        <v>3</v>
      </c>
      <c r="O120" t="s">
        <v>1813</v>
      </c>
      <c r="P120" t="s">
        <v>1832</v>
      </c>
    </row>
    <row r="121" spans="1:16" x14ac:dyDescent="0.3">
      <c r="A121" t="s">
        <v>132</v>
      </c>
      <c r="B121" t="s">
        <v>1716</v>
      </c>
      <c r="C121">
        <v>40</v>
      </c>
      <c r="D121" t="s">
        <v>1783</v>
      </c>
      <c r="E121" t="s">
        <v>1790</v>
      </c>
      <c r="F121" t="s">
        <v>1796</v>
      </c>
      <c r="G121" s="5">
        <v>108388</v>
      </c>
      <c r="H121" t="s">
        <v>1801</v>
      </c>
      <c r="I121" t="s">
        <v>1808</v>
      </c>
      <c r="J121" s="2">
        <v>45897</v>
      </c>
      <c r="K121">
        <f t="shared" ca="1" si="2"/>
        <v>0</v>
      </c>
      <c r="L121">
        <f t="shared" ca="1" si="3"/>
        <v>3</v>
      </c>
      <c r="M121" t="s">
        <v>1809</v>
      </c>
      <c r="N121">
        <v>2</v>
      </c>
      <c r="O121" t="s">
        <v>1811</v>
      </c>
      <c r="P121" t="s">
        <v>1831</v>
      </c>
    </row>
    <row r="122" spans="1:16" x14ac:dyDescent="0.3">
      <c r="A122" t="s">
        <v>133</v>
      </c>
      <c r="B122" t="s">
        <v>1770</v>
      </c>
      <c r="C122">
        <v>53</v>
      </c>
      <c r="D122" t="s">
        <v>1783</v>
      </c>
      <c r="E122" t="s">
        <v>1787</v>
      </c>
      <c r="F122" t="s">
        <v>1794</v>
      </c>
      <c r="G122" s="5">
        <v>58668</v>
      </c>
      <c r="H122" t="s">
        <v>1804</v>
      </c>
      <c r="I122" t="s">
        <v>1807</v>
      </c>
      <c r="J122" s="2">
        <v>43802</v>
      </c>
      <c r="K122">
        <f t="shared" ca="1" si="2"/>
        <v>6</v>
      </c>
      <c r="L122">
        <f t="shared" ca="1" si="3"/>
        <v>0</v>
      </c>
      <c r="M122" t="s">
        <v>1809</v>
      </c>
      <c r="N122">
        <v>1</v>
      </c>
      <c r="O122" t="s">
        <v>1813</v>
      </c>
      <c r="P122" t="s">
        <v>1834</v>
      </c>
    </row>
    <row r="123" spans="1:16" x14ac:dyDescent="0.3">
      <c r="A123" t="s">
        <v>134</v>
      </c>
      <c r="B123" t="s">
        <v>1771</v>
      </c>
      <c r="C123">
        <v>32</v>
      </c>
      <c r="D123" t="s">
        <v>1784</v>
      </c>
      <c r="E123" t="s">
        <v>1789</v>
      </c>
      <c r="F123" t="s">
        <v>1799</v>
      </c>
      <c r="G123" s="5">
        <v>113339</v>
      </c>
      <c r="H123" t="s">
        <v>1802</v>
      </c>
      <c r="I123" t="s">
        <v>1807</v>
      </c>
      <c r="J123" s="2">
        <v>42859</v>
      </c>
      <c r="K123">
        <f t="shared" ca="1" si="2"/>
        <v>8</v>
      </c>
      <c r="L123">
        <f t="shared" ca="1" si="3"/>
        <v>7</v>
      </c>
      <c r="M123" t="s">
        <v>1809</v>
      </c>
      <c r="N123">
        <v>3</v>
      </c>
      <c r="O123" t="s">
        <v>1815</v>
      </c>
      <c r="P123" t="s">
        <v>1833</v>
      </c>
    </row>
    <row r="124" spans="1:16" x14ac:dyDescent="0.3">
      <c r="A124" t="s">
        <v>135</v>
      </c>
      <c r="B124" t="s">
        <v>1772</v>
      </c>
      <c r="C124">
        <v>29</v>
      </c>
      <c r="D124" t="s">
        <v>1785</v>
      </c>
      <c r="E124" t="s">
        <v>1793</v>
      </c>
      <c r="F124" t="s">
        <v>1799</v>
      </c>
      <c r="G124" s="5">
        <v>41218</v>
      </c>
      <c r="H124" t="s">
        <v>1803</v>
      </c>
      <c r="I124" t="s">
        <v>1808</v>
      </c>
      <c r="J124" s="2">
        <v>45528</v>
      </c>
      <c r="K124">
        <f t="shared" ca="1" si="2"/>
        <v>1</v>
      </c>
      <c r="L124">
        <f t="shared" ca="1" si="3"/>
        <v>3</v>
      </c>
      <c r="M124" t="s">
        <v>1810</v>
      </c>
      <c r="N124">
        <v>5</v>
      </c>
      <c r="O124" t="s">
        <v>1817</v>
      </c>
      <c r="P124" t="s">
        <v>1833</v>
      </c>
    </row>
    <row r="125" spans="1:16" x14ac:dyDescent="0.3">
      <c r="A125" t="s">
        <v>136</v>
      </c>
      <c r="B125" t="s">
        <v>1722</v>
      </c>
      <c r="C125">
        <v>48</v>
      </c>
      <c r="D125" t="s">
        <v>1783</v>
      </c>
      <c r="E125" t="s">
        <v>1790</v>
      </c>
      <c r="F125" t="s">
        <v>1794</v>
      </c>
      <c r="G125" s="5">
        <v>75961</v>
      </c>
      <c r="H125" t="s">
        <v>1804</v>
      </c>
      <c r="I125" t="s">
        <v>1808</v>
      </c>
      <c r="J125" s="2">
        <v>44860</v>
      </c>
      <c r="K125">
        <f t="shared" ca="1" si="2"/>
        <v>3</v>
      </c>
      <c r="L125">
        <f t="shared" ca="1" si="3"/>
        <v>1</v>
      </c>
      <c r="M125" t="s">
        <v>1809</v>
      </c>
      <c r="N125">
        <v>3</v>
      </c>
      <c r="O125" t="s">
        <v>1813</v>
      </c>
      <c r="P125" t="s">
        <v>1834</v>
      </c>
    </row>
    <row r="126" spans="1:16" x14ac:dyDescent="0.3">
      <c r="A126" t="s">
        <v>137</v>
      </c>
      <c r="B126" t="s">
        <v>1728</v>
      </c>
      <c r="C126">
        <v>48</v>
      </c>
      <c r="D126" t="s">
        <v>1783</v>
      </c>
      <c r="E126" t="s">
        <v>1792</v>
      </c>
      <c r="F126" t="s">
        <v>1799</v>
      </c>
      <c r="G126" s="5">
        <v>66331</v>
      </c>
      <c r="H126" t="s">
        <v>1804</v>
      </c>
      <c r="I126" t="s">
        <v>1807</v>
      </c>
      <c r="J126" s="2">
        <v>45078</v>
      </c>
      <c r="K126">
        <f t="shared" ca="1" si="2"/>
        <v>2</v>
      </c>
      <c r="L126">
        <f t="shared" ca="1" si="3"/>
        <v>6</v>
      </c>
      <c r="M126" t="s">
        <v>1809</v>
      </c>
      <c r="N126">
        <v>5</v>
      </c>
      <c r="O126" t="s">
        <v>1811</v>
      </c>
      <c r="P126" t="s">
        <v>1834</v>
      </c>
    </row>
    <row r="127" spans="1:16" x14ac:dyDescent="0.3">
      <c r="A127" t="s">
        <v>138</v>
      </c>
      <c r="B127" t="s">
        <v>1773</v>
      </c>
      <c r="C127">
        <v>55</v>
      </c>
      <c r="D127" t="s">
        <v>1785</v>
      </c>
      <c r="E127" t="s">
        <v>1792</v>
      </c>
      <c r="F127" t="s">
        <v>1799</v>
      </c>
      <c r="G127" s="5">
        <v>76947</v>
      </c>
      <c r="H127" t="s">
        <v>1805</v>
      </c>
      <c r="I127" t="s">
        <v>1806</v>
      </c>
      <c r="J127" s="2">
        <v>43209</v>
      </c>
      <c r="K127">
        <f t="shared" ca="1" si="2"/>
        <v>7</v>
      </c>
      <c r="L127">
        <f t="shared" ca="1" si="3"/>
        <v>7</v>
      </c>
      <c r="M127" t="s">
        <v>1810</v>
      </c>
      <c r="N127">
        <v>5</v>
      </c>
      <c r="O127" t="s">
        <v>1812</v>
      </c>
      <c r="P127" t="s">
        <v>1834</v>
      </c>
    </row>
    <row r="128" spans="1:16" x14ac:dyDescent="0.3">
      <c r="A128" t="s">
        <v>139</v>
      </c>
      <c r="B128" t="s">
        <v>1756</v>
      </c>
      <c r="C128">
        <v>23</v>
      </c>
      <c r="D128" t="s">
        <v>1784</v>
      </c>
      <c r="E128" t="s">
        <v>1793</v>
      </c>
      <c r="F128" t="s">
        <v>1794</v>
      </c>
      <c r="G128" s="5">
        <v>63015</v>
      </c>
      <c r="H128" t="s">
        <v>1801</v>
      </c>
      <c r="I128" t="s">
        <v>1806</v>
      </c>
      <c r="J128" s="2">
        <v>45084</v>
      </c>
      <c r="K128">
        <f t="shared" ca="1" si="2"/>
        <v>2</v>
      </c>
      <c r="L128">
        <f t="shared" ca="1" si="3"/>
        <v>6</v>
      </c>
      <c r="M128" t="s">
        <v>1809</v>
      </c>
      <c r="N128">
        <v>1</v>
      </c>
      <c r="O128" t="s">
        <v>1815</v>
      </c>
      <c r="P128" t="s">
        <v>1832</v>
      </c>
    </row>
    <row r="129" spans="1:16" x14ac:dyDescent="0.3">
      <c r="A129" t="s">
        <v>140</v>
      </c>
      <c r="B129" t="s">
        <v>1774</v>
      </c>
      <c r="C129">
        <v>53</v>
      </c>
      <c r="D129" t="s">
        <v>1785</v>
      </c>
      <c r="E129" t="s">
        <v>1791</v>
      </c>
      <c r="F129" t="s">
        <v>1796</v>
      </c>
      <c r="G129" s="5">
        <v>65696</v>
      </c>
      <c r="H129" t="s">
        <v>1804</v>
      </c>
      <c r="I129" t="s">
        <v>1808</v>
      </c>
      <c r="J129" s="2">
        <v>44112</v>
      </c>
      <c r="K129">
        <f t="shared" ca="1" si="2"/>
        <v>5</v>
      </c>
      <c r="L129">
        <f t="shared" ca="1" si="3"/>
        <v>2</v>
      </c>
      <c r="M129" t="s">
        <v>1810</v>
      </c>
      <c r="N129">
        <v>5</v>
      </c>
      <c r="O129" t="s">
        <v>1818</v>
      </c>
      <c r="P129" t="s">
        <v>1834</v>
      </c>
    </row>
    <row r="130" spans="1:16" x14ac:dyDescent="0.3">
      <c r="A130" t="s">
        <v>141</v>
      </c>
      <c r="B130" t="s">
        <v>1724</v>
      </c>
      <c r="C130">
        <v>41</v>
      </c>
      <c r="D130" t="s">
        <v>1783</v>
      </c>
      <c r="E130" t="s">
        <v>1787</v>
      </c>
      <c r="F130" t="s">
        <v>1796</v>
      </c>
      <c r="G130" s="5">
        <v>55243</v>
      </c>
      <c r="H130" t="s">
        <v>1805</v>
      </c>
      <c r="I130" t="s">
        <v>1807</v>
      </c>
      <c r="J130" s="2">
        <v>43803</v>
      </c>
      <c r="K130">
        <f t="shared" ca="1" si="2"/>
        <v>6</v>
      </c>
      <c r="L130">
        <f t="shared" ca="1" si="3"/>
        <v>0</v>
      </c>
      <c r="M130" t="s">
        <v>1809</v>
      </c>
      <c r="N130">
        <v>5</v>
      </c>
      <c r="O130" t="s">
        <v>1816</v>
      </c>
      <c r="P130" t="s">
        <v>1831</v>
      </c>
    </row>
    <row r="131" spans="1:16" x14ac:dyDescent="0.3">
      <c r="A131" t="s">
        <v>142</v>
      </c>
      <c r="B131" t="s">
        <v>1775</v>
      </c>
      <c r="C131">
        <v>45</v>
      </c>
      <c r="D131" t="s">
        <v>1783</v>
      </c>
      <c r="E131" t="s">
        <v>1793</v>
      </c>
      <c r="F131" t="s">
        <v>1795</v>
      </c>
      <c r="G131" s="5">
        <v>58577</v>
      </c>
      <c r="H131" t="s">
        <v>1803</v>
      </c>
      <c r="I131" t="s">
        <v>1806</v>
      </c>
      <c r="J131" s="2">
        <v>45680</v>
      </c>
      <c r="K131">
        <f t="shared" ref="K131:K194" ca="1" si="4">YEAR(TODAY()) - YEAR(J131)</f>
        <v>0</v>
      </c>
      <c r="L131">
        <f t="shared" ref="L131:L194" ca="1" si="5">DATEDIF(J131,TODAY(),"YM")</f>
        <v>10</v>
      </c>
      <c r="M131" t="s">
        <v>1810</v>
      </c>
      <c r="N131">
        <v>2</v>
      </c>
      <c r="O131" t="s">
        <v>1813</v>
      </c>
      <c r="P131" t="s">
        <v>1831</v>
      </c>
    </row>
    <row r="132" spans="1:16" x14ac:dyDescent="0.3">
      <c r="A132" t="s">
        <v>143</v>
      </c>
      <c r="B132" t="s">
        <v>1744</v>
      </c>
      <c r="C132">
        <v>43</v>
      </c>
      <c r="D132" t="s">
        <v>1783</v>
      </c>
      <c r="E132" t="s">
        <v>1789</v>
      </c>
      <c r="F132" t="s">
        <v>1798</v>
      </c>
      <c r="G132" s="5">
        <v>58483</v>
      </c>
      <c r="H132" t="s">
        <v>1802</v>
      </c>
      <c r="I132" t="s">
        <v>1808</v>
      </c>
      <c r="J132" s="2">
        <v>45576</v>
      </c>
      <c r="K132">
        <f t="shared" ca="1" si="4"/>
        <v>1</v>
      </c>
      <c r="L132">
        <f t="shared" ca="1" si="5"/>
        <v>1</v>
      </c>
      <c r="M132" t="s">
        <v>1810</v>
      </c>
      <c r="N132">
        <v>2</v>
      </c>
      <c r="O132" t="s">
        <v>1815</v>
      </c>
      <c r="P132" t="s">
        <v>1831</v>
      </c>
    </row>
    <row r="133" spans="1:16" x14ac:dyDescent="0.3">
      <c r="A133" t="s">
        <v>144</v>
      </c>
      <c r="B133" t="s">
        <v>1776</v>
      </c>
      <c r="C133">
        <v>24</v>
      </c>
      <c r="D133" t="s">
        <v>1784</v>
      </c>
      <c r="E133" t="s">
        <v>1793</v>
      </c>
      <c r="F133" t="s">
        <v>1799</v>
      </c>
      <c r="G133" s="5">
        <v>84543</v>
      </c>
      <c r="H133" t="s">
        <v>1805</v>
      </c>
      <c r="I133" t="s">
        <v>1806</v>
      </c>
      <c r="J133" s="2">
        <v>44594</v>
      </c>
      <c r="K133">
        <f t="shared" ca="1" si="4"/>
        <v>3</v>
      </c>
      <c r="L133">
        <f t="shared" ca="1" si="5"/>
        <v>10</v>
      </c>
      <c r="M133" t="s">
        <v>1809</v>
      </c>
      <c r="N133">
        <v>3</v>
      </c>
      <c r="O133" t="s">
        <v>1816</v>
      </c>
      <c r="P133" t="s">
        <v>1832</v>
      </c>
    </row>
    <row r="134" spans="1:16" x14ac:dyDescent="0.3">
      <c r="A134" t="s">
        <v>145</v>
      </c>
      <c r="B134" t="s">
        <v>1770</v>
      </c>
      <c r="C134">
        <v>29</v>
      </c>
      <c r="D134" t="s">
        <v>1783</v>
      </c>
      <c r="E134" t="s">
        <v>1791</v>
      </c>
      <c r="F134" t="s">
        <v>1799</v>
      </c>
      <c r="G134" s="5">
        <v>108812</v>
      </c>
      <c r="H134" t="s">
        <v>1805</v>
      </c>
      <c r="I134" t="s">
        <v>1807</v>
      </c>
      <c r="J134" s="2">
        <v>45391</v>
      </c>
      <c r="K134">
        <f t="shared" ca="1" si="4"/>
        <v>1</v>
      </c>
      <c r="L134">
        <f t="shared" ca="1" si="5"/>
        <v>8</v>
      </c>
      <c r="M134" t="s">
        <v>1810</v>
      </c>
      <c r="N134">
        <v>1</v>
      </c>
      <c r="O134" t="s">
        <v>1811</v>
      </c>
      <c r="P134" t="s">
        <v>1833</v>
      </c>
    </row>
    <row r="135" spans="1:16" x14ac:dyDescent="0.3">
      <c r="A135" t="s">
        <v>146</v>
      </c>
      <c r="B135" t="s">
        <v>1758</v>
      </c>
      <c r="C135">
        <v>35</v>
      </c>
      <c r="D135" t="s">
        <v>1784</v>
      </c>
      <c r="E135" t="s">
        <v>1788</v>
      </c>
      <c r="F135" t="s">
        <v>1794</v>
      </c>
      <c r="G135" s="5">
        <v>116617</v>
      </c>
      <c r="H135" t="s">
        <v>1803</v>
      </c>
      <c r="I135" t="s">
        <v>1807</v>
      </c>
      <c r="J135" s="2">
        <v>44625</v>
      </c>
      <c r="K135">
        <f t="shared" ca="1" si="4"/>
        <v>3</v>
      </c>
      <c r="L135">
        <f t="shared" ca="1" si="5"/>
        <v>9</v>
      </c>
      <c r="M135" t="s">
        <v>1809</v>
      </c>
      <c r="N135">
        <v>3</v>
      </c>
      <c r="O135" t="s">
        <v>1812</v>
      </c>
      <c r="P135" t="s">
        <v>1833</v>
      </c>
    </row>
    <row r="136" spans="1:16" x14ac:dyDescent="0.3">
      <c r="A136" t="s">
        <v>147</v>
      </c>
      <c r="B136" t="s">
        <v>1762</v>
      </c>
      <c r="C136">
        <v>56</v>
      </c>
      <c r="D136" t="s">
        <v>1784</v>
      </c>
      <c r="E136" t="s">
        <v>1790</v>
      </c>
      <c r="F136" t="s">
        <v>1796</v>
      </c>
      <c r="G136" s="5">
        <v>118851</v>
      </c>
      <c r="H136" t="s">
        <v>1803</v>
      </c>
      <c r="I136" t="s">
        <v>1806</v>
      </c>
      <c r="J136" s="2">
        <v>44598</v>
      </c>
      <c r="K136">
        <f t="shared" ca="1" si="4"/>
        <v>3</v>
      </c>
      <c r="L136">
        <f t="shared" ca="1" si="5"/>
        <v>10</v>
      </c>
      <c r="M136" t="s">
        <v>1810</v>
      </c>
      <c r="N136">
        <v>2</v>
      </c>
      <c r="O136" t="s">
        <v>1815</v>
      </c>
      <c r="P136" t="s">
        <v>1834</v>
      </c>
    </row>
    <row r="137" spans="1:16" x14ac:dyDescent="0.3">
      <c r="A137" t="s">
        <v>148</v>
      </c>
      <c r="B137" t="s">
        <v>1729</v>
      </c>
      <c r="C137">
        <v>36</v>
      </c>
      <c r="D137" t="s">
        <v>1783</v>
      </c>
      <c r="E137" t="s">
        <v>1790</v>
      </c>
      <c r="F137" t="s">
        <v>1795</v>
      </c>
      <c r="G137" s="5">
        <v>66655</v>
      </c>
      <c r="H137" t="s">
        <v>1801</v>
      </c>
      <c r="I137" t="s">
        <v>1806</v>
      </c>
      <c r="J137" s="2">
        <v>45902</v>
      </c>
      <c r="K137">
        <f t="shared" ca="1" si="4"/>
        <v>0</v>
      </c>
      <c r="L137">
        <f t="shared" ca="1" si="5"/>
        <v>3</v>
      </c>
      <c r="M137" t="s">
        <v>1809</v>
      </c>
      <c r="N137">
        <v>3</v>
      </c>
      <c r="O137" t="s">
        <v>1813</v>
      </c>
      <c r="P137" t="s">
        <v>1831</v>
      </c>
    </row>
    <row r="138" spans="1:16" x14ac:dyDescent="0.3">
      <c r="A138" t="s">
        <v>149</v>
      </c>
      <c r="B138" t="s">
        <v>1738</v>
      </c>
      <c r="C138">
        <v>48</v>
      </c>
      <c r="D138" t="s">
        <v>1785</v>
      </c>
      <c r="E138" t="s">
        <v>1791</v>
      </c>
      <c r="F138" t="s">
        <v>1797</v>
      </c>
      <c r="G138" s="5">
        <v>75340</v>
      </c>
      <c r="H138" t="s">
        <v>1802</v>
      </c>
      <c r="I138" t="s">
        <v>1808</v>
      </c>
      <c r="J138" s="2">
        <v>43869</v>
      </c>
      <c r="K138">
        <f t="shared" ca="1" si="4"/>
        <v>5</v>
      </c>
      <c r="L138">
        <f t="shared" ca="1" si="5"/>
        <v>10</v>
      </c>
      <c r="M138" t="s">
        <v>1809</v>
      </c>
      <c r="N138">
        <v>4</v>
      </c>
      <c r="O138" t="s">
        <v>1818</v>
      </c>
      <c r="P138" t="s">
        <v>1834</v>
      </c>
    </row>
    <row r="139" spans="1:16" x14ac:dyDescent="0.3">
      <c r="A139" t="s">
        <v>150</v>
      </c>
      <c r="B139" t="s">
        <v>1744</v>
      </c>
      <c r="C139">
        <v>43</v>
      </c>
      <c r="D139" t="s">
        <v>1783</v>
      </c>
      <c r="E139" t="s">
        <v>1787</v>
      </c>
      <c r="F139" t="s">
        <v>1796</v>
      </c>
      <c r="G139" s="5">
        <v>28696</v>
      </c>
      <c r="H139" t="s">
        <v>1802</v>
      </c>
      <c r="I139" t="s">
        <v>1807</v>
      </c>
      <c r="J139" s="2">
        <v>43743</v>
      </c>
      <c r="K139">
        <f t="shared" ca="1" si="4"/>
        <v>6</v>
      </c>
      <c r="L139">
        <f t="shared" ca="1" si="5"/>
        <v>2</v>
      </c>
      <c r="M139" t="s">
        <v>1809</v>
      </c>
      <c r="N139">
        <v>3</v>
      </c>
      <c r="O139" t="s">
        <v>1816</v>
      </c>
      <c r="P139" t="s">
        <v>1831</v>
      </c>
    </row>
    <row r="140" spans="1:16" x14ac:dyDescent="0.3">
      <c r="A140" t="s">
        <v>151</v>
      </c>
      <c r="B140" t="s">
        <v>1761</v>
      </c>
      <c r="C140">
        <v>38</v>
      </c>
      <c r="D140" t="s">
        <v>1784</v>
      </c>
      <c r="E140" t="s">
        <v>1791</v>
      </c>
      <c r="F140" t="s">
        <v>1794</v>
      </c>
      <c r="G140" s="5">
        <v>117462</v>
      </c>
      <c r="H140" t="s">
        <v>1803</v>
      </c>
      <c r="I140" t="s">
        <v>1808</v>
      </c>
      <c r="J140" s="2">
        <v>44958</v>
      </c>
      <c r="K140">
        <f t="shared" ca="1" si="4"/>
        <v>2</v>
      </c>
      <c r="L140">
        <f t="shared" ca="1" si="5"/>
        <v>10</v>
      </c>
      <c r="M140" t="s">
        <v>1809</v>
      </c>
      <c r="N140">
        <v>1</v>
      </c>
      <c r="O140" t="s">
        <v>1818</v>
      </c>
      <c r="P140" t="s">
        <v>1831</v>
      </c>
    </row>
    <row r="141" spans="1:16" x14ac:dyDescent="0.3">
      <c r="A141" t="s">
        <v>152</v>
      </c>
      <c r="B141" t="s">
        <v>1734</v>
      </c>
      <c r="C141">
        <v>29</v>
      </c>
      <c r="D141" t="s">
        <v>1785</v>
      </c>
      <c r="E141" t="s">
        <v>1787</v>
      </c>
      <c r="F141" t="s">
        <v>1799</v>
      </c>
      <c r="G141" s="5">
        <v>32573</v>
      </c>
      <c r="H141" t="s">
        <v>1804</v>
      </c>
      <c r="I141" t="s">
        <v>1807</v>
      </c>
      <c r="J141" s="2">
        <v>43671</v>
      </c>
      <c r="K141">
        <f t="shared" ca="1" si="4"/>
        <v>6</v>
      </c>
      <c r="L141">
        <f t="shared" ca="1" si="5"/>
        <v>4</v>
      </c>
      <c r="M141" t="s">
        <v>1809</v>
      </c>
      <c r="N141">
        <v>1</v>
      </c>
      <c r="O141" t="s">
        <v>1815</v>
      </c>
      <c r="P141" t="s">
        <v>1833</v>
      </c>
    </row>
    <row r="142" spans="1:16" x14ac:dyDescent="0.3">
      <c r="A142" t="s">
        <v>153</v>
      </c>
      <c r="B142" t="s">
        <v>1746</v>
      </c>
      <c r="C142">
        <v>49</v>
      </c>
      <c r="D142" t="s">
        <v>1783</v>
      </c>
      <c r="E142" t="s">
        <v>1793</v>
      </c>
      <c r="F142" t="s">
        <v>1795</v>
      </c>
      <c r="G142" s="5">
        <v>83513</v>
      </c>
      <c r="H142" t="s">
        <v>1805</v>
      </c>
      <c r="I142" t="s">
        <v>1807</v>
      </c>
      <c r="J142" s="2">
        <v>45026</v>
      </c>
      <c r="K142">
        <f t="shared" ca="1" si="4"/>
        <v>2</v>
      </c>
      <c r="L142">
        <f t="shared" ca="1" si="5"/>
        <v>8</v>
      </c>
      <c r="M142" t="s">
        <v>1809</v>
      </c>
      <c r="N142">
        <v>2</v>
      </c>
      <c r="O142" t="s">
        <v>1814</v>
      </c>
      <c r="P142" t="s">
        <v>1834</v>
      </c>
    </row>
    <row r="143" spans="1:16" x14ac:dyDescent="0.3">
      <c r="A143" t="s">
        <v>154</v>
      </c>
      <c r="B143" t="s">
        <v>1716</v>
      </c>
      <c r="C143">
        <v>42</v>
      </c>
      <c r="D143" t="s">
        <v>1783</v>
      </c>
      <c r="E143" t="s">
        <v>1787</v>
      </c>
      <c r="F143" t="s">
        <v>1794</v>
      </c>
      <c r="G143" s="5">
        <v>42551</v>
      </c>
      <c r="H143" t="s">
        <v>1801</v>
      </c>
      <c r="I143" t="s">
        <v>1806</v>
      </c>
      <c r="J143" s="2">
        <v>43915</v>
      </c>
      <c r="K143">
        <f t="shared" ca="1" si="4"/>
        <v>5</v>
      </c>
      <c r="L143">
        <f t="shared" ca="1" si="5"/>
        <v>8</v>
      </c>
      <c r="M143" t="s">
        <v>1809</v>
      </c>
      <c r="N143">
        <v>5</v>
      </c>
      <c r="O143" t="s">
        <v>1818</v>
      </c>
      <c r="P143" t="s">
        <v>1831</v>
      </c>
    </row>
    <row r="144" spans="1:16" x14ac:dyDescent="0.3">
      <c r="A144" t="s">
        <v>155</v>
      </c>
      <c r="B144" t="s">
        <v>1750</v>
      </c>
      <c r="C144">
        <v>50</v>
      </c>
      <c r="D144" t="s">
        <v>1783</v>
      </c>
      <c r="E144" t="s">
        <v>1787</v>
      </c>
      <c r="F144" t="s">
        <v>1796</v>
      </c>
      <c r="G144" s="5">
        <v>66929</v>
      </c>
      <c r="H144" t="s">
        <v>1801</v>
      </c>
      <c r="I144" t="s">
        <v>1808</v>
      </c>
      <c r="J144" s="2">
        <v>45667</v>
      </c>
      <c r="K144">
        <f t="shared" ca="1" si="4"/>
        <v>0</v>
      </c>
      <c r="L144">
        <f t="shared" ca="1" si="5"/>
        <v>11</v>
      </c>
      <c r="M144" t="s">
        <v>1809</v>
      </c>
      <c r="N144">
        <v>3</v>
      </c>
      <c r="O144" t="s">
        <v>1815</v>
      </c>
      <c r="P144" t="s">
        <v>1834</v>
      </c>
    </row>
    <row r="145" spans="1:16" x14ac:dyDescent="0.3">
      <c r="A145" t="s">
        <v>156</v>
      </c>
      <c r="B145" t="s">
        <v>1765</v>
      </c>
      <c r="C145">
        <v>57</v>
      </c>
      <c r="D145" t="s">
        <v>1785</v>
      </c>
      <c r="E145" t="s">
        <v>1789</v>
      </c>
      <c r="F145" t="s">
        <v>1797</v>
      </c>
      <c r="G145" s="5">
        <v>35486</v>
      </c>
      <c r="H145" t="s">
        <v>1804</v>
      </c>
      <c r="I145" t="s">
        <v>1806</v>
      </c>
      <c r="J145" s="2">
        <v>43824</v>
      </c>
      <c r="K145">
        <f t="shared" ca="1" si="4"/>
        <v>6</v>
      </c>
      <c r="L145">
        <f t="shared" ca="1" si="5"/>
        <v>11</v>
      </c>
      <c r="M145" t="s">
        <v>1809</v>
      </c>
      <c r="N145">
        <v>4</v>
      </c>
      <c r="O145" t="s">
        <v>1812</v>
      </c>
      <c r="P145" t="s">
        <v>1834</v>
      </c>
    </row>
    <row r="146" spans="1:16" x14ac:dyDescent="0.3">
      <c r="A146" t="s">
        <v>157</v>
      </c>
      <c r="B146" t="s">
        <v>1751</v>
      </c>
      <c r="C146">
        <v>28</v>
      </c>
      <c r="D146" t="s">
        <v>1783</v>
      </c>
      <c r="E146" t="s">
        <v>1790</v>
      </c>
      <c r="F146" t="s">
        <v>1796</v>
      </c>
      <c r="G146" s="5">
        <v>22847</v>
      </c>
      <c r="H146" t="s">
        <v>1802</v>
      </c>
      <c r="I146" t="s">
        <v>1807</v>
      </c>
      <c r="J146" s="2">
        <v>45678</v>
      </c>
      <c r="K146">
        <f t="shared" ca="1" si="4"/>
        <v>0</v>
      </c>
      <c r="L146">
        <f t="shared" ca="1" si="5"/>
        <v>10</v>
      </c>
      <c r="M146" t="s">
        <v>1809</v>
      </c>
      <c r="N146">
        <v>1</v>
      </c>
      <c r="O146" t="s">
        <v>1817</v>
      </c>
      <c r="P146" t="s">
        <v>1833</v>
      </c>
    </row>
    <row r="147" spans="1:16" x14ac:dyDescent="0.3">
      <c r="A147" t="s">
        <v>158</v>
      </c>
      <c r="B147" t="s">
        <v>1763</v>
      </c>
      <c r="C147">
        <v>45</v>
      </c>
      <c r="D147" t="s">
        <v>1785</v>
      </c>
      <c r="E147" t="s">
        <v>1790</v>
      </c>
      <c r="F147" t="s">
        <v>1797</v>
      </c>
      <c r="G147" s="5">
        <v>51202</v>
      </c>
      <c r="H147" t="s">
        <v>1802</v>
      </c>
      <c r="I147" t="s">
        <v>1808</v>
      </c>
      <c r="J147" s="2">
        <v>43900</v>
      </c>
      <c r="K147">
        <f t="shared" ca="1" si="4"/>
        <v>5</v>
      </c>
      <c r="L147">
        <f t="shared" ca="1" si="5"/>
        <v>9</v>
      </c>
      <c r="M147" t="s">
        <v>1809</v>
      </c>
      <c r="N147">
        <v>3</v>
      </c>
      <c r="O147" t="s">
        <v>1814</v>
      </c>
      <c r="P147" t="s">
        <v>1831</v>
      </c>
    </row>
    <row r="148" spans="1:16" x14ac:dyDescent="0.3">
      <c r="A148" t="s">
        <v>159</v>
      </c>
      <c r="B148" t="s">
        <v>1765</v>
      </c>
      <c r="C148">
        <v>43</v>
      </c>
      <c r="D148" t="s">
        <v>1784</v>
      </c>
      <c r="E148" t="s">
        <v>1787</v>
      </c>
      <c r="F148" t="s">
        <v>1800</v>
      </c>
      <c r="G148" s="5">
        <v>115426</v>
      </c>
      <c r="H148" t="s">
        <v>1803</v>
      </c>
      <c r="I148" t="s">
        <v>1808</v>
      </c>
      <c r="J148" s="2">
        <v>43203</v>
      </c>
      <c r="K148">
        <f t="shared" ca="1" si="4"/>
        <v>7</v>
      </c>
      <c r="L148">
        <f t="shared" ca="1" si="5"/>
        <v>7</v>
      </c>
      <c r="M148" t="s">
        <v>1810</v>
      </c>
      <c r="N148">
        <v>4</v>
      </c>
      <c r="O148" t="s">
        <v>1817</v>
      </c>
      <c r="P148" t="s">
        <v>1831</v>
      </c>
    </row>
    <row r="149" spans="1:16" x14ac:dyDescent="0.3">
      <c r="A149" t="s">
        <v>160</v>
      </c>
      <c r="B149" t="s">
        <v>1739</v>
      </c>
      <c r="C149">
        <v>25</v>
      </c>
      <c r="D149" t="s">
        <v>1785</v>
      </c>
      <c r="E149" t="s">
        <v>1787</v>
      </c>
      <c r="F149" t="s">
        <v>1800</v>
      </c>
      <c r="G149" s="5">
        <v>28345</v>
      </c>
      <c r="H149" t="s">
        <v>1805</v>
      </c>
      <c r="I149" t="s">
        <v>1807</v>
      </c>
      <c r="J149" s="2">
        <v>44672</v>
      </c>
      <c r="K149">
        <f t="shared" ca="1" si="4"/>
        <v>3</v>
      </c>
      <c r="L149">
        <f t="shared" ca="1" si="5"/>
        <v>7</v>
      </c>
      <c r="M149" t="s">
        <v>1810</v>
      </c>
      <c r="N149">
        <v>3</v>
      </c>
      <c r="O149" t="s">
        <v>1813</v>
      </c>
      <c r="P149" t="s">
        <v>1832</v>
      </c>
    </row>
    <row r="150" spans="1:16" x14ac:dyDescent="0.3">
      <c r="A150" t="s">
        <v>161</v>
      </c>
      <c r="B150" t="s">
        <v>1757</v>
      </c>
      <c r="C150">
        <v>38</v>
      </c>
      <c r="D150" t="s">
        <v>1784</v>
      </c>
      <c r="E150" t="s">
        <v>1790</v>
      </c>
      <c r="F150" t="s">
        <v>1794</v>
      </c>
      <c r="G150" s="5">
        <v>96986</v>
      </c>
      <c r="H150" t="s">
        <v>1803</v>
      </c>
      <c r="I150" t="s">
        <v>1807</v>
      </c>
      <c r="J150" s="2">
        <v>45263</v>
      </c>
      <c r="K150">
        <f t="shared" ca="1" si="4"/>
        <v>2</v>
      </c>
      <c r="L150">
        <f t="shared" ca="1" si="5"/>
        <v>0</v>
      </c>
      <c r="M150" t="s">
        <v>1810</v>
      </c>
      <c r="N150">
        <v>3</v>
      </c>
      <c r="O150" t="s">
        <v>1812</v>
      </c>
      <c r="P150" t="s">
        <v>1831</v>
      </c>
    </row>
    <row r="151" spans="1:16" x14ac:dyDescent="0.3">
      <c r="A151" t="s">
        <v>162</v>
      </c>
      <c r="B151" t="s">
        <v>1733</v>
      </c>
      <c r="C151">
        <v>42</v>
      </c>
      <c r="D151" t="s">
        <v>1785</v>
      </c>
      <c r="E151" t="s">
        <v>1787</v>
      </c>
      <c r="F151" t="s">
        <v>1794</v>
      </c>
      <c r="G151" s="5">
        <v>53986</v>
      </c>
      <c r="H151" t="s">
        <v>1801</v>
      </c>
      <c r="I151" t="s">
        <v>1807</v>
      </c>
      <c r="J151" s="2">
        <v>45187</v>
      </c>
      <c r="K151">
        <f t="shared" ca="1" si="4"/>
        <v>2</v>
      </c>
      <c r="L151">
        <f t="shared" ca="1" si="5"/>
        <v>2</v>
      </c>
      <c r="M151" t="s">
        <v>1810</v>
      </c>
      <c r="N151">
        <v>3</v>
      </c>
      <c r="O151" t="s">
        <v>1816</v>
      </c>
      <c r="P151" t="s">
        <v>1831</v>
      </c>
    </row>
    <row r="152" spans="1:16" x14ac:dyDescent="0.3">
      <c r="A152" t="s">
        <v>163</v>
      </c>
      <c r="B152" t="s">
        <v>1752</v>
      </c>
      <c r="C152">
        <v>58</v>
      </c>
      <c r="D152" t="s">
        <v>1785</v>
      </c>
      <c r="E152" t="s">
        <v>1790</v>
      </c>
      <c r="F152" t="s">
        <v>1798</v>
      </c>
      <c r="G152" s="5">
        <v>22561</v>
      </c>
      <c r="H152" t="s">
        <v>1801</v>
      </c>
      <c r="I152" t="s">
        <v>1807</v>
      </c>
      <c r="J152" s="2">
        <v>45626</v>
      </c>
      <c r="K152">
        <f t="shared" ca="1" si="4"/>
        <v>1</v>
      </c>
      <c r="L152">
        <f t="shared" ca="1" si="5"/>
        <v>0</v>
      </c>
      <c r="M152" t="s">
        <v>1810</v>
      </c>
      <c r="N152">
        <v>3</v>
      </c>
      <c r="O152" t="s">
        <v>1811</v>
      </c>
      <c r="P152" t="s">
        <v>1834</v>
      </c>
    </row>
    <row r="153" spans="1:16" x14ac:dyDescent="0.3">
      <c r="A153" t="s">
        <v>164</v>
      </c>
      <c r="B153" t="s">
        <v>1736</v>
      </c>
      <c r="C153">
        <v>58</v>
      </c>
      <c r="D153" t="s">
        <v>1783</v>
      </c>
      <c r="E153" t="s">
        <v>1790</v>
      </c>
      <c r="F153" t="s">
        <v>1796</v>
      </c>
      <c r="G153" s="5">
        <v>66623</v>
      </c>
      <c r="H153" t="s">
        <v>1803</v>
      </c>
      <c r="I153" t="s">
        <v>1807</v>
      </c>
      <c r="J153" s="2">
        <v>44788</v>
      </c>
      <c r="K153">
        <f t="shared" ca="1" si="4"/>
        <v>3</v>
      </c>
      <c r="L153">
        <f t="shared" ca="1" si="5"/>
        <v>3</v>
      </c>
      <c r="M153" t="s">
        <v>1809</v>
      </c>
      <c r="N153">
        <v>5</v>
      </c>
      <c r="O153" t="s">
        <v>1817</v>
      </c>
      <c r="P153" t="s">
        <v>1834</v>
      </c>
    </row>
    <row r="154" spans="1:16" x14ac:dyDescent="0.3">
      <c r="A154" t="s">
        <v>165</v>
      </c>
      <c r="B154" t="s">
        <v>1754</v>
      </c>
      <c r="C154">
        <v>37</v>
      </c>
      <c r="D154" t="s">
        <v>1783</v>
      </c>
      <c r="E154" t="s">
        <v>1793</v>
      </c>
      <c r="F154" t="s">
        <v>1794</v>
      </c>
      <c r="G154" s="5">
        <v>21396</v>
      </c>
      <c r="H154" t="s">
        <v>1802</v>
      </c>
      <c r="I154" t="s">
        <v>1808</v>
      </c>
      <c r="J154" s="2">
        <v>44558</v>
      </c>
      <c r="K154">
        <f t="shared" ca="1" si="4"/>
        <v>4</v>
      </c>
      <c r="L154">
        <f t="shared" ca="1" si="5"/>
        <v>11</v>
      </c>
      <c r="M154" t="s">
        <v>1810</v>
      </c>
      <c r="N154">
        <v>5</v>
      </c>
      <c r="O154" t="s">
        <v>1813</v>
      </c>
      <c r="P154" t="s">
        <v>1831</v>
      </c>
    </row>
    <row r="155" spans="1:16" x14ac:dyDescent="0.3">
      <c r="A155" t="s">
        <v>166</v>
      </c>
      <c r="B155" t="s">
        <v>1725</v>
      </c>
      <c r="C155">
        <v>36</v>
      </c>
      <c r="D155" t="s">
        <v>1785</v>
      </c>
      <c r="E155" t="s">
        <v>1790</v>
      </c>
      <c r="F155" t="s">
        <v>1795</v>
      </c>
      <c r="G155" s="5">
        <v>46124</v>
      </c>
      <c r="H155" t="s">
        <v>1804</v>
      </c>
      <c r="I155" t="s">
        <v>1806</v>
      </c>
      <c r="J155" s="2">
        <v>44449</v>
      </c>
      <c r="K155">
        <f t="shared" ca="1" si="4"/>
        <v>4</v>
      </c>
      <c r="L155">
        <f t="shared" ca="1" si="5"/>
        <v>3</v>
      </c>
      <c r="M155" t="s">
        <v>1809</v>
      </c>
      <c r="N155">
        <v>1</v>
      </c>
      <c r="O155" t="s">
        <v>1816</v>
      </c>
      <c r="P155" t="s">
        <v>1831</v>
      </c>
    </row>
    <row r="156" spans="1:16" x14ac:dyDescent="0.3">
      <c r="A156" t="s">
        <v>167</v>
      </c>
      <c r="B156" t="s">
        <v>1718</v>
      </c>
      <c r="C156">
        <v>31</v>
      </c>
      <c r="D156" t="s">
        <v>1785</v>
      </c>
      <c r="E156" t="s">
        <v>1790</v>
      </c>
      <c r="F156" t="s">
        <v>1799</v>
      </c>
      <c r="G156" s="5">
        <v>29506</v>
      </c>
      <c r="H156" t="s">
        <v>1804</v>
      </c>
      <c r="I156" t="s">
        <v>1806</v>
      </c>
      <c r="J156" s="2">
        <v>43861</v>
      </c>
      <c r="K156">
        <f t="shared" ca="1" si="4"/>
        <v>5</v>
      </c>
      <c r="L156">
        <f t="shared" ca="1" si="5"/>
        <v>10</v>
      </c>
      <c r="M156" t="s">
        <v>1809</v>
      </c>
      <c r="N156">
        <v>5</v>
      </c>
      <c r="O156" t="s">
        <v>1814</v>
      </c>
      <c r="P156" t="s">
        <v>1833</v>
      </c>
    </row>
    <row r="157" spans="1:16" x14ac:dyDescent="0.3">
      <c r="A157" t="s">
        <v>168</v>
      </c>
      <c r="B157" t="s">
        <v>1725</v>
      </c>
      <c r="C157">
        <v>30</v>
      </c>
      <c r="D157" t="s">
        <v>1785</v>
      </c>
      <c r="E157" t="s">
        <v>1791</v>
      </c>
      <c r="F157" t="s">
        <v>1795</v>
      </c>
      <c r="G157" s="5">
        <v>65381</v>
      </c>
      <c r="H157" t="s">
        <v>1802</v>
      </c>
      <c r="I157" t="s">
        <v>1807</v>
      </c>
      <c r="J157" s="2">
        <v>43261</v>
      </c>
      <c r="K157">
        <f t="shared" ca="1" si="4"/>
        <v>7</v>
      </c>
      <c r="L157">
        <f t="shared" ca="1" si="5"/>
        <v>6</v>
      </c>
      <c r="M157" t="s">
        <v>1809</v>
      </c>
      <c r="N157">
        <v>2</v>
      </c>
      <c r="O157" t="s">
        <v>1812</v>
      </c>
      <c r="P157" t="s">
        <v>1833</v>
      </c>
    </row>
    <row r="158" spans="1:16" x14ac:dyDescent="0.3">
      <c r="A158" t="s">
        <v>169</v>
      </c>
      <c r="B158" t="s">
        <v>1740</v>
      </c>
      <c r="C158">
        <v>55</v>
      </c>
      <c r="D158" t="s">
        <v>1785</v>
      </c>
      <c r="E158" t="s">
        <v>1789</v>
      </c>
      <c r="F158" t="s">
        <v>1799</v>
      </c>
      <c r="G158" s="5">
        <v>79263</v>
      </c>
      <c r="H158" t="s">
        <v>1805</v>
      </c>
      <c r="I158" t="s">
        <v>1807</v>
      </c>
      <c r="J158" s="2">
        <v>44944</v>
      </c>
      <c r="K158">
        <f t="shared" ca="1" si="4"/>
        <v>2</v>
      </c>
      <c r="L158">
        <f t="shared" ca="1" si="5"/>
        <v>10</v>
      </c>
      <c r="M158" t="s">
        <v>1809</v>
      </c>
      <c r="N158">
        <v>1</v>
      </c>
      <c r="O158" t="s">
        <v>1814</v>
      </c>
      <c r="P158" t="s">
        <v>1834</v>
      </c>
    </row>
    <row r="159" spans="1:16" x14ac:dyDescent="0.3">
      <c r="A159" t="s">
        <v>170</v>
      </c>
      <c r="B159" t="s">
        <v>1746</v>
      </c>
      <c r="C159">
        <v>50</v>
      </c>
      <c r="D159" t="s">
        <v>1785</v>
      </c>
      <c r="E159" t="s">
        <v>1787</v>
      </c>
      <c r="F159" t="s">
        <v>1800</v>
      </c>
      <c r="G159" s="5">
        <v>118815</v>
      </c>
      <c r="H159" t="s">
        <v>1805</v>
      </c>
      <c r="I159" t="s">
        <v>1807</v>
      </c>
      <c r="J159" s="2">
        <v>42951</v>
      </c>
      <c r="K159">
        <f t="shared" ca="1" si="4"/>
        <v>8</v>
      </c>
      <c r="L159">
        <f t="shared" ca="1" si="5"/>
        <v>4</v>
      </c>
      <c r="M159" t="s">
        <v>1810</v>
      </c>
      <c r="N159">
        <v>1</v>
      </c>
      <c r="O159" t="s">
        <v>1812</v>
      </c>
      <c r="P159" t="s">
        <v>1834</v>
      </c>
    </row>
    <row r="160" spans="1:16" x14ac:dyDescent="0.3">
      <c r="A160" t="s">
        <v>171</v>
      </c>
      <c r="B160" t="s">
        <v>1747</v>
      </c>
      <c r="C160">
        <v>53</v>
      </c>
      <c r="D160" t="s">
        <v>1784</v>
      </c>
      <c r="E160" t="s">
        <v>1791</v>
      </c>
      <c r="F160" t="s">
        <v>1794</v>
      </c>
      <c r="G160" s="5">
        <v>90260</v>
      </c>
      <c r="H160" t="s">
        <v>1805</v>
      </c>
      <c r="I160" t="s">
        <v>1807</v>
      </c>
      <c r="J160" s="2">
        <v>45582</v>
      </c>
      <c r="K160">
        <f t="shared" ca="1" si="4"/>
        <v>1</v>
      </c>
      <c r="L160">
        <f t="shared" ca="1" si="5"/>
        <v>1</v>
      </c>
      <c r="M160" t="s">
        <v>1809</v>
      </c>
      <c r="N160">
        <v>4</v>
      </c>
      <c r="O160" t="s">
        <v>1818</v>
      </c>
      <c r="P160" t="s">
        <v>1834</v>
      </c>
    </row>
    <row r="161" spans="1:16" x14ac:dyDescent="0.3">
      <c r="A161" t="s">
        <v>172</v>
      </c>
      <c r="B161" t="s">
        <v>1777</v>
      </c>
      <c r="C161">
        <v>29</v>
      </c>
      <c r="D161" t="s">
        <v>1784</v>
      </c>
      <c r="E161" t="s">
        <v>1791</v>
      </c>
      <c r="F161" t="s">
        <v>1796</v>
      </c>
      <c r="G161" s="5">
        <v>39229</v>
      </c>
      <c r="H161" t="s">
        <v>1802</v>
      </c>
      <c r="I161" t="s">
        <v>1808</v>
      </c>
      <c r="J161" s="2">
        <v>44563</v>
      </c>
      <c r="K161">
        <f t="shared" ca="1" si="4"/>
        <v>3</v>
      </c>
      <c r="L161">
        <f t="shared" ca="1" si="5"/>
        <v>11</v>
      </c>
      <c r="M161" t="s">
        <v>1810</v>
      </c>
      <c r="N161">
        <v>1</v>
      </c>
      <c r="O161" t="s">
        <v>1814</v>
      </c>
      <c r="P161" t="s">
        <v>1833</v>
      </c>
    </row>
    <row r="162" spans="1:16" x14ac:dyDescent="0.3">
      <c r="A162" t="s">
        <v>173</v>
      </c>
      <c r="B162" t="s">
        <v>1778</v>
      </c>
      <c r="C162">
        <v>55</v>
      </c>
      <c r="D162" t="s">
        <v>1784</v>
      </c>
      <c r="E162" t="s">
        <v>1791</v>
      </c>
      <c r="F162" t="s">
        <v>1796</v>
      </c>
      <c r="G162" s="5">
        <v>99922</v>
      </c>
      <c r="H162" t="s">
        <v>1805</v>
      </c>
      <c r="I162" t="s">
        <v>1806</v>
      </c>
      <c r="J162" s="2">
        <v>42820</v>
      </c>
      <c r="K162">
        <f t="shared" ca="1" si="4"/>
        <v>8</v>
      </c>
      <c r="L162">
        <f t="shared" ca="1" si="5"/>
        <v>8</v>
      </c>
      <c r="M162" t="s">
        <v>1809</v>
      </c>
      <c r="N162">
        <v>5</v>
      </c>
      <c r="O162" t="s">
        <v>1816</v>
      </c>
      <c r="P162" t="s">
        <v>1834</v>
      </c>
    </row>
    <row r="163" spans="1:16" x14ac:dyDescent="0.3">
      <c r="A163" t="s">
        <v>174</v>
      </c>
      <c r="B163" t="s">
        <v>1749</v>
      </c>
      <c r="C163">
        <v>58</v>
      </c>
      <c r="D163" t="s">
        <v>1784</v>
      </c>
      <c r="E163" t="s">
        <v>1792</v>
      </c>
      <c r="F163" t="s">
        <v>1797</v>
      </c>
      <c r="G163" s="5">
        <v>21718</v>
      </c>
      <c r="H163" t="s">
        <v>1801</v>
      </c>
      <c r="I163" t="s">
        <v>1806</v>
      </c>
      <c r="J163" s="2">
        <v>45596</v>
      </c>
      <c r="K163">
        <f t="shared" ca="1" si="4"/>
        <v>1</v>
      </c>
      <c r="L163">
        <f t="shared" ca="1" si="5"/>
        <v>1</v>
      </c>
      <c r="M163" t="s">
        <v>1810</v>
      </c>
      <c r="N163">
        <v>2</v>
      </c>
      <c r="O163" t="s">
        <v>1811</v>
      </c>
      <c r="P163" t="s">
        <v>1834</v>
      </c>
    </row>
    <row r="164" spans="1:16" x14ac:dyDescent="0.3">
      <c r="A164" t="s">
        <v>175</v>
      </c>
      <c r="B164" t="s">
        <v>1760</v>
      </c>
      <c r="C164">
        <v>21</v>
      </c>
      <c r="D164" t="s">
        <v>1784</v>
      </c>
      <c r="E164" t="s">
        <v>1788</v>
      </c>
      <c r="F164" t="s">
        <v>1796</v>
      </c>
      <c r="G164" s="5">
        <v>102136</v>
      </c>
      <c r="H164" t="s">
        <v>1803</v>
      </c>
      <c r="I164" t="s">
        <v>1807</v>
      </c>
      <c r="J164" s="2">
        <v>45734</v>
      </c>
      <c r="K164">
        <f t="shared" ca="1" si="4"/>
        <v>0</v>
      </c>
      <c r="L164">
        <f t="shared" ca="1" si="5"/>
        <v>8</v>
      </c>
      <c r="M164" t="s">
        <v>1810</v>
      </c>
      <c r="N164">
        <v>3</v>
      </c>
      <c r="O164" t="s">
        <v>1812</v>
      </c>
      <c r="P164" t="s">
        <v>1832</v>
      </c>
    </row>
    <row r="165" spans="1:16" x14ac:dyDescent="0.3">
      <c r="A165" t="s">
        <v>176</v>
      </c>
      <c r="B165" t="s">
        <v>1745</v>
      </c>
      <c r="C165">
        <v>23</v>
      </c>
      <c r="D165" t="s">
        <v>1783</v>
      </c>
      <c r="E165" t="s">
        <v>1790</v>
      </c>
      <c r="F165" t="s">
        <v>1800</v>
      </c>
      <c r="G165" s="5">
        <v>72476</v>
      </c>
      <c r="H165" t="s">
        <v>1803</v>
      </c>
      <c r="I165" t="s">
        <v>1807</v>
      </c>
      <c r="J165" s="2">
        <v>43831</v>
      </c>
      <c r="K165">
        <f t="shared" ca="1" si="4"/>
        <v>5</v>
      </c>
      <c r="L165">
        <f t="shared" ca="1" si="5"/>
        <v>11</v>
      </c>
      <c r="M165" t="s">
        <v>1809</v>
      </c>
      <c r="N165">
        <v>3</v>
      </c>
      <c r="O165" t="s">
        <v>1817</v>
      </c>
      <c r="P165" t="s">
        <v>1832</v>
      </c>
    </row>
    <row r="166" spans="1:16" x14ac:dyDescent="0.3">
      <c r="A166" t="s">
        <v>177</v>
      </c>
      <c r="B166" t="s">
        <v>1731</v>
      </c>
      <c r="C166">
        <v>28</v>
      </c>
      <c r="D166" t="s">
        <v>1784</v>
      </c>
      <c r="E166" t="s">
        <v>1793</v>
      </c>
      <c r="F166" t="s">
        <v>1798</v>
      </c>
      <c r="G166" s="5">
        <v>59827</v>
      </c>
      <c r="H166" t="s">
        <v>1803</v>
      </c>
      <c r="I166" t="s">
        <v>1807</v>
      </c>
      <c r="J166" s="2">
        <v>43533</v>
      </c>
      <c r="K166">
        <f t="shared" ca="1" si="4"/>
        <v>6</v>
      </c>
      <c r="L166">
        <f t="shared" ca="1" si="5"/>
        <v>9</v>
      </c>
      <c r="M166" t="s">
        <v>1810</v>
      </c>
      <c r="N166">
        <v>2</v>
      </c>
      <c r="O166" t="s">
        <v>1816</v>
      </c>
      <c r="P166" t="s">
        <v>1833</v>
      </c>
    </row>
    <row r="167" spans="1:16" x14ac:dyDescent="0.3">
      <c r="A167" t="s">
        <v>178</v>
      </c>
      <c r="B167" t="s">
        <v>1713</v>
      </c>
      <c r="C167">
        <v>38</v>
      </c>
      <c r="D167" t="s">
        <v>1784</v>
      </c>
      <c r="E167" t="s">
        <v>1787</v>
      </c>
      <c r="F167" t="s">
        <v>1799</v>
      </c>
      <c r="G167" s="5">
        <v>50541</v>
      </c>
      <c r="H167" t="s">
        <v>1802</v>
      </c>
      <c r="I167" t="s">
        <v>1808</v>
      </c>
      <c r="J167" s="2">
        <v>44804</v>
      </c>
      <c r="K167">
        <f t="shared" ca="1" si="4"/>
        <v>3</v>
      </c>
      <c r="L167">
        <f t="shared" ca="1" si="5"/>
        <v>3</v>
      </c>
      <c r="M167" t="s">
        <v>1810</v>
      </c>
      <c r="N167">
        <v>2</v>
      </c>
      <c r="O167" t="s">
        <v>1816</v>
      </c>
      <c r="P167" t="s">
        <v>1831</v>
      </c>
    </row>
    <row r="168" spans="1:16" x14ac:dyDescent="0.3">
      <c r="A168" t="s">
        <v>179</v>
      </c>
      <c r="B168" t="s">
        <v>1773</v>
      </c>
      <c r="C168">
        <v>49</v>
      </c>
      <c r="D168" t="s">
        <v>1784</v>
      </c>
      <c r="E168" t="s">
        <v>1788</v>
      </c>
      <c r="F168" t="s">
        <v>1797</v>
      </c>
      <c r="G168" s="5">
        <v>83191</v>
      </c>
      <c r="H168" t="s">
        <v>1801</v>
      </c>
      <c r="I168" t="s">
        <v>1808</v>
      </c>
      <c r="J168" s="2">
        <v>44508</v>
      </c>
      <c r="K168">
        <f t="shared" ca="1" si="4"/>
        <v>4</v>
      </c>
      <c r="L168">
        <f t="shared" ca="1" si="5"/>
        <v>1</v>
      </c>
      <c r="M168" t="s">
        <v>1810</v>
      </c>
      <c r="N168">
        <v>2</v>
      </c>
      <c r="O168" t="s">
        <v>1815</v>
      </c>
      <c r="P168" t="s">
        <v>1834</v>
      </c>
    </row>
    <row r="169" spans="1:16" x14ac:dyDescent="0.3">
      <c r="A169" t="s">
        <v>180</v>
      </c>
      <c r="B169" t="s">
        <v>1715</v>
      </c>
      <c r="C169">
        <v>23</v>
      </c>
      <c r="D169" t="s">
        <v>1783</v>
      </c>
      <c r="E169" t="s">
        <v>1788</v>
      </c>
      <c r="F169" t="s">
        <v>1795</v>
      </c>
      <c r="G169" s="5">
        <v>82866</v>
      </c>
      <c r="H169" t="s">
        <v>1803</v>
      </c>
      <c r="I169" t="s">
        <v>1808</v>
      </c>
      <c r="J169" s="2">
        <v>44636</v>
      </c>
      <c r="K169">
        <f t="shared" ca="1" si="4"/>
        <v>3</v>
      </c>
      <c r="L169">
        <f t="shared" ca="1" si="5"/>
        <v>8</v>
      </c>
      <c r="M169" t="s">
        <v>1809</v>
      </c>
      <c r="N169">
        <v>1</v>
      </c>
      <c r="O169" t="s">
        <v>1811</v>
      </c>
      <c r="P169" t="s">
        <v>1832</v>
      </c>
    </row>
    <row r="170" spans="1:16" x14ac:dyDescent="0.3">
      <c r="A170" t="s">
        <v>181</v>
      </c>
      <c r="B170" t="s">
        <v>1738</v>
      </c>
      <c r="C170">
        <v>43</v>
      </c>
      <c r="D170" t="s">
        <v>1784</v>
      </c>
      <c r="E170" t="s">
        <v>1789</v>
      </c>
      <c r="F170" t="s">
        <v>1800</v>
      </c>
      <c r="G170" s="5">
        <v>23930</v>
      </c>
      <c r="H170" t="s">
        <v>1801</v>
      </c>
      <c r="I170" t="s">
        <v>1806</v>
      </c>
      <c r="J170" s="2">
        <v>44739</v>
      </c>
      <c r="K170">
        <f t="shared" ca="1" si="4"/>
        <v>3</v>
      </c>
      <c r="L170">
        <f t="shared" ca="1" si="5"/>
        <v>5</v>
      </c>
      <c r="M170" t="s">
        <v>1809</v>
      </c>
      <c r="N170">
        <v>3</v>
      </c>
      <c r="O170" t="s">
        <v>1814</v>
      </c>
      <c r="P170" t="s">
        <v>1831</v>
      </c>
    </row>
    <row r="171" spans="1:16" x14ac:dyDescent="0.3">
      <c r="A171" t="s">
        <v>182</v>
      </c>
      <c r="B171" t="s">
        <v>1718</v>
      </c>
      <c r="C171">
        <v>52</v>
      </c>
      <c r="D171" t="s">
        <v>1784</v>
      </c>
      <c r="E171" t="s">
        <v>1788</v>
      </c>
      <c r="F171" t="s">
        <v>1794</v>
      </c>
      <c r="G171" s="5">
        <v>99689</v>
      </c>
      <c r="H171" t="s">
        <v>1805</v>
      </c>
      <c r="I171" t="s">
        <v>1807</v>
      </c>
      <c r="J171" s="2">
        <v>42965</v>
      </c>
      <c r="K171">
        <f t="shared" ca="1" si="4"/>
        <v>8</v>
      </c>
      <c r="L171">
        <f t="shared" ca="1" si="5"/>
        <v>3</v>
      </c>
      <c r="M171" t="s">
        <v>1809</v>
      </c>
      <c r="N171">
        <v>4</v>
      </c>
      <c r="O171" t="s">
        <v>1817</v>
      </c>
      <c r="P171" t="s">
        <v>1834</v>
      </c>
    </row>
    <row r="172" spans="1:16" x14ac:dyDescent="0.3">
      <c r="A172" t="s">
        <v>183</v>
      </c>
      <c r="B172" t="s">
        <v>1753</v>
      </c>
      <c r="C172">
        <v>43</v>
      </c>
      <c r="D172" t="s">
        <v>1783</v>
      </c>
      <c r="E172" t="s">
        <v>1786</v>
      </c>
      <c r="F172" t="s">
        <v>1795</v>
      </c>
      <c r="G172" s="5">
        <v>96966</v>
      </c>
      <c r="H172" t="s">
        <v>1803</v>
      </c>
      <c r="I172" t="s">
        <v>1806</v>
      </c>
      <c r="J172" s="2">
        <v>42602</v>
      </c>
      <c r="K172">
        <f t="shared" ca="1" si="4"/>
        <v>9</v>
      </c>
      <c r="L172">
        <f t="shared" ca="1" si="5"/>
        <v>3</v>
      </c>
      <c r="M172" t="s">
        <v>1809</v>
      </c>
      <c r="N172">
        <v>1</v>
      </c>
      <c r="O172" t="s">
        <v>1816</v>
      </c>
      <c r="P172" t="s">
        <v>1831</v>
      </c>
    </row>
    <row r="173" spans="1:16" x14ac:dyDescent="0.3">
      <c r="A173" t="s">
        <v>184</v>
      </c>
      <c r="B173" t="s">
        <v>1741</v>
      </c>
      <c r="C173">
        <v>50</v>
      </c>
      <c r="D173" t="s">
        <v>1785</v>
      </c>
      <c r="E173" t="s">
        <v>1790</v>
      </c>
      <c r="F173" t="s">
        <v>1795</v>
      </c>
      <c r="G173" s="5">
        <v>37521</v>
      </c>
      <c r="H173" t="s">
        <v>1805</v>
      </c>
      <c r="I173" t="s">
        <v>1807</v>
      </c>
      <c r="J173" s="2">
        <v>43781</v>
      </c>
      <c r="K173">
        <f t="shared" ca="1" si="4"/>
        <v>6</v>
      </c>
      <c r="L173">
        <f t="shared" ca="1" si="5"/>
        <v>0</v>
      </c>
      <c r="M173" t="s">
        <v>1810</v>
      </c>
      <c r="N173">
        <v>2</v>
      </c>
      <c r="O173" t="s">
        <v>1811</v>
      </c>
      <c r="P173" t="s">
        <v>1834</v>
      </c>
    </row>
    <row r="174" spans="1:16" x14ac:dyDescent="0.3">
      <c r="A174" t="s">
        <v>185</v>
      </c>
      <c r="B174" t="s">
        <v>1760</v>
      </c>
      <c r="C174">
        <v>39</v>
      </c>
      <c r="D174" t="s">
        <v>1785</v>
      </c>
      <c r="E174" t="s">
        <v>1789</v>
      </c>
      <c r="F174" t="s">
        <v>1799</v>
      </c>
      <c r="G174" s="5">
        <v>84494</v>
      </c>
      <c r="H174" t="s">
        <v>1805</v>
      </c>
      <c r="I174" t="s">
        <v>1806</v>
      </c>
      <c r="J174" s="2">
        <v>44444</v>
      </c>
      <c r="K174">
        <f t="shared" ca="1" si="4"/>
        <v>4</v>
      </c>
      <c r="L174">
        <f t="shared" ca="1" si="5"/>
        <v>3</v>
      </c>
      <c r="M174" t="s">
        <v>1810</v>
      </c>
      <c r="N174">
        <v>4</v>
      </c>
      <c r="O174" t="s">
        <v>1818</v>
      </c>
      <c r="P174" t="s">
        <v>1831</v>
      </c>
    </row>
    <row r="175" spans="1:16" x14ac:dyDescent="0.3">
      <c r="A175" t="s">
        <v>186</v>
      </c>
      <c r="B175" t="s">
        <v>1775</v>
      </c>
      <c r="C175">
        <v>27</v>
      </c>
      <c r="D175" t="s">
        <v>1784</v>
      </c>
      <c r="E175" t="s">
        <v>1788</v>
      </c>
      <c r="F175" t="s">
        <v>1799</v>
      </c>
      <c r="G175" s="5">
        <v>113069</v>
      </c>
      <c r="H175" t="s">
        <v>1801</v>
      </c>
      <c r="I175" t="s">
        <v>1806</v>
      </c>
      <c r="J175" s="2">
        <v>44381</v>
      </c>
      <c r="K175">
        <f t="shared" ca="1" si="4"/>
        <v>4</v>
      </c>
      <c r="L175">
        <f t="shared" ca="1" si="5"/>
        <v>5</v>
      </c>
      <c r="M175" t="s">
        <v>1810</v>
      </c>
      <c r="N175">
        <v>5</v>
      </c>
      <c r="O175" t="s">
        <v>1815</v>
      </c>
      <c r="P175" t="s">
        <v>1833</v>
      </c>
    </row>
    <row r="176" spans="1:16" x14ac:dyDescent="0.3">
      <c r="A176" t="s">
        <v>187</v>
      </c>
      <c r="B176" t="s">
        <v>1735</v>
      </c>
      <c r="C176">
        <v>50</v>
      </c>
      <c r="D176" t="s">
        <v>1783</v>
      </c>
      <c r="E176" t="s">
        <v>1787</v>
      </c>
      <c r="F176" t="s">
        <v>1799</v>
      </c>
      <c r="G176" s="5">
        <v>37369</v>
      </c>
      <c r="H176" t="s">
        <v>1802</v>
      </c>
      <c r="I176" t="s">
        <v>1807</v>
      </c>
      <c r="J176" s="2">
        <v>44783</v>
      </c>
      <c r="K176">
        <f t="shared" ca="1" si="4"/>
        <v>3</v>
      </c>
      <c r="L176">
        <f t="shared" ca="1" si="5"/>
        <v>4</v>
      </c>
      <c r="M176" t="s">
        <v>1809</v>
      </c>
      <c r="N176">
        <v>2</v>
      </c>
      <c r="O176" t="s">
        <v>1818</v>
      </c>
      <c r="P176" t="s">
        <v>1834</v>
      </c>
    </row>
    <row r="177" spans="1:16" x14ac:dyDescent="0.3">
      <c r="A177" t="s">
        <v>188</v>
      </c>
      <c r="B177" t="s">
        <v>1737</v>
      </c>
      <c r="C177">
        <v>46</v>
      </c>
      <c r="D177" t="s">
        <v>1783</v>
      </c>
      <c r="E177" t="s">
        <v>1787</v>
      </c>
      <c r="F177" t="s">
        <v>1798</v>
      </c>
      <c r="G177" s="5">
        <v>108505</v>
      </c>
      <c r="H177" t="s">
        <v>1803</v>
      </c>
      <c r="I177" t="s">
        <v>1806</v>
      </c>
      <c r="J177" s="2">
        <v>45612</v>
      </c>
      <c r="K177">
        <f t="shared" ca="1" si="4"/>
        <v>1</v>
      </c>
      <c r="L177">
        <f t="shared" ca="1" si="5"/>
        <v>0</v>
      </c>
      <c r="M177" t="s">
        <v>1810</v>
      </c>
      <c r="N177">
        <v>1</v>
      </c>
      <c r="O177" t="s">
        <v>1816</v>
      </c>
      <c r="P177" t="s">
        <v>1834</v>
      </c>
    </row>
    <row r="178" spans="1:16" x14ac:dyDescent="0.3">
      <c r="A178" t="s">
        <v>189</v>
      </c>
      <c r="B178" t="s">
        <v>1756</v>
      </c>
      <c r="C178">
        <v>55</v>
      </c>
      <c r="D178" t="s">
        <v>1784</v>
      </c>
      <c r="E178" t="s">
        <v>1790</v>
      </c>
      <c r="F178" t="s">
        <v>1800</v>
      </c>
      <c r="G178" s="5">
        <v>86875</v>
      </c>
      <c r="H178" t="s">
        <v>1804</v>
      </c>
      <c r="I178" t="s">
        <v>1807</v>
      </c>
      <c r="J178" s="2">
        <v>44320</v>
      </c>
      <c r="K178">
        <f t="shared" ca="1" si="4"/>
        <v>4</v>
      </c>
      <c r="L178">
        <f t="shared" ca="1" si="5"/>
        <v>7</v>
      </c>
      <c r="M178" t="s">
        <v>1810</v>
      </c>
      <c r="N178">
        <v>5</v>
      </c>
      <c r="O178" t="s">
        <v>1817</v>
      </c>
      <c r="P178" t="s">
        <v>1834</v>
      </c>
    </row>
    <row r="179" spans="1:16" x14ac:dyDescent="0.3">
      <c r="A179" t="s">
        <v>190</v>
      </c>
      <c r="B179" t="s">
        <v>1763</v>
      </c>
      <c r="C179">
        <v>50</v>
      </c>
      <c r="D179" t="s">
        <v>1783</v>
      </c>
      <c r="E179" t="s">
        <v>1786</v>
      </c>
      <c r="F179" t="s">
        <v>1795</v>
      </c>
      <c r="G179" s="5">
        <v>54569</v>
      </c>
      <c r="H179" t="s">
        <v>1804</v>
      </c>
      <c r="I179" t="s">
        <v>1807</v>
      </c>
      <c r="J179" s="2">
        <v>43657</v>
      </c>
      <c r="K179">
        <f t="shared" ca="1" si="4"/>
        <v>6</v>
      </c>
      <c r="L179">
        <f t="shared" ca="1" si="5"/>
        <v>4</v>
      </c>
      <c r="M179" t="s">
        <v>1810</v>
      </c>
      <c r="N179">
        <v>2</v>
      </c>
      <c r="O179" t="s">
        <v>1812</v>
      </c>
      <c r="P179" t="s">
        <v>1834</v>
      </c>
    </row>
    <row r="180" spans="1:16" x14ac:dyDescent="0.3">
      <c r="A180" t="s">
        <v>191</v>
      </c>
      <c r="B180" t="s">
        <v>1731</v>
      </c>
      <c r="C180">
        <v>42</v>
      </c>
      <c r="D180" t="s">
        <v>1785</v>
      </c>
      <c r="E180" t="s">
        <v>1788</v>
      </c>
      <c r="F180" t="s">
        <v>1797</v>
      </c>
      <c r="G180" s="5">
        <v>55721</v>
      </c>
      <c r="H180" t="s">
        <v>1805</v>
      </c>
      <c r="I180" t="s">
        <v>1806</v>
      </c>
      <c r="J180" s="2">
        <v>44662</v>
      </c>
      <c r="K180">
        <f t="shared" ca="1" si="4"/>
        <v>3</v>
      </c>
      <c r="L180">
        <f t="shared" ca="1" si="5"/>
        <v>7</v>
      </c>
      <c r="M180" t="s">
        <v>1810</v>
      </c>
      <c r="N180">
        <v>4</v>
      </c>
      <c r="O180" t="s">
        <v>1817</v>
      </c>
      <c r="P180" t="s">
        <v>1831</v>
      </c>
    </row>
    <row r="181" spans="1:16" x14ac:dyDescent="0.3">
      <c r="A181" t="s">
        <v>192</v>
      </c>
      <c r="B181" t="s">
        <v>1738</v>
      </c>
      <c r="C181">
        <v>22</v>
      </c>
      <c r="D181" t="s">
        <v>1784</v>
      </c>
      <c r="E181" t="s">
        <v>1793</v>
      </c>
      <c r="F181" t="s">
        <v>1800</v>
      </c>
      <c r="G181" s="5">
        <v>63398</v>
      </c>
      <c r="H181" t="s">
        <v>1804</v>
      </c>
      <c r="I181" t="s">
        <v>1806</v>
      </c>
      <c r="J181" s="2">
        <v>44400</v>
      </c>
      <c r="K181">
        <f t="shared" ca="1" si="4"/>
        <v>4</v>
      </c>
      <c r="L181">
        <f t="shared" ca="1" si="5"/>
        <v>4</v>
      </c>
      <c r="M181" t="s">
        <v>1809</v>
      </c>
      <c r="N181">
        <v>2</v>
      </c>
      <c r="O181" t="s">
        <v>1814</v>
      </c>
      <c r="P181" t="s">
        <v>1832</v>
      </c>
    </row>
    <row r="182" spans="1:16" x14ac:dyDescent="0.3">
      <c r="A182" t="s">
        <v>193</v>
      </c>
      <c r="B182" t="s">
        <v>1719</v>
      </c>
      <c r="C182">
        <v>37</v>
      </c>
      <c r="D182" t="s">
        <v>1783</v>
      </c>
      <c r="E182" t="s">
        <v>1793</v>
      </c>
      <c r="F182" t="s">
        <v>1794</v>
      </c>
      <c r="G182" s="5">
        <v>98698</v>
      </c>
      <c r="H182" t="s">
        <v>1805</v>
      </c>
      <c r="I182" t="s">
        <v>1807</v>
      </c>
      <c r="J182" s="2">
        <v>43431</v>
      </c>
      <c r="K182">
        <f t="shared" ca="1" si="4"/>
        <v>7</v>
      </c>
      <c r="L182">
        <f t="shared" ca="1" si="5"/>
        <v>0</v>
      </c>
      <c r="M182" t="s">
        <v>1809</v>
      </c>
      <c r="N182">
        <v>5</v>
      </c>
      <c r="O182" t="s">
        <v>1815</v>
      </c>
      <c r="P182" t="s">
        <v>1831</v>
      </c>
    </row>
    <row r="183" spans="1:16" x14ac:dyDescent="0.3">
      <c r="A183" t="s">
        <v>194</v>
      </c>
      <c r="B183" t="s">
        <v>1779</v>
      </c>
      <c r="C183">
        <v>26</v>
      </c>
      <c r="D183" t="s">
        <v>1784</v>
      </c>
      <c r="E183" t="s">
        <v>1789</v>
      </c>
      <c r="F183" t="s">
        <v>1800</v>
      </c>
      <c r="G183" s="5">
        <v>112025</v>
      </c>
      <c r="H183" t="s">
        <v>1801</v>
      </c>
      <c r="I183" t="s">
        <v>1806</v>
      </c>
      <c r="J183" s="2">
        <v>45595</v>
      </c>
      <c r="K183">
        <f t="shared" ca="1" si="4"/>
        <v>1</v>
      </c>
      <c r="L183">
        <f t="shared" ca="1" si="5"/>
        <v>1</v>
      </c>
      <c r="M183" t="s">
        <v>1809</v>
      </c>
      <c r="N183">
        <v>1</v>
      </c>
      <c r="O183" t="s">
        <v>1816</v>
      </c>
      <c r="P183" t="s">
        <v>1833</v>
      </c>
    </row>
    <row r="184" spans="1:16" x14ac:dyDescent="0.3">
      <c r="A184" t="s">
        <v>195</v>
      </c>
      <c r="B184" t="s">
        <v>1746</v>
      </c>
      <c r="C184">
        <v>50</v>
      </c>
      <c r="D184" t="s">
        <v>1784</v>
      </c>
      <c r="E184" t="s">
        <v>1786</v>
      </c>
      <c r="F184" t="s">
        <v>1796</v>
      </c>
      <c r="G184" s="5">
        <v>117078</v>
      </c>
      <c r="H184" t="s">
        <v>1804</v>
      </c>
      <c r="I184" t="s">
        <v>1808</v>
      </c>
      <c r="J184" s="2">
        <v>45083</v>
      </c>
      <c r="K184">
        <f t="shared" ca="1" si="4"/>
        <v>2</v>
      </c>
      <c r="L184">
        <f t="shared" ca="1" si="5"/>
        <v>6</v>
      </c>
      <c r="M184" t="s">
        <v>1809</v>
      </c>
      <c r="N184">
        <v>1</v>
      </c>
      <c r="O184" t="s">
        <v>1815</v>
      </c>
      <c r="P184" t="s">
        <v>1834</v>
      </c>
    </row>
    <row r="185" spans="1:16" x14ac:dyDescent="0.3">
      <c r="A185" t="s">
        <v>196</v>
      </c>
      <c r="B185" t="s">
        <v>1719</v>
      </c>
      <c r="C185">
        <v>22</v>
      </c>
      <c r="D185" t="s">
        <v>1783</v>
      </c>
      <c r="E185" t="s">
        <v>1787</v>
      </c>
      <c r="F185" t="s">
        <v>1797</v>
      </c>
      <c r="G185" s="5">
        <v>41040</v>
      </c>
      <c r="H185" t="s">
        <v>1803</v>
      </c>
      <c r="I185" t="s">
        <v>1808</v>
      </c>
      <c r="J185" s="2">
        <v>43201</v>
      </c>
      <c r="K185">
        <f t="shared" ca="1" si="4"/>
        <v>7</v>
      </c>
      <c r="L185">
        <f t="shared" ca="1" si="5"/>
        <v>7</v>
      </c>
      <c r="M185" t="s">
        <v>1810</v>
      </c>
      <c r="N185">
        <v>1</v>
      </c>
      <c r="O185" t="s">
        <v>1818</v>
      </c>
      <c r="P185" t="s">
        <v>1832</v>
      </c>
    </row>
    <row r="186" spans="1:16" x14ac:dyDescent="0.3">
      <c r="A186" t="s">
        <v>197</v>
      </c>
      <c r="B186" t="s">
        <v>1763</v>
      </c>
      <c r="C186">
        <v>58</v>
      </c>
      <c r="D186" t="s">
        <v>1783</v>
      </c>
      <c r="E186" t="s">
        <v>1789</v>
      </c>
      <c r="F186" t="s">
        <v>1800</v>
      </c>
      <c r="G186" s="5">
        <v>55298</v>
      </c>
      <c r="H186" t="s">
        <v>1805</v>
      </c>
      <c r="I186" t="s">
        <v>1806</v>
      </c>
      <c r="J186" s="2">
        <v>44461</v>
      </c>
      <c r="K186">
        <f t="shared" ca="1" si="4"/>
        <v>4</v>
      </c>
      <c r="L186">
        <f t="shared" ca="1" si="5"/>
        <v>2</v>
      </c>
      <c r="M186" t="s">
        <v>1809</v>
      </c>
      <c r="N186">
        <v>5</v>
      </c>
      <c r="O186" t="s">
        <v>1812</v>
      </c>
      <c r="P186" t="s">
        <v>1834</v>
      </c>
    </row>
    <row r="187" spans="1:16" x14ac:dyDescent="0.3">
      <c r="A187" t="s">
        <v>198</v>
      </c>
      <c r="B187" t="s">
        <v>1734</v>
      </c>
      <c r="C187">
        <v>27</v>
      </c>
      <c r="D187" t="s">
        <v>1784</v>
      </c>
      <c r="E187" t="s">
        <v>1791</v>
      </c>
      <c r="F187" t="s">
        <v>1800</v>
      </c>
      <c r="G187" s="5">
        <v>113829</v>
      </c>
      <c r="H187" t="s">
        <v>1804</v>
      </c>
      <c r="I187" t="s">
        <v>1806</v>
      </c>
      <c r="J187" s="2">
        <v>43200</v>
      </c>
      <c r="K187">
        <f t="shared" ca="1" si="4"/>
        <v>7</v>
      </c>
      <c r="L187">
        <f t="shared" ca="1" si="5"/>
        <v>8</v>
      </c>
      <c r="M187" t="s">
        <v>1809</v>
      </c>
      <c r="N187">
        <v>3</v>
      </c>
      <c r="O187" t="s">
        <v>1814</v>
      </c>
      <c r="P187" t="s">
        <v>1833</v>
      </c>
    </row>
    <row r="188" spans="1:16" x14ac:dyDescent="0.3">
      <c r="A188" t="s">
        <v>199</v>
      </c>
      <c r="B188" t="s">
        <v>1760</v>
      </c>
      <c r="C188">
        <v>32</v>
      </c>
      <c r="D188" t="s">
        <v>1783</v>
      </c>
      <c r="E188" t="s">
        <v>1787</v>
      </c>
      <c r="F188" t="s">
        <v>1795</v>
      </c>
      <c r="G188" s="5">
        <v>74059</v>
      </c>
      <c r="H188" t="s">
        <v>1804</v>
      </c>
      <c r="I188" t="s">
        <v>1807</v>
      </c>
      <c r="J188" s="2">
        <v>44079</v>
      </c>
      <c r="K188">
        <f t="shared" ca="1" si="4"/>
        <v>5</v>
      </c>
      <c r="L188">
        <f t="shared" ca="1" si="5"/>
        <v>3</v>
      </c>
      <c r="M188" t="s">
        <v>1809</v>
      </c>
      <c r="N188">
        <v>2</v>
      </c>
      <c r="O188" t="s">
        <v>1816</v>
      </c>
      <c r="P188" t="s">
        <v>1833</v>
      </c>
    </row>
    <row r="189" spans="1:16" x14ac:dyDescent="0.3">
      <c r="A189" t="s">
        <v>200</v>
      </c>
      <c r="B189" t="s">
        <v>1737</v>
      </c>
      <c r="C189">
        <v>35</v>
      </c>
      <c r="D189" t="s">
        <v>1783</v>
      </c>
      <c r="E189" t="s">
        <v>1788</v>
      </c>
      <c r="F189" t="s">
        <v>1798</v>
      </c>
      <c r="G189" s="5">
        <v>68275</v>
      </c>
      <c r="H189" t="s">
        <v>1803</v>
      </c>
      <c r="I189" t="s">
        <v>1808</v>
      </c>
      <c r="J189" s="2">
        <v>43788</v>
      </c>
      <c r="K189">
        <f t="shared" ca="1" si="4"/>
        <v>6</v>
      </c>
      <c r="L189">
        <f t="shared" ca="1" si="5"/>
        <v>0</v>
      </c>
      <c r="M189" t="s">
        <v>1810</v>
      </c>
      <c r="N189">
        <v>5</v>
      </c>
      <c r="O189" t="s">
        <v>1818</v>
      </c>
      <c r="P189" t="s">
        <v>1833</v>
      </c>
    </row>
    <row r="190" spans="1:16" x14ac:dyDescent="0.3">
      <c r="A190" t="s">
        <v>201</v>
      </c>
      <c r="B190" t="s">
        <v>1780</v>
      </c>
      <c r="C190">
        <v>43</v>
      </c>
      <c r="D190" t="s">
        <v>1785</v>
      </c>
      <c r="E190" t="s">
        <v>1786</v>
      </c>
      <c r="F190" t="s">
        <v>1794</v>
      </c>
      <c r="G190" s="5">
        <v>26142</v>
      </c>
      <c r="H190" t="s">
        <v>1801</v>
      </c>
      <c r="I190" t="s">
        <v>1808</v>
      </c>
      <c r="J190" s="2">
        <v>43694</v>
      </c>
      <c r="K190">
        <f t="shared" ca="1" si="4"/>
        <v>6</v>
      </c>
      <c r="L190">
        <f t="shared" ca="1" si="5"/>
        <v>3</v>
      </c>
      <c r="M190" t="s">
        <v>1809</v>
      </c>
      <c r="N190">
        <v>4</v>
      </c>
      <c r="O190" t="s">
        <v>1814</v>
      </c>
      <c r="P190" t="s">
        <v>1831</v>
      </c>
    </row>
    <row r="191" spans="1:16" x14ac:dyDescent="0.3">
      <c r="A191" t="s">
        <v>202</v>
      </c>
      <c r="B191" t="s">
        <v>1745</v>
      </c>
      <c r="C191">
        <v>38</v>
      </c>
      <c r="D191" t="s">
        <v>1784</v>
      </c>
      <c r="E191" t="s">
        <v>1786</v>
      </c>
      <c r="F191" t="s">
        <v>1798</v>
      </c>
      <c r="G191" s="5">
        <v>46721</v>
      </c>
      <c r="H191" t="s">
        <v>1803</v>
      </c>
      <c r="I191" t="s">
        <v>1807</v>
      </c>
      <c r="J191" s="2">
        <v>44301</v>
      </c>
      <c r="K191">
        <f t="shared" ca="1" si="4"/>
        <v>4</v>
      </c>
      <c r="L191">
        <f t="shared" ca="1" si="5"/>
        <v>7</v>
      </c>
      <c r="M191" t="s">
        <v>1810</v>
      </c>
      <c r="N191">
        <v>4</v>
      </c>
      <c r="O191" t="s">
        <v>1812</v>
      </c>
      <c r="P191" t="s">
        <v>1831</v>
      </c>
    </row>
    <row r="192" spans="1:16" x14ac:dyDescent="0.3">
      <c r="A192" t="s">
        <v>203</v>
      </c>
      <c r="B192" t="s">
        <v>1727</v>
      </c>
      <c r="C192">
        <v>33</v>
      </c>
      <c r="D192" t="s">
        <v>1783</v>
      </c>
      <c r="E192" t="s">
        <v>1793</v>
      </c>
      <c r="F192" t="s">
        <v>1800</v>
      </c>
      <c r="G192" s="5">
        <v>86879</v>
      </c>
      <c r="H192" t="s">
        <v>1805</v>
      </c>
      <c r="I192" t="s">
        <v>1806</v>
      </c>
      <c r="J192" s="2">
        <v>43919</v>
      </c>
      <c r="K192">
        <f t="shared" ca="1" si="4"/>
        <v>5</v>
      </c>
      <c r="L192">
        <f t="shared" ca="1" si="5"/>
        <v>8</v>
      </c>
      <c r="M192" t="s">
        <v>1809</v>
      </c>
      <c r="N192">
        <v>5</v>
      </c>
      <c r="O192" t="s">
        <v>1813</v>
      </c>
      <c r="P192" t="s">
        <v>1833</v>
      </c>
    </row>
    <row r="193" spans="1:16" x14ac:dyDescent="0.3">
      <c r="A193" t="s">
        <v>204</v>
      </c>
      <c r="B193" t="s">
        <v>1720</v>
      </c>
      <c r="C193">
        <v>55</v>
      </c>
      <c r="D193" t="s">
        <v>1785</v>
      </c>
      <c r="E193" t="s">
        <v>1786</v>
      </c>
      <c r="F193" t="s">
        <v>1795</v>
      </c>
      <c r="G193" s="5">
        <v>93065</v>
      </c>
      <c r="H193" t="s">
        <v>1802</v>
      </c>
      <c r="I193" t="s">
        <v>1807</v>
      </c>
      <c r="J193" s="2">
        <v>43781</v>
      </c>
      <c r="K193">
        <f t="shared" ca="1" si="4"/>
        <v>6</v>
      </c>
      <c r="L193">
        <f t="shared" ca="1" si="5"/>
        <v>0</v>
      </c>
      <c r="M193" t="s">
        <v>1810</v>
      </c>
      <c r="N193">
        <v>1</v>
      </c>
      <c r="O193" t="s">
        <v>1815</v>
      </c>
      <c r="P193" t="s">
        <v>1834</v>
      </c>
    </row>
    <row r="194" spans="1:16" x14ac:dyDescent="0.3">
      <c r="A194" t="s">
        <v>205</v>
      </c>
      <c r="B194" t="s">
        <v>1770</v>
      </c>
      <c r="C194">
        <v>25</v>
      </c>
      <c r="D194" t="s">
        <v>1785</v>
      </c>
      <c r="E194" t="s">
        <v>1790</v>
      </c>
      <c r="F194" t="s">
        <v>1800</v>
      </c>
      <c r="G194" s="5">
        <v>25292</v>
      </c>
      <c r="H194" t="s">
        <v>1802</v>
      </c>
      <c r="I194" t="s">
        <v>1806</v>
      </c>
      <c r="J194" s="2">
        <v>44139</v>
      </c>
      <c r="K194">
        <f t="shared" ca="1" si="4"/>
        <v>5</v>
      </c>
      <c r="L194">
        <f t="shared" ca="1" si="5"/>
        <v>1</v>
      </c>
      <c r="M194" t="s">
        <v>1810</v>
      </c>
      <c r="N194">
        <v>5</v>
      </c>
      <c r="O194" t="s">
        <v>1818</v>
      </c>
      <c r="P194" t="s">
        <v>1832</v>
      </c>
    </row>
    <row r="195" spans="1:16" x14ac:dyDescent="0.3">
      <c r="A195" t="s">
        <v>206</v>
      </c>
      <c r="B195" t="s">
        <v>1748</v>
      </c>
      <c r="C195">
        <v>39</v>
      </c>
      <c r="D195" t="s">
        <v>1785</v>
      </c>
      <c r="E195" t="s">
        <v>1792</v>
      </c>
      <c r="F195" t="s">
        <v>1796</v>
      </c>
      <c r="G195" s="5">
        <v>69897</v>
      </c>
      <c r="H195" t="s">
        <v>1801</v>
      </c>
      <c r="I195" t="s">
        <v>1806</v>
      </c>
      <c r="J195" s="2">
        <v>43330</v>
      </c>
      <c r="K195">
        <f t="shared" ref="K195:K258" ca="1" si="6">YEAR(TODAY()) - YEAR(J195)</f>
        <v>7</v>
      </c>
      <c r="L195">
        <f t="shared" ref="L195:L258" ca="1" si="7">DATEDIF(J195,TODAY(),"YM")</f>
        <v>3</v>
      </c>
      <c r="M195" t="s">
        <v>1809</v>
      </c>
      <c r="N195">
        <v>1</v>
      </c>
      <c r="O195" t="s">
        <v>1811</v>
      </c>
      <c r="P195" t="s">
        <v>1831</v>
      </c>
    </row>
    <row r="196" spans="1:16" x14ac:dyDescent="0.3">
      <c r="A196" t="s">
        <v>207</v>
      </c>
      <c r="B196" t="s">
        <v>1758</v>
      </c>
      <c r="C196">
        <v>24</v>
      </c>
      <c r="D196" t="s">
        <v>1785</v>
      </c>
      <c r="E196" t="s">
        <v>1792</v>
      </c>
      <c r="F196" t="s">
        <v>1800</v>
      </c>
      <c r="G196" s="5">
        <v>27046</v>
      </c>
      <c r="H196" t="s">
        <v>1801</v>
      </c>
      <c r="I196" t="s">
        <v>1808</v>
      </c>
      <c r="J196" s="2">
        <v>44112</v>
      </c>
      <c r="K196">
        <f t="shared" ca="1" si="6"/>
        <v>5</v>
      </c>
      <c r="L196">
        <f t="shared" ca="1" si="7"/>
        <v>2</v>
      </c>
      <c r="M196" t="s">
        <v>1809</v>
      </c>
      <c r="N196">
        <v>2</v>
      </c>
      <c r="O196" t="s">
        <v>1811</v>
      </c>
      <c r="P196" t="s">
        <v>1832</v>
      </c>
    </row>
    <row r="197" spans="1:16" x14ac:dyDescent="0.3">
      <c r="A197" t="s">
        <v>208</v>
      </c>
      <c r="B197" t="s">
        <v>1731</v>
      </c>
      <c r="C197">
        <v>48</v>
      </c>
      <c r="D197" t="s">
        <v>1784</v>
      </c>
      <c r="E197" t="s">
        <v>1787</v>
      </c>
      <c r="F197" t="s">
        <v>1794</v>
      </c>
      <c r="G197" s="5">
        <v>28518</v>
      </c>
      <c r="H197" t="s">
        <v>1805</v>
      </c>
      <c r="I197" t="s">
        <v>1807</v>
      </c>
      <c r="J197" s="2">
        <v>45114</v>
      </c>
      <c r="K197">
        <f t="shared" ca="1" si="6"/>
        <v>2</v>
      </c>
      <c r="L197">
        <f t="shared" ca="1" si="7"/>
        <v>5</v>
      </c>
      <c r="M197" t="s">
        <v>1810</v>
      </c>
      <c r="N197">
        <v>1</v>
      </c>
      <c r="O197" t="s">
        <v>1816</v>
      </c>
      <c r="P197" t="s">
        <v>1834</v>
      </c>
    </row>
    <row r="198" spans="1:16" x14ac:dyDescent="0.3">
      <c r="A198" t="s">
        <v>209</v>
      </c>
      <c r="B198" t="s">
        <v>1748</v>
      </c>
      <c r="C198">
        <v>53</v>
      </c>
      <c r="D198" t="s">
        <v>1783</v>
      </c>
      <c r="E198" t="s">
        <v>1786</v>
      </c>
      <c r="F198" t="s">
        <v>1799</v>
      </c>
      <c r="G198" s="5">
        <v>18455</v>
      </c>
      <c r="H198" t="s">
        <v>1801</v>
      </c>
      <c r="I198" t="s">
        <v>1808</v>
      </c>
      <c r="J198" s="2">
        <v>44334</v>
      </c>
      <c r="K198">
        <f t="shared" ca="1" si="6"/>
        <v>4</v>
      </c>
      <c r="L198">
        <f t="shared" ca="1" si="7"/>
        <v>6</v>
      </c>
      <c r="M198" t="s">
        <v>1810</v>
      </c>
      <c r="N198">
        <v>5</v>
      </c>
      <c r="O198" t="s">
        <v>1811</v>
      </c>
      <c r="P198" t="s">
        <v>1834</v>
      </c>
    </row>
    <row r="199" spans="1:16" x14ac:dyDescent="0.3">
      <c r="A199" t="s">
        <v>210</v>
      </c>
      <c r="B199" t="s">
        <v>1732</v>
      </c>
      <c r="C199">
        <v>49</v>
      </c>
      <c r="D199" t="s">
        <v>1784</v>
      </c>
      <c r="E199" t="s">
        <v>1791</v>
      </c>
      <c r="F199" t="s">
        <v>1798</v>
      </c>
      <c r="G199" s="5">
        <v>54129</v>
      </c>
      <c r="H199" t="s">
        <v>1801</v>
      </c>
      <c r="I199" t="s">
        <v>1807</v>
      </c>
      <c r="J199" s="2">
        <v>45753</v>
      </c>
      <c r="K199">
        <f t="shared" ca="1" si="6"/>
        <v>0</v>
      </c>
      <c r="L199">
        <f t="shared" ca="1" si="7"/>
        <v>8</v>
      </c>
      <c r="M199" t="s">
        <v>1810</v>
      </c>
      <c r="N199">
        <v>5</v>
      </c>
      <c r="O199" t="s">
        <v>1818</v>
      </c>
      <c r="P199" t="s">
        <v>1834</v>
      </c>
    </row>
    <row r="200" spans="1:16" x14ac:dyDescent="0.3">
      <c r="A200" t="s">
        <v>211</v>
      </c>
      <c r="B200" t="s">
        <v>1732</v>
      </c>
      <c r="C200">
        <v>24</v>
      </c>
      <c r="D200" t="s">
        <v>1783</v>
      </c>
      <c r="E200" t="s">
        <v>1792</v>
      </c>
      <c r="F200" t="s">
        <v>1795</v>
      </c>
      <c r="G200" s="5">
        <v>76515</v>
      </c>
      <c r="H200" t="s">
        <v>1801</v>
      </c>
      <c r="I200" t="s">
        <v>1807</v>
      </c>
      <c r="J200" s="2">
        <v>45471</v>
      </c>
      <c r="K200">
        <f t="shared" ca="1" si="6"/>
        <v>1</v>
      </c>
      <c r="L200">
        <f t="shared" ca="1" si="7"/>
        <v>5</v>
      </c>
      <c r="M200" t="s">
        <v>1809</v>
      </c>
      <c r="N200">
        <v>4</v>
      </c>
      <c r="O200" t="s">
        <v>1812</v>
      </c>
      <c r="P200" t="s">
        <v>1832</v>
      </c>
    </row>
    <row r="201" spans="1:16" x14ac:dyDescent="0.3">
      <c r="A201" t="s">
        <v>212</v>
      </c>
      <c r="B201" t="s">
        <v>1730</v>
      </c>
      <c r="C201">
        <v>33</v>
      </c>
      <c r="D201" t="s">
        <v>1783</v>
      </c>
      <c r="E201" t="s">
        <v>1791</v>
      </c>
      <c r="F201" t="s">
        <v>1796</v>
      </c>
      <c r="G201" s="5">
        <v>84046</v>
      </c>
      <c r="H201" t="s">
        <v>1802</v>
      </c>
      <c r="I201" t="s">
        <v>1806</v>
      </c>
      <c r="J201" s="2">
        <v>44797</v>
      </c>
      <c r="K201">
        <f t="shared" ca="1" si="6"/>
        <v>3</v>
      </c>
      <c r="L201">
        <f t="shared" ca="1" si="7"/>
        <v>3</v>
      </c>
      <c r="M201" t="s">
        <v>1810</v>
      </c>
      <c r="N201">
        <v>5</v>
      </c>
      <c r="O201" t="s">
        <v>1817</v>
      </c>
      <c r="P201" t="s">
        <v>1833</v>
      </c>
    </row>
    <row r="202" spans="1:16" x14ac:dyDescent="0.3">
      <c r="A202" t="s">
        <v>213</v>
      </c>
      <c r="B202" t="s">
        <v>1762</v>
      </c>
      <c r="C202">
        <v>29</v>
      </c>
      <c r="D202" t="s">
        <v>1785</v>
      </c>
      <c r="E202" t="s">
        <v>1786</v>
      </c>
      <c r="F202" t="s">
        <v>1796</v>
      </c>
      <c r="G202" s="5">
        <v>72206</v>
      </c>
      <c r="H202" t="s">
        <v>1804</v>
      </c>
      <c r="I202" t="s">
        <v>1807</v>
      </c>
      <c r="J202" s="2">
        <v>44718</v>
      </c>
      <c r="K202">
        <f t="shared" ca="1" si="6"/>
        <v>3</v>
      </c>
      <c r="L202">
        <f t="shared" ca="1" si="7"/>
        <v>6</v>
      </c>
      <c r="M202" t="s">
        <v>1809</v>
      </c>
      <c r="N202">
        <v>4</v>
      </c>
      <c r="O202" t="s">
        <v>1812</v>
      </c>
      <c r="P202" t="s">
        <v>1833</v>
      </c>
    </row>
    <row r="203" spans="1:16" x14ac:dyDescent="0.3">
      <c r="A203" t="s">
        <v>214</v>
      </c>
      <c r="B203" t="s">
        <v>1740</v>
      </c>
      <c r="C203">
        <v>44</v>
      </c>
      <c r="D203" t="s">
        <v>1785</v>
      </c>
      <c r="E203" t="s">
        <v>1789</v>
      </c>
      <c r="F203" t="s">
        <v>1800</v>
      </c>
      <c r="G203" s="5">
        <v>109266</v>
      </c>
      <c r="H203" t="s">
        <v>1803</v>
      </c>
      <c r="I203" t="s">
        <v>1807</v>
      </c>
      <c r="J203" s="2">
        <v>43666</v>
      </c>
      <c r="K203">
        <f t="shared" ca="1" si="6"/>
        <v>6</v>
      </c>
      <c r="L203">
        <f t="shared" ca="1" si="7"/>
        <v>4</v>
      </c>
      <c r="M203" t="s">
        <v>1810</v>
      </c>
      <c r="N203">
        <v>2</v>
      </c>
      <c r="O203" t="s">
        <v>1812</v>
      </c>
      <c r="P203" t="s">
        <v>1831</v>
      </c>
    </row>
    <row r="204" spans="1:16" x14ac:dyDescent="0.3">
      <c r="A204" t="s">
        <v>215</v>
      </c>
      <c r="B204" t="s">
        <v>1742</v>
      </c>
      <c r="C204">
        <v>34</v>
      </c>
      <c r="D204" t="s">
        <v>1784</v>
      </c>
      <c r="E204" t="s">
        <v>1791</v>
      </c>
      <c r="F204" t="s">
        <v>1797</v>
      </c>
      <c r="G204" s="5">
        <v>78689</v>
      </c>
      <c r="H204" t="s">
        <v>1805</v>
      </c>
      <c r="I204" t="s">
        <v>1808</v>
      </c>
      <c r="J204" s="2">
        <v>44144</v>
      </c>
      <c r="K204">
        <f t="shared" ca="1" si="6"/>
        <v>5</v>
      </c>
      <c r="L204">
        <f t="shared" ca="1" si="7"/>
        <v>1</v>
      </c>
      <c r="M204" t="s">
        <v>1809</v>
      </c>
      <c r="N204">
        <v>4</v>
      </c>
      <c r="O204" t="s">
        <v>1815</v>
      </c>
      <c r="P204" t="s">
        <v>1833</v>
      </c>
    </row>
    <row r="205" spans="1:16" x14ac:dyDescent="0.3">
      <c r="A205" t="s">
        <v>216</v>
      </c>
      <c r="B205" t="s">
        <v>1734</v>
      </c>
      <c r="C205">
        <v>41</v>
      </c>
      <c r="D205" t="s">
        <v>1785</v>
      </c>
      <c r="E205" t="s">
        <v>1793</v>
      </c>
      <c r="F205" t="s">
        <v>1799</v>
      </c>
      <c r="G205" s="5">
        <v>76954</v>
      </c>
      <c r="H205" t="s">
        <v>1804</v>
      </c>
      <c r="I205" t="s">
        <v>1807</v>
      </c>
      <c r="J205" s="2">
        <v>44631</v>
      </c>
      <c r="K205">
        <f t="shared" ca="1" si="6"/>
        <v>3</v>
      </c>
      <c r="L205">
        <f t="shared" ca="1" si="7"/>
        <v>8</v>
      </c>
      <c r="M205" t="s">
        <v>1809</v>
      </c>
      <c r="N205">
        <v>1</v>
      </c>
      <c r="O205" t="s">
        <v>1814</v>
      </c>
      <c r="P205" t="s">
        <v>1831</v>
      </c>
    </row>
    <row r="206" spans="1:16" x14ac:dyDescent="0.3">
      <c r="A206" t="s">
        <v>217</v>
      </c>
      <c r="B206" t="s">
        <v>1746</v>
      </c>
      <c r="C206">
        <v>58</v>
      </c>
      <c r="D206" t="s">
        <v>1785</v>
      </c>
      <c r="E206" t="s">
        <v>1792</v>
      </c>
      <c r="F206" t="s">
        <v>1798</v>
      </c>
      <c r="G206" s="5">
        <v>27539</v>
      </c>
      <c r="H206" t="s">
        <v>1805</v>
      </c>
      <c r="I206" t="s">
        <v>1806</v>
      </c>
      <c r="J206" s="2">
        <v>45188</v>
      </c>
      <c r="K206">
        <f t="shared" ca="1" si="6"/>
        <v>2</v>
      </c>
      <c r="L206">
        <f t="shared" ca="1" si="7"/>
        <v>2</v>
      </c>
      <c r="M206" t="s">
        <v>1809</v>
      </c>
      <c r="N206">
        <v>4</v>
      </c>
      <c r="O206" t="s">
        <v>1815</v>
      </c>
      <c r="P206" t="s">
        <v>1834</v>
      </c>
    </row>
    <row r="207" spans="1:16" x14ac:dyDescent="0.3">
      <c r="A207" t="s">
        <v>218</v>
      </c>
      <c r="B207" t="s">
        <v>1775</v>
      </c>
      <c r="C207">
        <v>20</v>
      </c>
      <c r="D207" t="s">
        <v>1783</v>
      </c>
      <c r="E207" t="s">
        <v>1786</v>
      </c>
      <c r="F207" t="s">
        <v>1797</v>
      </c>
      <c r="G207" s="5">
        <v>115186</v>
      </c>
      <c r="H207" t="s">
        <v>1803</v>
      </c>
      <c r="I207" t="s">
        <v>1807</v>
      </c>
      <c r="J207" s="2">
        <v>45287</v>
      </c>
      <c r="K207">
        <f t="shared" ca="1" si="6"/>
        <v>2</v>
      </c>
      <c r="L207">
        <f t="shared" ca="1" si="7"/>
        <v>11</v>
      </c>
      <c r="M207" t="s">
        <v>1809</v>
      </c>
      <c r="N207">
        <v>4</v>
      </c>
      <c r="O207" t="s">
        <v>1815</v>
      </c>
      <c r="P207" t="s">
        <v>1832</v>
      </c>
    </row>
    <row r="208" spans="1:16" x14ac:dyDescent="0.3">
      <c r="A208" t="s">
        <v>219</v>
      </c>
      <c r="B208" t="s">
        <v>1739</v>
      </c>
      <c r="C208">
        <v>38</v>
      </c>
      <c r="D208" t="s">
        <v>1784</v>
      </c>
      <c r="E208" t="s">
        <v>1790</v>
      </c>
      <c r="F208" t="s">
        <v>1794</v>
      </c>
      <c r="G208" s="5">
        <v>87946</v>
      </c>
      <c r="H208" t="s">
        <v>1804</v>
      </c>
      <c r="I208" t="s">
        <v>1808</v>
      </c>
      <c r="J208" s="2">
        <v>43509</v>
      </c>
      <c r="K208">
        <f t="shared" ca="1" si="6"/>
        <v>6</v>
      </c>
      <c r="L208">
        <f t="shared" ca="1" si="7"/>
        <v>9</v>
      </c>
      <c r="M208" t="s">
        <v>1810</v>
      </c>
      <c r="N208">
        <v>5</v>
      </c>
      <c r="O208" t="s">
        <v>1812</v>
      </c>
      <c r="P208" t="s">
        <v>1831</v>
      </c>
    </row>
    <row r="209" spans="1:16" x14ac:dyDescent="0.3">
      <c r="A209" t="s">
        <v>220</v>
      </c>
      <c r="B209" t="s">
        <v>1726</v>
      </c>
      <c r="C209">
        <v>50</v>
      </c>
      <c r="D209" t="s">
        <v>1784</v>
      </c>
      <c r="E209" t="s">
        <v>1786</v>
      </c>
      <c r="F209" t="s">
        <v>1796</v>
      </c>
      <c r="G209" s="5">
        <v>66589</v>
      </c>
      <c r="H209" t="s">
        <v>1803</v>
      </c>
      <c r="I209" t="s">
        <v>1807</v>
      </c>
      <c r="J209" s="2">
        <v>44742</v>
      </c>
      <c r="K209">
        <f t="shared" ca="1" si="6"/>
        <v>3</v>
      </c>
      <c r="L209">
        <f t="shared" ca="1" si="7"/>
        <v>5</v>
      </c>
      <c r="M209" t="s">
        <v>1809</v>
      </c>
      <c r="N209">
        <v>2</v>
      </c>
      <c r="O209" t="s">
        <v>1818</v>
      </c>
      <c r="P209" t="s">
        <v>1834</v>
      </c>
    </row>
    <row r="210" spans="1:16" x14ac:dyDescent="0.3">
      <c r="A210" t="s">
        <v>221</v>
      </c>
      <c r="B210" t="s">
        <v>1763</v>
      </c>
      <c r="C210">
        <v>57</v>
      </c>
      <c r="D210" t="s">
        <v>1785</v>
      </c>
      <c r="E210" t="s">
        <v>1787</v>
      </c>
      <c r="F210" t="s">
        <v>1798</v>
      </c>
      <c r="G210" s="5">
        <v>56691</v>
      </c>
      <c r="H210" t="s">
        <v>1802</v>
      </c>
      <c r="I210" t="s">
        <v>1808</v>
      </c>
      <c r="J210" s="2">
        <v>43380</v>
      </c>
      <c r="K210">
        <f t="shared" ca="1" si="6"/>
        <v>7</v>
      </c>
      <c r="L210">
        <f t="shared" ca="1" si="7"/>
        <v>2</v>
      </c>
      <c r="M210" t="s">
        <v>1810</v>
      </c>
      <c r="N210">
        <v>5</v>
      </c>
      <c r="O210" t="s">
        <v>1815</v>
      </c>
      <c r="P210" t="s">
        <v>1834</v>
      </c>
    </row>
    <row r="211" spans="1:16" x14ac:dyDescent="0.3">
      <c r="A211" t="s">
        <v>222</v>
      </c>
      <c r="B211" t="s">
        <v>1773</v>
      </c>
      <c r="C211">
        <v>41</v>
      </c>
      <c r="D211" t="s">
        <v>1784</v>
      </c>
      <c r="E211" t="s">
        <v>1790</v>
      </c>
      <c r="F211" t="s">
        <v>1794</v>
      </c>
      <c r="G211" s="5">
        <v>112838</v>
      </c>
      <c r="H211" t="s">
        <v>1803</v>
      </c>
      <c r="I211" t="s">
        <v>1808</v>
      </c>
      <c r="J211" s="2">
        <v>43127</v>
      </c>
      <c r="K211">
        <f t="shared" ca="1" si="6"/>
        <v>7</v>
      </c>
      <c r="L211">
        <f t="shared" ca="1" si="7"/>
        <v>10</v>
      </c>
      <c r="M211" t="s">
        <v>1810</v>
      </c>
      <c r="N211">
        <v>2</v>
      </c>
      <c r="O211" t="s">
        <v>1816</v>
      </c>
      <c r="P211" t="s">
        <v>1831</v>
      </c>
    </row>
    <row r="212" spans="1:16" x14ac:dyDescent="0.3">
      <c r="A212" t="s">
        <v>223</v>
      </c>
      <c r="B212" t="s">
        <v>1748</v>
      </c>
      <c r="C212">
        <v>31</v>
      </c>
      <c r="D212" t="s">
        <v>1785</v>
      </c>
      <c r="E212" t="s">
        <v>1792</v>
      </c>
      <c r="F212" t="s">
        <v>1797</v>
      </c>
      <c r="G212" s="5">
        <v>86674</v>
      </c>
      <c r="H212" t="s">
        <v>1801</v>
      </c>
      <c r="I212" t="s">
        <v>1806</v>
      </c>
      <c r="J212" s="2">
        <v>42636</v>
      </c>
      <c r="K212">
        <f t="shared" ca="1" si="6"/>
        <v>9</v>
      </c>
      <c r="L212">
        <f t="shared" ca="1" si="7"/>
        <v>2</v>
      </c>
      <c r="M212" t="s">
        <v>1809</v>
      </c>
      <c r="N212">
        <v>4</v>
      </c>
      <c r="O212" t="s">
        <v>1816</v>
      </c>
      <c r="P212" t="s">
        <v>1833</v>
      </c>
    </row>
    <row r="213" spans="1:16" x14ac:dyDescent="0.3">
      <c r="A213" t="s">
        <v>224</v>
      </c>
      <c r="B213" t="s">
        <v>1779</v>
      </c>
      <c r="C213">
        <v>29</v>
      </c>
      <c r="D213" t="s">
        <v>1783</v>
      </c>
      <c r="E213" t="s">
        <v>1786</v>
      </c>
      <c r="F213" t="s">
        <v>1800</v>
      </c>
      <c r="G213" s="5">
        <v>84287</v>
      </c>
      <c r="H213" t="s">
        <v>1804</v>
      </c>
      <c r="I213" t="s">
        <v>1807</v>
      </c>
      <c r="J213" s="2">
        <v>44968</v>
      </c>
      <c r="K213">
        <f t="shared" ca="1" si="6"/>
        <v>2</v>
      </c>
      <c r="L213">
        <f t="shared" ca="1" si="7"/>
        <v>9</v>
      </c>
      <c r="M213" t="s">
        <v>1810</v>
      </c>
      <c r="N213">
        <v>4</v>
      </c>
      <c r="O213" t="s">
        <v>1818</v>
      </c>
      <c r="P213" t="s">
        <v>1833</v>
      </c>
    </row>
    <row r="214" spans="1:16" x14ac:dyDescent="0.3">
      <c r="A214" t="s">
        <v>225</v>
      </c>
      <c r="B214" t="s">
        <v>1735</v>
      </c>
      <c r="C214">
        <v>55</v>
      </c>
      <c r="D214" t="s">
        <v>1784</v>
      </c>
      <c r="E214" t="s">
        <v>1792</v>
      </c>
      <c r="F214" t="s">
        <v>1795</v>
      </c>
      <c r="G214" s="5">
        <v>20192</v>
      </c>
      <c r="H214" t="s">
        <v>1804</v>
      </c>
      <c r="I214" t="s">
        <v>1806</v>
      </c>
      <c r="J214" s="2">
        <v>43612</v>
      </c>
      <c r="K214">
        <f t="shared" ca="1" si="6"/>
        <v>6</v>
      </c>
      <c r="L214">
        <f t="shared" ca="1" si="7"/>
        <v>6</v>
      </c>
      <c r="M214" t="s">
        <v>1809</v>
      </c>
      <c r="N214">
        <v>5</v>
      </c>
      <c r="O214" t="s">
        <v>1811</v>
      </c>
      <c r="P214" t="s">
        <v>1834</v>
      </c>
    </row>
    <row r="215" spans="1:16" x14ac:dyDescent="0.3">
      <c r="A215" t="s">
        <v>226</v>
      </c>
      <c r="B215" t="s">
        <v>1761</v>
      </c>
      <c r="C215">
        <v>26</v>
      </c>
      <c r="D215" t="s">
        <v>1785</v>
      </c>
      <c r="E215" t="s">
        <v>1791</v>
      </c>
      <c r="F215" t="s">
        <v>1798</v>
      </c>
      <c r="G215" s="5">
        <v>49584</v>
      </c>
      <c r="H215" t="s">
        <v>1805</v>
      </c>
      <c r="I215" t="s">
        <v>1806</v>
      </c>
      <c r="J215" s="2">
        <v>43471</v>
      </c>
      <c r="K215">
        <f t="shared" ca="1" si="6"/>
        <v>6</v>
      </c>
      <c r="L215">
        <f t="shared" ca="1" si="7"/>
        <v>11</v>
      </c>
      <c r="M215" t="s">
        <v>1810</v>
      </c>
      <c r="N215">
        <v>3</v>
      </c>
      <c r="O215" t="s">
        <v>1811</v>
      </c>
      <c r="P215" t="s">
        <v>1833</v>
      </c>
    </row>
    <row r="216" spans="1:16" x14ac:dyDescent="0.3">
      <c r="A216" t="s">
        <v>227</v>
      </c>
      <c r="B216" t="s">
        <v>1757</v>
      </c>
      <c r="C216">
        <v>45</v>
      </c>
      <c r="D216" t="s">
        <v>1784</v>
      </c>
      <c r="E216" t="s">
        <v>1786</v>
      </c>
      <c r="F216" t="s">
        <v>1798</v>
      </c>
      <c r="G216" s="5">
        <v>109388</v>
      </c>
      <c r="H216" t="s">
        <v>1804</v>
      </c>
      <c r="I216" t="s">
        <v>1806</v>
      </c>
      <c r="J216" s="2">
        <v>45829</v>
      </c>
      <c r="K216">
        <f t="shared" ca="1" si="6"/>
        <v>0</v>
      </c>
      <c r="L216">
        <f t="shared" ca="1" si="7"/>
        <v>5</v>
      </c>
      <c r="M216" t="s">
        <v>1809</v>
      </c>
      <c r="N216">
        <v>1</v>
      </c>
      <c r="O216" t="s">
        <v>1813</v>
      </c>
      <c r="P216" t="s">
        <v>1831</v>
      </c>
    </row>
    <row r="217" spans="1:16" x14ac:dyDescent="0.3">
      <c r="A217" t="s">
        <v>228</v>
      </c>
      <c r="B217" t="s">
        <v>1723</v>
      </c>
      <c r="C217">
        <v>44</v>
      </c>
      <c r="D217" t="s">
        <v>1785</v>
      </c>
      <c r="E217" t="s">
        <v>1790</v>
      </c>
      <c r="F217" t="s">
        <v>1794</v>
      </c>
      <c r="G217" s="5">
        <v>25355</v>
      </c>
      <c r="H217" t="s">
        <v>1801</v>
      </c>
      <c r="I217" t="s">
        <v>1806</v>
      </c>
      <c r="J217" s="2">
        <v>43139</v>
      </c>
      <c r="K217">
        <f t="shared" ca="1" si="6"/>
        <v>7</v>
      </c>
      <c r="L217">
        <f t="shared" ca="1" si="7"/>
        <v>10</v>
      </c>
      <c r="M217" t="s">
        <v>1809</v>
      </c>
      <c r="N217">
        <v>4</v>
      </c>
      <c r="O217" t="s">
        <v>1811</v>
      </c>
      <c r="P217" t="s">
        <v>1831</v>
      </c>
    </row>
    <row r="218" spans="1:16" x14ac:dyDescent="0.3">
      <c r="A218" t="s">
        <v>229</v>
      </c>
      <c r="B218" t="s">
        <v>1753</v>
      </c>
      <c r="C218">
        <v>26</v>
      </c>
      <c r="D218" t="s">
        <v>1785</v>
      </c>
      <c r="E218" t="s">
        <v>1792</v>
      </c>
      <c r="F218" t="s">
        <v>1798</v>
      </c>
      <c r="G218" s="5">
        <v>48115</v>
      </c>
      <c r="H218" t="s">
        <v>1805</v>
      </c>
      <c r="I218" t="s">
        <v>1808</v>
      </c>
      <c r="J218" s="2">
        <v>43548</v>
      </c>
      <c r="K218">
        <f t="shared" ca="1" si="6"/>
        <v>6</v>
      </c>
      <c r="L218">
        <f t="shared" ca="1" si="7"/>
        <v>8</v>
      </c>
      <c r="M218" t="s">
        <v>1809</v>
      </c>
      <c r="N218">
        <v>1</v>
      </c>
      <c r="O218" t="s">
        <v>1814</v>
      </c>
      <c r="P218" t="s">
        <v>1833</v>
      </c>
    </row>
    <row r="219" spans="1:16" x14ac:dyDescent="0.3">
      <c r="A219" t="s">
        <v>230</v>
      </c>
      <c r="B219" t="s">
        <v>1771</v>
      </c>
      <c r="C219">
        <v>22</v>
      </c>
      <c r="D219" t="s">
        <v>1783</v>
      </c>
      <c r="E219" t="s">
        <v>1789</v>
      </c>
      <c r="F219" t="s">
        <v>1798</v>
      </c>
      <c r="G219" s="5">
        <v>20052</v>
      </c>
      <c r="H219" t="s">
        <v>1805</v>
      </c>
      <c r="I219" t="s">
        <v>1807</v>
      </c>
      <c r="J219" s="2">
        <v>45519</v>
      </c>
      <c r="K219">
        <f t="shared" ca="1" si="6"/>
        <v>1</v>
      </c>
      <c r="L219">
        <f t="shared" ca="1" si="7"/>
        <v>3</v>
      </c>
      <c r="M219" t="s">
        <v>1810</v>
      </c>
      <c r="N219">
        <v>1</v>
      </c>
      <c r="O219" t="s">
        <v>1814</v>
      </c>
      <c r="P219" t="s">
        <v>1832</v>
      </c>
    </row>
    <row r="220" spans="1:16" x14ac:dyDescent="0.3">
      <c r="A220" t="s">
        <v>231</v>
      </c>
      <c r="B220" t="s">
        <v>1772</v>
      </c>
      <c r="C220">
        <v>35</v>
      </c>
      <c r="D220" t="s">
        <v>1785</v>
      </c>
      <c r="E220" t="s">
        <v>1787</v>
      </c>
      <c r="F220" t="s">
        <v>1795</v>
      </c>
      <c r="G220" s="5">
        <v>106740</v>
      </c>
      <c r="H220" t="s">
        <v>1804</v>
      </c>
      <c r="I220" t="s">
        <v>1808</v>
      </c>
      <c r="J220" s="2">
        <v>45532</v>
      </c>
      <c r="K220">
        <f t="shared" ca="1" si="6"/>
        <v>1</v>
      </c>
      <c r="L220">
        <f t="shared" ca="1" si="7"/>
        <v>3</v>
      </c>
      <c r="M220" t="s">
        <v>1809</v>
      </c>
      <c r="N220">
        <v>1</v>
      </c>
      <c r="O220" t="s">
        <v>1817</v>
      </c>
      <c r="P220" t="s">
        <v>1833</v>
      </c>
    </row>
    <row r="221" spans="1:16" x14ac:dyDescent="0.3">
      <c r="A221" t="s">
        <v>232</v>
      </c>
      <c r="B221" t="s">
        <v>1714</v>
      </c>
      <c r="C221">
        <v>47</v>
      </c>
      <c r="D221" t="s">
        <v>1783</v>
      </c>
      <c r="E221" t="s">
        <v>1793</v>
      </c>
      <c r="F221" t="s">
        <v>1795</v>
      </c>
      <c r="G221" s="5">
        <v>62642</v>
      </c>
      <c r="H221" t="s">
        <v>1805</v>
      </c>
      <c r="I221" t="s">
        <v>1806</v>
      </c>
      <c r="J221" s="2">
        <v>44062</v>
      </c>
      <c r="K221">
        <f t="shared" ca="1" si="6"/>
        <v>5</v>
      </c>
      <c r="L221">
        <f t="shared" ca="1" si="7"/>
        <v>3</v>
      </c>
      <c r="M221" t="s">
        <v>1810</v>
      </c>
      <c r="N221">
        <v>1</v>
      </c>
      <c r="O221" t="s">
        <v>1814</v>
      </c>
      <c r="P221" t="s">
        <v>1834</v>
      </c>
    </row>
    <row r="222" spans="1:16" x14ac:dyDescent="0.3">
      <c r="A222" t="s">
        <v>233</v>
      </c>
      <c r="B222" t="s">
        <v>1774</v>
      </c>
      <c r="C222">
        <v>34</v>
      </c>
      <c r="D222" t="s">
        <v>1784</v>
      </c>
      <c r="E222" t="s">
        <v>1787</v>
      </c>
      <c r="F222" t="s">
        <v>1798</v>
      </c>
      <c r="G222" s="5">
        <v>74603</v>
      </c>
      <c r="H222" t="s">
        <v>1805</v>
      </c>
      <c r="I222" t="s">
        <v>1806</v>
      </c>
      <c r="J222" s="2">
        <v>43994</v>
      </c>
      <c r="K222">
        <f t="shared" ca="1" si="6"/>
        <v>5</v>
      </c>
      <c r="L222">
        <f t="shared" ca="1" si="7"/>
        <v>5</v>
      </c>
      <c r="M222" t="s">
        <v>1809</v>
      </c>
      <c r="N222">
        <v>5</v>
      </c>
      <c r="O222" t="s">
        <v>1814</v>
      </c>
      <c r="P222" t="s">
        <v>1833</v>
      </c>
    </row>
    <row r="223" spans="1:16" x14ac:dyDescent="0.3">
      <c r="A223" t="s">
        <v>234</v>
      </c>
      <c r="B223" t="s">
        <v>1778</v>
      </c>
      <c r="C223">
        <v>24</v>
      </c>
      <c r="D223" t="s">
        <v>1783</v>
      </c>
      <c r="E223" t="s">
        <v>1788</v>
      </c>
      <c r="F223" t="s">
        <v>1800</v>
      </c>
      <c r="G223" s="5">
        <v>38214</v>
      </c>
      <c r="H223" t="s">
        <v>1802</v>
      </c>
      <c r="I223" t="s">
        <v>1806</v>
      </c>
      <c r="J223" s="2">
        <v>44033</v>
      </c>
      <c r="K223">
        <f t="shared" ca="1" si="6"/>
        <v>5</v>
      </c>
      <c r="L223">
        <f t="shared" ca="1" si="7"/>
        <v>4</v>
      </c>
      <c r="M223" t="s">
        <v>1810</v>
      </c>
      <c r="N223">
        <v>3</v>
      </c>
      <c r="O223" t="s">
        <v>1813</v>
      </c>
      <c r="P223" t="s">
        <v>1832</v>
      </c>
    </row>
    <row r="224" spans="1:16" x14ac:dyDescent="0.3">
      <c r="A224" t="s">
        <v>235</v>
      </c>
      <c r="B224" t="s">
        <v>1713</v>
      </c>
      <c r="C224">
        <v>39</v>
      </c>
      <c r="D224" t="s">
        <v>1784</v>
      </c>
      <c r="E224" t="s">
        <v>1789</v>
      </c>
      <c r="F224" t="s">
        <v>1796</v>
      </c>
      <c r="G224" s="5">
        <v>117791</v>
      </c>
      <c r="H224" t="s">
        <v>1801</v>
      </c>
      <c r="I224" t="s">
        <v>1807</v>
      </c>
      <c r="J224" s="2">
        <v>42795</v>
      </c>
      <c r="K224">
        <f t="shared" ca="1" si="6"/>
        <v>8</v>
      </c>
      <c r="L224">
        <f t="shared" ca="1" si="7"/>
        <v>9</v>
      </c>
      <c r="M224" t="s">
        <v>1809</v>
      </c>
      <c r="N224">
        <v>4</v>
      </c>
      <c r="O224" t="s">
        <v>1812</v>
      </c>
      <c r="P224" t="s">
        <v>1831</v>
      </c>
    </row>
    <row r="225" spans="1:16" x14ac:dyDescent="0.3">
      <c r="A225" t="s">
        <v>236</v>
      </c>
      <c r="B225" t="s">
        <v>1771</v>
      </c>
      <c r="C225">
        <v>52</v>
      </c>
      <c r="D225" t="s">
        <v>1784</v>
      </c>
      <c r="E225" t="s">
        <v>1793</v>
      </c>
      <c r="F225" t="s">
        <v>1797</v>
      </c>
      <c r="G225" s="5">
        <v>21442</v>
      </c>
      <c r="H225" t="s">
        <v>1804</v>
      </c>
      <c r="I225" t="s">
        <v>1806</v>
      </c>
      <c r="J225" s="2">
        <v>42819</v>
      </c>
      <c r="K225">
        <f t="shared" ca="1" si="6"/>
        <v>8</v>
      </c>
      <c r="L225">
        <f t="shared" ca="1" si="7"/>
        <v>8</v>
      </c>
      <c r="M225" t="s">
        <v>1810</v>
      </c>
      <c r="N225">
        <v>4</v>
      </c>
      <c r="O225" t="s">
        <v>1818</v>
      </c>
      <c r="P225" t="s">
        <v>1834</v>
      </c>
    </row>
    <row r="226" spans="1:16" x14ac:dyDescent="0.3">
      <c r="A226" t="s">
        <v>237</v>
      </c>
      <c r="B226" t="s">
        <v>1728</v>
      </c>
      <c r="C226">
        <v>44</v>
      </c>
      <c r="D226" t="s">
        <v>1783</v>
      </c>
      <c r="E226" t="s">
        <v>1786</v>
      </c>
      <c r="F226" t="s">
        <v>1795</v>
      </c>
      <c r="G226" s="5">
        <v>92967</v>
      </c>
      <c r="H226" t="s">
        <v>1802</v>
      </c>
      <c r="I226" t="s">
        <v>1806</v>
      </c>
      <c r="J226" s="2">
        <v>43997</v>
      </c>
      <c r="K226">
        <f t="shared" ca="1" si="6"/>
        <v>5</v>
      </c>
      <c r="L226">
        <f t="shared" ca="1" si="7"/>
        <v>5</v>
      </c>
      <c r="M226" t="s">
        <v>1809</v>
      </c>
      <c r="N226">
        <v>2</v>
      </c>
      <c r="O226" t="s">
        <v>1814</v>
      </c>
      <c r="P226" t="s">
        <v>1831</v>
      </c>
    </row>
    <row r="227" spans="1:16" x14ac:dyDescent="0.3">
      <c r="A227" t="s">
        <v>238</v>
      </c>
      <c r="B227" t="s">
        <v>1766</v>
      </c>
      <c r="C227">
        <v>51</v>
      </c>
      <c r="D227" t="s">
        <v>1783</v>
      </c>
      <c r="E227" t="s">
        <v>1793</v>
      </c>
      <c r="F227" t="s">
        <v>1800</v>
      </c>
      <c r="G227" s="5">
        <v>39916</v>
      </c>
      <c r="H227" t="s">
        <v>1804</v>
      </c>
      <c r="I227" t="s">
        <v>1808</v>
      </c>
      <c r="J227" s="2">
        <v>43665</v>
      </c>
      <c r="K227">
        <f t="shared" ca="1" si="6"/>
        <v>6</v>
      </c>
      <c r="L227">
        <f t="shared" ca="1" si="7"/>
        <v>4</v>
      </c>
      <c r="M227" t="s">
        <v>1810</v>
      </c>
      <c r="N227">
        <v>1</v>
      </c>
      <c r="O227" t="s">
        <v>1817</v>
      </c>
      <c r="P227" t="s">
        <v>1834</v>
      </c>
    </row>
    <row r="228" spans="1:16" x14ac:dyDescent="0.3">
      <c r="A228" t="s">
        <v>239</v>
      </c>
      <c r="B228" t="s">
        <v>1734</v>
      </c>
      <c r="C228">
        <v>51</v>
      </c>
      <c r="D228" t="s">
        <v>1785</v>
      </c>
      <c r="E228" t="s">
        <v>1786</v>
      </c>
      <c r="F228" t="s">
        <v>1797</v>
      </c>
      <c r="G228" s="5">
        <v>78012</v>
      </c>
      <c r="H228" t="s">
        <v>1802</v>
      </c>
      <c r="I228" t="s">
        <v>1808</v>
      </c>
      <c r="J228" s="2">
        <v>42465</v>
      </c>
      <c r="K228">
        <f t="shared" ca="1" si="6"/>
        <v>9</v>
      </c>
      <c r="L228">
        <f t="shared" ca="1" si="7"/>
        <v>8</v>
      </c>
      <c r="M228" t="s">
        <v>1810</v>
      </c>
      <c r="N228">
        <v>3</v>
      </c>
      <c r="O228" t="s">
        <v>1811</v>
      </c>
      <c r="P228" t="s">
        <v>1834</v>
      </c>
    </row>
    <row r="229" spans="1:16" x14ac:dyDescent="0.3">
      <c r="A229" t="s">
        <v>240</v>
      </c>
      <c r="B229" t="s">
        <v>1731</v>
      </c>
      <c r="C229">
        <v>41</v>
      </c>
      <c r="D229" t="s">
        <v>1784</v>
      </c>
      <c r="E229" t="s">
        <v>1791</v>
      </c>
      <c r="F229" t="s">
        <v>1796</v>
      </c>
      <c r="G229" s="5">
        <v>57378</v>
      </c>
      <c r="H229" t="s">
        <v>1805</v>
      </c>
      <c r="I229" t="s">
        <v>1806</v>
      </c>
      <c r="J229" s="2">
        <v>43260</v>
      </c>
      <c r="K229">
        <f t="shared" ca="1" si="6"/>
        <v>7</v>
      </c>
      <c r="L229">
        <f t="shared" ca="1" si="7"/>
        <v>6</v>
      </c>
      <c r="M229" t="s">
        <v>1810</v>
      </c>
      <c r="N229">
        <v>3</v>
      </c>
      <c r="O229" t="s">
        <v>1816</v>
      </c>
      <c r="P229" t="s">
        <v>1831</v>
      </c>
    </row>
    <row r="230" spans="1:16" x14ac:dyDescent="0.3">
      <c r="A230" t="s">
        <v>241</v>
      </c>
      <c r="B230" t="s">
        <v>1754</v>
      </c>
      <c r="C230">
        <v>38</v>
      </c>
      <c r="D230" t="s">
        <v>1785</v>
      </c>
      <c r="E230" t="s">
        <v>1790</v>
      </c>
      <c r="F230" t="s">
        <v>1799</v>
      </c>
      <c r="G230" s="5">
        <v>93481</v>
      </c>
      <c r="H230" t="s">
        <v>1802</v>
      </c>
      <c r="I230" t="s">
        <v>1808</v>
      </c>
      <c r="J230" s="2">
        <v>43978</v>
      </c>
      <c r="K230">
        <f t="shared" ca="1" si="6"/>
        <v>5</v>
      </c>
      <c r="L230">
        <f t="shared" ca="1" si="7"/>
        <v>6</v>
      </c>
      <c r="M230" t="s">
        <v>1810</v>
      </c>
      <c r="N230">
        <v>4</v>
      </c>
      <c r="O230" t="s">
        <v>1817</v>
      </c>
      <c r="P230" t="s">
        <v>1831</v>
      </c>
    </row>
    <row r="231" spans="1:16" x14ac:dyDescent="0.3">
      <c r="A231" t="s">
        <v>242</v>
      </c>
      <c r="B231" t="s">
        <v>1777</v>
      </c>
      <c r="C231">
        <v>32</v>
      </c>
      <c r="D231" t="s">
        <v>1785</v>
      </c>
      <c r="E231" t="s">
        <v>1791</v>
      </c>
      <c r="F231" t="s">
        <v>1799</v>
      </c>
      <c r="G231" s="5">
        <v>107353</v>
      </c>
      <c r="H231" t="s">
        <v>1805</v>
      </c>
      <c r="I231" t="s">
        <v>1807</v>
      </c>
      <c r="J231" s="2">
        <v>45416</v>
      </c>
      <c r="K231">
        <f t="shared" ca="1" si="6"/>
        <v>1</v>
      </c>
      <c r="L231">
        <f t="shared" ca="1" si="7"/>
        <v>7</v>
      </c>
      <c r="M231" t="s">
        <v>1810</v>
      </c>
      <c r="N231">
        <v>2</v>
      </c>
      <c r="O231" t="s">
        <v>1812</v>
      </c>
      <c r="P231" t="s">
        <v>1833</v>
      </c>
    </row>
    <row r="232" spans="1:16" x14ac:dyDescent="0.3">
      <c r="A232" t="s">
        <v>243</v>
      </c>
      <c r="B232" t="s">
        <v>1725</v>
      </c>
      <c r="C232">
        <v>24</v>
      </c>
      <c r="D232" t="s">
        <v>1784</v>
      </c>
      <c r="E232" t="s">
        <v>1790</v>
      </c>
      <c r="F232" t="s">
        <v>1794</v>
      </c>
      <c r="G232" s="5">
        <v>36242</v>
      </c>
      <c r="H232" t="s">
        <v>1804</v>
      </c>
      <c r="I232" t="s">
        <v>1807</v>
      </c>
      <c r="J232" s="2">
        <v>43472</v>
      </c>
      <c r="K232">
        <f t="shared" ca="1" si="6"/>
        <v>6</v>
      </c>
      <c r="L232">
        <f t="shared" ca="1" si="7"/>
        <v>11</v>
      </c>
      <c r="M232" t="s">
        <v>1809</v>
      </c>
      <c r="N232">
        <v>4</v>
      </c>
      <c r="O232" t="s">
        <v>1811</v>
      </c>
      <c r="P232" t="s">
        <v>1832</v>
      </c>
    </row>
    <row r="233" spans="1:16" x14ac:dyDescent="0.3">
      <c r="A233" t="s">
        <v>244</v>
      </c>
      <c r="B233" t="s">
        <v>1718</v>
      </c>
      <c r="C233">
        <v>58</v>
      </c>
      <c r="D233" t="s">
        <v>1784</v>
      </c>
      <c r="E233" t="s">
        <v>1787</v>
      </c>
      <c r="F233" t="s">
        <v>1795</v>
      </c>
      <c r="G233" s="5">
        <v>88040</v>
      </c>
      <c r="H233" t="s">
        <v>1803</v>
      </c>
      <c r="I233" t="s">
        <v>1806</v>
      </c>
      <c r="J233" s="2">
        <v>42588</v>
      </c>
      <c r="K233">
        <f t="shared" ca="1" si="6"/>
        <v>9</v>
      </c>
      <c r="L233">
        <f t="shared" ca="1" si="7"/>
        <v>4</v>
      </c>
      <c r="M233" t="s">
        <v>1810</v>
      </c>
      <c r="N233">
        <v>5</v>
      </c>
      <c r="O233" t="s">
        <v>1813</v>
      </c>
      <c r="P233" t="s">
        <v>1834</v>
      </c>
    </row>
    <row r="234" spans="1:16" x14ac:dyDescent="0.3">
      <c r="A234" t="s">
        <v>245</v>
      </c>
      <c r="B234" t="s">
        <v>1765</v>
      </c>
      <c r="C234">
        <v>35</v>
      </c>
      <c r="D234" t="s">
        <v>1785</v>
      </c>
      <c r="E234" t="s">
        <v>1789</v>
      </c>
      <c r="F234" t="s">
        <v>1794</v>
      </c>
      <c r="G234" s="5">
        <v>39802</v>
      </c>
      <c r="H234" t="s">
        <v>1805</v>
      </c>
      <c r="I234" t="s">
        <v>1807</v>
      </c>
      <c r="J234" s="2">
        <v>44744</v>
      </c>
      <c r="K234">
        <f t="shared" ca="1" si="6"/>
        <v>3</v>
      </c>
      <c r="L234">
        <f t="shared" ca="1" si="7"/>
        <v>5</v>
      </c>
      <c r="M234" t="s">
        <v>1810</v>
      </c>
      <c r="N234">
        <v>3</v>
      </c>
      <c r="O234" t="s">
        <v>1811</v>
      </c>
      <c r="P234" t="s">
        <v>1833</v>
      </c>
    </row>
    <row r="235" spans="1:16" x14ac:dyDescent="0.3">
      <c r="A235" t="s">
        <v>246</v>
      </c>
      <c r="B235" t="s">
        <v>1713</v>
      </c>
      <c r="C235">
        <v>26</v>
      </c>
      <c r="D235" t="s">
        <v>1784</v>
      </c>
      <c r="E235" t="s">
        <v>1786</v>
      </c>
      <c r="F235" t="s">
        <v>1794</v>
      </c>
      <c r="G235" s="5">
        <v>84935</v>
      </c>
      <c r="H235" t="s">
        <v>1805</v>
      </c>
      <c r="I235" t="s">
        <v>1806</v>
      </c>
      <c r="J235" s="2">
        <v>44815</v>
      </c>
      <c r="K235">
        <f t="shared" ca="1" si="6"/>
        <v>3</v>
      </c>
      <c r="L235">
        <f t="shared" ca="1" si="7"/>
        <v>2</v>
      </c>
      <c r="M235" t="s">
        <v>1809</v>
      </c>
      <c r="N235">
        <v>4</v>
      </c>
      <c r="O235" t="s">
        <v>1817</v>
      </c>
      <c r="P235" t="s">
        <v>1833</v>
      </c>
    </row>
    <row r="236" spans="1:16" x14ac:dyDescent="0.3">
      <c r="A236" t="s">
        <v>247</v>
      </c>
      <c r="B236" t="s">
        <v>1723</v>
      </c>
      <c r="C236">
        <v>57</v>
      </c>
      <c r="D236" t="s">
        <v>1785</v>
      </c>
      <c r="E236" t="s">
        <v>1791</v>
      </c>
      <c r="F236" t="s">
        <v>1797</v>
      </c>
      <c r="G236" s="5">
        <v>63215</v>
      </c>
      <c r="H236" t="s">
        <v>1803</v>
      </c>
      <c r="I236" t="s">
        <v>1807</v>
      </c>
      <c r="J236" s="2">
        <v>43648</v>
      </c>
      <c r="K236">
        <f t="shared" ca="1" si="6"/>
        <v>6</v>
      </c>
      <c r="L236">
        <f t="shared" ca="1" si="7"/>
        <v>5</v>
      </c>
      <c r="M236" t="s">
        <v>1810</v>
      </c>
      <c r="N236">
        <v>1</v>
      </c>
      <c r="O236" t="s">
        <v>1813</v>
      </c>
      <c r="P236" t="s">
        <v>1834</v>
      </c>
    </row>
    <row r="237" spans="1:16" x14ac:dyDescent="0.3">
      <c r="A237" t="s">
        <v>248</v>
      </c>
      <c r="B237" t="s">
        <v>1738</v>
      </c>
      <c r="C237">
        <v>39</v>
      </c>
      <c r="D237" t="s">
        <v>1784</v>
      </c>
      <c r="E237" t="s">
        <v>1790</v>
      </c>
      <c r="F237" t="s">
        <v>1795</v>
      </c>
      <c r="G237" s="5">
        <v>45114</v>
      </c>
      <c r="H237" t="s">
        <v>1803</v>
      </c>
      <c r="I237" t="s">
        <v>1808</v>
      </c>
      <c r="J237" s="2">
        <v>44388</v>
      </c>
      <c r="K237">
        <f t="shared" ca="1" si="6"/>
        <v>4</v>
      </c>
      <c r="L237">
        <f t="shared" ca="1" si="7"/>
        <v>4</v>
      </c>
      <c r="M237" t="s">
        <v>1809</v>
      </c>
      <c r="N237">
        <v>4</v>
      </c>
      <c r="O237" t="s">
        <v>1812</v>
      </c>
      <c r="P237" t="s">
        <v>1831</v>
      </c>
    </row>
    <row r="238" spans="1:16" x14ac:dyDescent="0.3">
      <c r="A238" t="s">
        <v>249</v>
      </c>
      <c r="B238" t="s">
        <v>1724</v>
      </c>
      <c r="C238">
        <v>39</v>
      </c>
      <c r="D238" t="s">
        <v>1783</v>
      </c>
      <c r="E238" t="s">
        <v>1793</v>
      </c>
      <c r="F238" t="s">
        <v>1799</v>
      </c>
      <c r="G238" s="5">
        <v>20960</v>
      </c>
      <c r="H238" t="s">
        <v>1804</v>
      </c>
      <c r="I238" t="s">
        <v>1806</v>
      </c>
      <c r="J238" s="2">
        <v>42885</v>
      </c>
      <c r="K238">
        <f t="shared" ca="1" si="6"/>
        <v>8</v>
      </c>
      <c r="L238">
        <f t="shared" ca="1" si="7"/>
        <v>6</v>
      </c>
      <c r="M238" t="s">
        <v>1809</v>
      </c>
      <c r="N238">
        <v>2</v>
      </c>
      <c r="O238" t="s">
        <v>1816</v>
      </c>
      <c r="P238" t="s">
        <v>1831</v>
      </c>
    </row>
    <row r="239" spans="1:16" x14ac:dyDescent="0.3">
      <c r="A239" t="s">
        <v>250</v>
      </c>
      <c r="B239" t="s">
        <v>1756</v>
      </c>
      <c r="C239">
        <v>41</v>
      </c>
      <c r="D239" t="s">
        <v>1785</v>
      </c>
      <c r="E239" t="s">
        <v>1787</v>
      </c>
      <c r="F239" t="s">
        <v>1798</v>
      </c>
      <c r="G239" s="5">
        <v>78562</v>
      </c>
      <c r="H239" t="s">
        <v>1803</v>
      </c>
      <c r="I239" t="s">
        <v>1806</v>
      </c>
      <c r="J239" s="2">
        <v>43193</v>
      </c>
      <c r="K239">
        <f t="shared" ca="1" si="6"/>
        <v>7</v>
      </c>
      <c r="L239">
        <f t="shared" ca="1" si="7"/>
        <v>8</v>
      </c>
      <c r="M239" t="s">
        <v>1809</v>
      </c>
      <c r="N239">
        <v>4</v>
      </c>
      <c r="O239" t="s">
        <v>1811</v>
      </c>
      <c r="P239" t="s">
        <v>1831</v>
      </c>
    </row>
    <row r="240" spans="1:16" x14ac:dyDescent="0.3">
      <c r="A240" t="s">
        <v>251</v>
      </c>
      <c r="B240" t="s">
        <v>1733</v>
      </c>
      <c r="C240">
        <v>32</v>
      </c>
      <c r="D240" t="s">
        <v>1784</v>
      </c>
      <c r="E240" t="s">
        <v>1787</v>
      </c>
      <c r="F240" t="s">
        <v>1797</v>
      </c>
      <c r="G240" s="5">
        <v>68965</v>
      </c>
      <c r="H240" t="s">
        <v>1802</v>
      </c>
      <c r="I240" t="s">
        <v>1807</v>
      </c>
      <c r="J240" s="2">
        <v>43578</v>
      </c>
      <c r="K240">
        <f t="shared" ca="1" si="6"/>
        <v>6</v>
      </c>
      <c r="L240">
        <f t="shared" ca="1" si="7"/>
        <v>7</v>
      </c>
      <c r="M240" t="s">
        <v>1809</v>
      </c>
      <c r="N240">
        <v>5</v>
      </c>
      <c r="O240" t="s">
        <v>1813</v>
      </c>
      <c r="P240" t="s">
        <v>1833</v>
      </c>
    </row>
    <row r="241" spans="1:16" x14ac:dyDescent="0.3">
      <c r="A241" t="s">
        <v>252</v>
      </c>
      <c r="B241" t="s">
        <v>1756</v>
      </c>
      <c r="C241">
        <v>43</v>
      </c>
      <c r="D241" t="s">
        <v>1784</v>
      </c>
      <c r="E241" t="s">
        <v>1786</v>
      </c>
      <c r="F241" t="s">
        <v>1797</v>
      </c>
      <c r="G241" s="5">
        <v>77972</v>
      </c>
      <c r="H241" t="s">
        <v>1804</v>
      </c>
      <c r="I241" t="s">
        <v>1806</v>
      </c>
      <c r="J241" s="2">
        <v>45971</v>
      </c>
      <c r="K241">
        <f t="shared" ca="1" si="6"/>
        <v>0</v>
      </c>
      <c r="L241">
        <f t="shared" ca="1" si="7"/>
        <v>1</v>
      </c>
      <c r="M241" t="s">
        <v>1810</v>
      </c>
      <c r="N241">
        <v>5</v>
      </c>
      <c r="O241" t="s">
        <v>1817</v>
      </c>
      <c r="P241" t="s">
        <v>1831</v>
      </c>
    </row>
    <row r="242" spans="1:16" x14ac:dyDescent="0.3">
      <c r="A242" t="s">
        <v>253</v>
      </c>
      <c r="B242" t="s">
        <v>1770</v>
      </c>
      <c r="C242">
        <v>45</v>
      </c>
      <c r="D242" t="s">
        <v>1785</v>
      </c>
      <c r="E242" t="s">
        <v>1793</v>
      </c>
      <c r="F242" t="s">
        <v>1796</v>
      </c>
      <c r="G242" s="5">
        <v>63603</v>
      </c>
      <c r="H242" t="s">
        <v>1803</v>
      </c>
      <c r="I242" t="s">
        <v>1806</v>
      </c>
      <c r="J242" s="2">
        <v>43144</v>
      </c>
      <c r="K242">
        <f t="shared" ca="1" si="6"/>
        <v>7</v>
      </c>
      <c r="L242">
        <f t="shared" ca="1" si="7"/>
        <v>9</v>
      </c>
      <c r="M242" t="s">
        <v>1810</v>
      </c>
      <c r="N242">
        <v>5</v>
      </c>
      <c r="O242" t="s">
        <v>1813</v>
      </c>
      <c r="P242" t="s">
        <v>1831</v>
      </c>
    </row>
    <row r="243" spans="1:16" x14ac:dyDescent="0.3">
      <c r="A243" t="s">
        <v>254</v>
      </c>
      <c r="B243" t="s">
        <v>1738</v>
      </c>
      <c r="C243">
        <v>27</v>
      </c>
      <c r="D243" t="s">
        <v>1783</v>
      </c>
      <c r="E243" t="s">
        <v>1788</v>
      </c>
      <c r="F243" t="s">
        <v>1798</v>
      </c>
      <c r="G243" s="5">
        <v>33328</v>
      </c>
      <c r="H243" t="s">
        <v>1804</v>
      </c>
      <c r="I243" t="s">
        <v>1806</v>
      </c>
      <c r="J243" s="2">
        <v>43017</v>
      </c>
      <c r="K243">
        <f t="shared" ca="1" si="6"/>
        <v>8</v>
      </c>
      <c r="L243">
        <f t="shared" ca="1" si="7"/>
        <v>2</v>
      </c>
      <c r="M243" t="s">
        <v>1810</v>
      </c>
      <c r="N243">
        <v>4</v>
      </c>
      <c r="O243" t="s">
        <v>1816</v>
      </c>
      <c r="P243" t="s">
        <v>1833</v>
      </c>
    </row>
    <row r="244" spans="1:16" x14ac:dyDescent="0.3">
      <c r="A244" t="s">
        <v>255</v>
      </c>
      <c r="B244" t="s">
        <v>1770</v>
      </c>
      <c r="C244">
        <v>47</v>
      </c>
      <c r="D244" t="s">
        <v>1783</v>
      </c>
      <c r="E244" t="s">
        <v>1790</v>
      </c>
      <c r="F244" t="s">
        <v>1795</v>
      </c>
      <c r="G244" s="5">
        <v>101296</v>
      </c>
      <c r="H244" t="s">
        <v>1802</v>
      </c>
      <c r="I244" t="s">
        <v>1806</v>
      </c>
      <c r="J244" s="2">
        <v>43121</v>
      </c>
      <c r="K244">
        <f t="shared" ca="1" si="6"/>
        <v>7</v>
      </c>
      <c r="L244">
        <f t="shared" ca="1" si="7"/>
        <v>10</v>
      </c>
      <c r="M244" t="s">
        <v>1810</v>
      </c>
      <c r="N244">
        <v>3</v>
      </c>
      <c r="O244" t="s">
        <v>1816</v>
      </c>
      <c r="P244" t="s">
        <v>1834</v>
      </c>
    </row>
    <row r="245" spans="1:16" x14ac:dyDescent="0.3">
      <c r="A245" t="s">
        <v>256</v>
      </c>
      <c r="B245" t="s">
        <v>1738</v>
      </c>
      <c r="C245">
        <v>48</v>
      </c>
      <c r="D245" t="s">
        <v>1785</v>
      </c>
      <c r="E245" t="s">
        <v>1792</v>
      </c>
      <c r="F245" t="s">
        <v>1797</v>
      </c>
      <c r="G245" s="5">
        <v>65059</v>
      </c>
      <c r="H245" t="s">
        <v>1803</v>
      </c>
      <c r="I245" t="s">
        <v>1807</v>
      </c>
      <c r="J245" s="2">
        <v>43237</v>
      </c>
      <c r="K245">
        <f t="shared" ca="1" si="6"/>
        <v>7</v>
      </c>
      <c r="L245">
        <f t="shared" ca="1" si="7"/>
        <v>6</v>
      </c>
      <c r="M245" t="s">
        <v>1810</v>
      </c>
      <c r="N245">
        <v>5</v>
      </c>
      <c r="O245" t="s">
        <v>1812</v>
      </c>
      <c r="P245" t="s">
        <v>1834</v>
      </c>
    </row>
    <row r="246" spans="1:16" x14ac:dyDescent="0.3">
      <c r="A246" t="s">
        <v>257</v>
      </c>
      <c r="B246" t="s">
        <v>1746</v>
      </c>
      <c r="C246">
        <v>51</v>
      </c>
      <c r="D246" t="s">
        <v>1784</v>
      </c>
      <c r="E246" t="s">
        <v>1790</v>
      </c>
      <c r="F246" t="s">
        <v>1798</v>
      </c>
      <c r="G246" s="5">
        <v>82054</v>
      </c>
      <c r="H246" t="s">
        <v>1801</v>
      </c>
      <c r="I246" t="s">
        <v>1806</v>
      </c>
      <c r="J246" s="2">
        <v>42564</v>
      </c>
      <c r="K246">
        <f t="shared" ca="1" si="6"/>
        <v>9</v>
      </c>
      <c r="L246">
        <f t="shared" ca="1" si="7"/>
        <v>4</v>
      </c>
      <c r="M246" t="s">
        <v>1809</v>
      </c>
      <c r="N246">
        <v>3</v>
      </c>
      <c r="O246" t="s">
        <v>1818</v>
      </c>
      <c r="P246" t="s">
        <v>1834</v>
      </c>
    </row>
    <row r="247" spans="1:16" x14ac:dyDescent="0.3">
      <c r="A247" t="s">
        <v>258</v>
      </c>
      <c r="B247" t="s">
        <v>1734</v>
      </c>
      <c r="C247">
        <v>54</v>
      </c>
      <c r="D247" t="s">
        <v>1784</v>
      </c>
      <c r="E247" t="s">
        <v>1791</v>
      </c>
      <c r="F247" t="s">
        <v>1795</v>
      </c>
      <c r="G247" s="5">
        <v>77942</v>
      </c>
      <c r="H247" t="s">
        <v>1803</v>
      </c>
      <c r="I247" t="s">
        <v>1806</v>
      </c>
      <c r="J247" s="2">
        <v>44530</v>
      </c>
      <c r="K247">
        <f t="shared" ca="1" si="6"/>
        <v>4</v>
      </c>
      <c r="L247">
        <f t="shared" ca="1" si="7"/>
        <v>0</v>
      </c>
      <c r="M247" t="s">
        <v>1809</v>
      </c>
      <c r="N247">
        <v>5</v>
      </c>
      <c r="O247" t="s">
        <v>1813</v>
      </c>
      <c r="P247" t="s">
        <v>1834</v>
      </c>
    </row>
    <row r="248" spans="1:16" x14ac:dyDescent="0.3">
      <c r="A248" t="s">
        <v>259</v>
      </c>
      <c r="B248" t="s">
        <v>1725</v>
      </c>
      <c r="C248">
        <v>54</v>
      </c>
      <c r="D248" t="s">
        <v>1784</v>
      </c>
      <c r="E248" t="s">
        <v>1792</v>
      </c>
      <c r="F248" t="s">
        <v>1794</v>
      </c>
      <c r="G248" s="5">
        <v>117615</v>
      </c>
      <c r="H248" t="s">
        <v>1803</v>
      </c>
      <c r="I248" t="s">
        <v>1806</v>
      </c>
      <c r="J248" s="2">
        <v>43333</v>
      </c>
      <c r="K248">
        <f t="shared" ca="1" si="6"/>
        <v>7</v>
      </c>
      <c r="L248">
        <f t="shared" ca="1" si="7"/>
        <v>3</v>
      </c>
      <c r="M248" t="s">
        <v>1810</v>
      </c>
      <c r="N248">
        <v>1</v>
      </c>
      <c r="O248" t="s">
        <v>1815</v>
      </c>
      <c r="P248" t="s">
        <v>1834</v>
      </c>
    </row>
    <row r="249" spans="1:16" x14ac:dyDescent="0.3">
      <c r="A249" t="s">
        <v>260</v>
      </c>
      <c r="B249" t="s">
        <v>1725</v>
      </c>
      <c r="C249">
        <v>22</v>
      </c>
      <c r="D249" t="s">
        <v>1784</v>
      </c>
      <c r="E249" t="s">
        <v>1788</v>
      </c>
      <c r="F249" t="s">
        <v>1799</v>
      </c>
      <c r="G249" s="5">
        <v>63688</v>
      </c>
      <c r="H249" t="s">
        <v>1801</v>
      </c>
      <c r="I249" t="s">
        <v>1808</v>
      </c>
      <c r="J249" s="2">
        <v>45982</v>
      </c>
      <c r="K249">
        <f t="shared" ca="1" si="6"/>
        <v>0</v>
      </c>
      <c r="L249">
        <f t="shared" ca="1" si="7"/>
        <v>0</v>
      </c>
      <c r="M249" t="s">
        <v>1809</v>
      </c>
      <c r="N249">
        <v>2</v>
      </c>
      <c r="O249" t="s">
        <v>1815</v>
      </c>
      <c r="P249" t="s">
        <v>1832</v>
      </c>
    </row>
    <row r="250" spans="1:16" x14ac:dyDescent="0.3">
      <c r="A250" t="s">
        <v>261</v>
      </c>
      <c r="B250" t="s">
        <v>1760</v>
      </c>
      <c r="C250">
        <v>42</v>
      </c>
      <c r="D250" t="s">
        <v>1785</v>
      </c>
      <c r="E250" t="s">
        <v>1787</v>
      </c>
      <c r="F250" t="s">
        <v>1795</v>
      </c>
      <c r="G250" s="5">
        <v>39755</v>
      </c>
      <c r="H250" t="s">
        <v>1802</v>
      </c>
      <c r="I250" t="s">
        <v>1807</v>
      </c>
      <c r="J250" s="2">
        <v>45770</v>
      </c>
      <c r="K250">
        <f t="shared" ca="1" si="6"/>
        <v>0</v>
      </c>
      <c r="L250">
        <f t="shared" ca="1" si="7"/>
        <v>7</v>
      </c>
      <c r="M250" t="s">
        <v>1809</v>
      </c>
      <c r="N250">
        <v>1</v>
      </c>
      <c r="O250" t="s">
        <v>1817</v>
      </c>
      <c r="P250" t="s">
        <v>1831</v>
      </c>
    </row>
    <row r="251" spans="1:16" x14ac:dyDescent="0.3">
      <c r="A251" t="s">
        <v>262</v>
      </c>
      <c r="B251" t="s">
        <v>1739</v>
      </c>
      <c r="C251">
        <v>58</v>
      </c>
      <c r="D251" t="s">
        <v>1785</v>
      </c>
      <c r="E251" t="s">
        <v>1791</v>
      </c>
      <c r="F251" t="s">
        <v>1794</v>
      </c>
      <c r="G251" s="5">
        <v>60421</v>
      </c>
      <c r="H251" t="s">
        <v>1804</v>
      </c>
      <c r="I251" t="s">
        <v>1808</v>
      </c>
      <c r="J251" s="2">
        <v>44783</v>
      </c>
      <c r="K251">
        <f t="shared" ca="1" si="6"/>
        <v>3</v>
      </c>
      <c r="L251">
        <f t="shared" ca="1" si="7"/>
        <v>4</v>
      </c>
      <c r="M251" t="s">
        <v>1810</v>
      </c>
      <c r="N251">
        <v>5</v>
      </c>
      <c r="O251" t="s">
        <v>1813</v>
      </c>
      <c r="P251" t="s">
        <v>1834</v>
      </c>
    </row>
    <row r="252" spans="1:16" x14ac:dyDescent="0.3">
      <c r="A252" t="s">
        <v>263</v>
      </c>
      <c r="B252" t="s">
        <v>1751</v>
      </c>
      <c r="C252">
        <v>46</v>
      </c>
      <c r="D252" t="s">
        <v>1783</v>
      </c>
      <c r="E252" t="s">
        <v>1788</v>
      </c>
      <c r="F252" t="s">
        <v>1798</v>
      </c>
      <c r="G252" s="5">
        <v>103969</v>
      </c>
      <c r="H252" t="s">
        <v>1802</v>
      </c>
      <c r="I252" t="s">
        <v>1807</v>
      </c>
      <c r="J252" s="2">
        <v>43037</v>
      </c>
      <c r="K252">
        <f t="shared" ca="1" si="6"/>
        <v>8</v>
      </c>
      <c r="L252">
        <f t="shared" ca="1" si="7"/>
        <v>1</v>
      </c>
      <c r="M252" t="s">
        <v>1810</v>
      </c>
      <c r="N252">
        <v>2</v>
      </c>
      <c r="O252" t="s">
        <v>1811</v>
      </c>
      <c r="P252" t="s">
        <v>1834</v>
      </c>
    </row>
    <row r="253" spans="1:16" x14ac:dyDescent="0.3">
      <c r="A253" t="s">
        <v>264</v>
      </c>
      <c r="B253" t="s">
        <v>1721</v>
      </c>
      <c r="C253">
        <v>56</v>
      </c>
      <c r="D253" t="s">
        <v>1785</v>
      </c>
      <c r="E253" t="s">
        <v>1788</v>
      </c>
      <c r="F253" t="s">
        <v>1800</v>
      </c>
      <c r="G253" s="5">
        <v>100288</v>
      </c>
      <c r="H253" t="s">
        <v>1803</v>
      </c>
      <c r="I253" t="s">
        <v>1808</v>
      </c>
      <c r="J253" s="2">
        <v>42747</v>
      </c>
      <c r="K253">
        <f t="shared" ca="1" si="6"/>
        <v>8</v>
      </c>
      <c r="L253">
        <f t="shared" ca="1" si="7"/>
        <v>10</v>
      </c>
      <c r="M253" t="s">
        <v>1809</v>
      </c>
      <c r="N253">
        <v>4</v>
      </c>
      <c r="O253" t="s">
        <v>1814</v>
      </c>
      <c r="P253" t="s">
        <v>1834</v>
      </c>
    </row>
    <row r="254" spans="1:16" x14ac:dyDescent="0.3">
      <c r="A254" t="s">
        <v>265</v>
      </c>
      <c r="B254" t="s">
        <v>1731</v>
      </c>
      <c r="C254">
        <v>51</v>
      </c>
      <c r="D254" t="s">
        <v>1784</v>
      </c>
      <c r="E254" t="s">
        <v>1792</v>
      </c>
      <c r="F254" t="s">
        <v>1799</v>
      </c>
      <c r="G254" s="5">
        <v>119467</v>
      </c>
      <c r="H254" t="s">
        <v>1801</v>
      </c>
      <c r="I254" t="s">
        <v>1806</v>
      </c>
      <c r="J254" s="2">
        <v>44315</v>
      </c>
      <c r="K254">
        <f t="shared" ca="1" si="6"/>
        <v>4</v>
      </c>
      <c r="L254">
        <f t="shared" ca="1" si="7"/>
        <v>7</v>
      </c>
      <c r="M254" t="s">
        <v>1810</v>
      </c>
      <c r="N254">
        <v>1</v>
      </c>
      <c r="O254" t="s">
        <v>1811</v>
      </c>
      <c r="P254" t="s">
        <v>1834</v>
      </c>
    </row>
    <row r="255" spans="1:16" x14ac:dyDescent="0.3">
      <c r="A255" t="s">
        <v>266</v>
      </c>
      <c r="B255" t="s">
        <v>1743</v>
      </c>
      <c r="C255">
        <v>33</v>
      </c>
      <c r="D255" t="s">
        <v>1784</v>
      </c>
      <c r="E255" t="s">
        <v>1788</v>
      </c>
      <c r="F255" t="s">
        <v>1799</v>
      </c>
      <c r="G255" s="5">
        <v>60318</v>
      </c>
      <c r="H255" t="s">
        <v>1804</v>
      </c>
      <c r="I255" t="s">
        <v>1808</v>
      </c>
      <c r="J255" s="2">
        <v>44679</v>
      </c>
      <c r="K255">
        <f t="shared" ca="1" si="6"/>
        <v>3</v>
      </c>
      <c r="L255">
        <f t="shared" ca="1" si="7"/>
        <v>7</v>
      </c>
      <c r="M255" t="s">
        <v>1809</v>
      </c>
      <c r="N255">
        <v>5</v>
      </c>
      <c r="O255" t="s">
        <v>1812</v>
      </c>
      <c r="P255" t="s">
        <v>1833</v>
      </c>
    </row>
    <row r="256" spans="1:16" x14ac:dyDescent="0.3">
      <c r="A256" t="s">
        <v>267</v>
      </c>
      <c r="B256" t="s">
        <v>1758</v>
      </c>
      <c r="C256">
        <v>23</v>
      </c>
      <c r="D256" t="s">
        <v>1783</v>
      </c>
      <c r="E256" t="s">
        <v>1793</v>
      </c>
      <c r="F256" t="s">
        <v>1799</v>
      </c>
      <c r="G256" s="5">
        <v>100074</v>
      </c>
      <c r="H256" t="s">
        <v>1803</v>
      </c>
      <c r="I256" t="s">
        <v>1807</v>
      </c>
      <c r="J256" s="2">
        <v>42946</v>
      </c>
      <c r="K256">
        <f t="shared" ca="1" si="6"/>
        <v>8</v>
      </c>
      <c r="L256">
        <f t="shared" ca="1" si="7"/>
        <v>4</v>
      </c>
      <c r="M256" t="s">
        <v>1809</v>
      </c>
      <c r="N256">
        <v>4</v>
      </c>
      <c r="O256" t="s">
        <v>1812</v>
      </c>
      <c r="P256" t="s">
        <v>1832</v>
      </c>
    </row>
    <row r="257" spans="1:16" x14ac:dyDescent="0.3">
      <c r="A257" t="s">
        <v>268</v>
      </c>
      <c r="B257" t="s">
        <v>1768</v>
      </c>
      <c r="C257">
        <v>32</v>
      </c>
      <c r="D257" t="s">
        <v>1785</v>
      </c>
      <c r="E257" t="s">
        <v>1791</v>
      </c>
      <c r="F257" t="s">
        <v>1796</v>
      </c>
      <c r="G257" s="5">
        <v>103196</v>
      </c>
      <c r="H257" t="s">
        <v>1802</v>
      </c>
      <c r="I257" t="s">
        <v>1808</v>
      </c>
      <c r="J257" s="2">
        <v>42820</v>
      </c>
      <c r="K257">
        <f t="shared" ca="1" si="6"/>
        <v>8</v>
      </c>
      <c r="L257">
        <f t="shared" ca="1" si="7"/>
        <v>8</v>
      </c>
      <c r="M257" t="s">
        <v>1810</v>
      </c>
      <c r="N257">
        <v>3</v>
      </c>
      <c r="O257" t="s">
        <v>1813</v>
      </c>
      <c r="P257" t="s">
        <v>1833</v>
      </c>
    </row>
    <row r="258" spans="1:16" x14ac:dyDescent="0.3">
      <c r="A258" t="s">
        <v>269</v>
      </c>
      <c r="B258" t="s">
        <v>1758</v>
      </c>
      <c r="C258">
        <v>30</v>
      </c>
      <c r="D258" t="s">
        <v>1783</v>
      </c>
      <c r="E258" t="s">
        <v>1787</v>
      </c>
      <c r="F258" t="s">
        <v>1796</v>
      </c>
      <c r="G258" s="5">
        <v>99999</v>
      </c>
      <c r="H258" t="s">
        <v>1802</v>
      </c>
      <c r="I258" t="s">
        <v>1808</v>
      </c>
      <c r="J258" s="2">
        <v>45122</v>
      </c>
      <c r="K258">
        <f t="shared" ca="1" si="6"/>
        <v>2</v>
      </c>
      <c r="L258">
        <f t="shared" ca="1" si="7"/>
        <v>4</v>
      </c>
      <c r="M258" t="s">
        <v>1809</v>
      </c>
      <c r="N258">
        <v>1</v>
      </c>
      <c r="O258" t="s">
        <v>1818</v>
      </c>
      <c r="P258" t="s">
        <v>1833</v>
      </c>
    </row>
    <row r="259" spans="1:16" x14ac:dyDescent="0.3">
      <c r="A259" t="s">
        <v>270</v>
      </c>
      <c r="B259" t="s">
        <v>1743</v>
      </c>
      <c r="C259">
        <v>24</v>
      </c>
      <c r="D259" t="s">
        <v>1783</v>
      </c>
      <c r="E259" t="s">
        <v>1786</v>
      </c>
      <c r="F259" t="s">
        <v>1794</v>
      </c>
      <c r="G259" s="5">
        <v>86084</v>
      </c>
      <c r="H259" t="s">
        <v>1803</v>
      </c>
      <c r="I259" t="s">
        <v>1807</v>
      </c>
      <c r="J259" s="2">
        <v>42471</v>
      </c>
      <c r="K259">
        <f t="shared" ref="K259:K322" ca="1" si="8">YEAR(TODAY()) - YEAR(J259)</f>
        <v>9</v>
      </c>
      <c r="L259">
        <f t="shared" ref="L259:L322" ca="1" si="9">DATEDIF(J259,TODAY(),"YM")</f>
        <v>7</v>
      </c>
      <c r="M259" t="s">
        <v>1810</v>
      </c>
      <c r="N259">
        <v>1</v>
      </c>
      <c r="O259" t="s">
        <v>1811</v>
      </c>
      <c r="P259" t="s">
        <v>1832</v>
      </c>
    </row>
    <row r="260" spans="1:16" x14ac:dyDescent="0.3">
      <c r="A260" t="s">
        <v>271</v>
      </c>
      <c r="B260" t="s">
        <v>1781</v>
      </c>
      <c r="C260">
        <v>24</v>
      </c>
      <c r="D260" t="s">
        <v>1783</v>
      </c>
      <c r="E260" t="s">
        <v>1787</v>
      </c>
      <c r="F260" t="s">
        <v>1794</v>
      </c>
      <c r="G260" s="5">
        <v>29708</v>
      </c>
      <c r="H260" t="s">
        <v>1801</v>
      </c>
      <c r="I260" t="s">
        <v>1807</v>
      </c>
      <c r="J260" s="2">
        <v>43721</v>
      </c>
      <c r="K260">
        <f t="shared" ca="1" si="8"/>
        <v>6</v>
      </c>
      <c r="L260">
        <f t="shared" ca="1" si="9"/>
        <v>2</v>
      </c>
      <c r="M260" t="s">
        <v>1810</v>
      </c>
      <c r="N260">
        <v>3</v>
      </c>
      <c r="O260" t="s">
        <v>1816</v>
      </c>
      <c r="P260" t="s">
        <v>1832</v>
      </c>
    </row>
    <row r="261" spans="1:16" x14ac:dyDescent="0.3">
      <c r="A261" t="s">
        <v>272</v>
      </c>
      <c r="B261" t="s">
        <v>1750</v>
      </c>
      <c r="C261">
        <v>28</v>
      </c>
      <c r="D261" t="s">
        <v>1785</v>
      </c>
      <c r="E261" t="s">
        <v>1791</v>
      </c>
      <c r="F261" t="s">
        <v>1795</v>
      </c>
      <c r="G261" s="5">
        <v>26966</v>
      </c>
      <c r="H261" t="s">
        <v>1805</v>
      </c>
      <c r="I261" t="s">
        <v>1807</v>
      </c>
      <c r="J261" s="2">
        <v>44937</v>
      </c>
      <c r="K261">
        <f t="shared" ca="1" si="8"/>
        <v>2</v>
      </c>
      <c r="L261">
        <f t="shared" ca="1" si="9"/>
        <v>10</v>
      </c>
      <c r="M261" t="s">
        <v>1809</v>
      </c>
      <c r="N261">
        <v>4</v>
      </c>
      <c r="O261" t="s">
        <v>1817</v>
      </c>
      <c r="P261" t="s">
        <v>1833</v>
      </c>
    </row>
    <row r="262" spans="1:16" x14ac:dyDescent="0.3">
      <c r="A262" t="s">
        <v>273</v>
      </c>
      <c r="B262" t="s">
        <v>1778</v>
      </c>
      <c r="C262">
        <v>29</v>
      </c>
      <c r="D262" t="s">
        <v>1784</v>
      </c>
      <c r="E262" t="s">
        <v>1790</v>
      </c>
      <c r="F262" t="s">
        <v>1797</v>
      </c>
      <c r="G262" s="5">
        <v>46474</v>
      </c>
      <c r="H262" t="s">
        <v>1801</v>
      </c>
      <c r="I262" t="s">
        <v>1807</v>
      </c>
      <c r="J262" s="2">
        <v>45520</v>
      </c>
      <c r="K262">
        <f t="shared" ca="1" si="8"/>
        <v>1</v>
      </c>
      <c r="L262">
        <f t="shared" ca="1" si="9"/>
        <v>3</v>
      </c>
      <c r="M262" t="s">
        <v>1809</v>
      </c>
      <c r="N262">
        <v>5</v>
      </c>
      <c r="O262" t="s">
        <v>1811</v>
      </c>
      <c r="P262" t="s">
        <v>1833</v>
      </c>
    </row>
    <row r="263" spans="1:16" x14ac:dyDescent="0.3">
      <c r="A263" t="s">
        <v>274</v>
      </c>
      <c r="B263" t="s">
        <v>1731</v>
      </c>
      <c r="C263">
        <v>40</v>
      </c>
      <c r="D263" t="s">
        <v>1783</v>
      </c>
      <c r="E263" t="s">
        <v>1786</v>
      </c>
      <c r="F263" t="s">
        <v>1794</v>
      </c>
      <c r="G263" s="5">
        <v>54302</v>
      </c>
      <c r="H263" t="s">
        <v>1801</v>
      </c>
      <c r="I263" t="s">
        <v>1807</v>
      </c>
      <c r="J263" s="2">
        <v>44704</v>
      </c>
      <c r="K263">
        <f t="shared" ca="1" si="8"/>
        <v>3</v>
      </c>
      <c r="L263">
        <f t="shared" ca="1" si="9"/>
        <v>6</v>
      </c>
      <c r="M263" t="s">
        <v>1810</v>
      </c>
      <c r="N263">
        <v>1</v>
      </c>
      <c r="O263" t="s">
        <v>1814</v>
      </c>
      <c r="P263" t="s">
        <v>1831</v>
      </c>
    </row>
    <row r="264" spans="1:16" x14ac:dyDescent="0.3">
      <c r="A264" t="s">
        <v>275</v>
      </c>
      <c r="B264" t="s">
        <v>1730</v>
      </c>
      <c r="C264">
        <v>58</v>
      </c>
      <c r="D264" t="s">
        <v>1785</v>
      </c>
      <c r="E264" t="s">
        <v>1786</v>
      </c>
      <c r="F264" t="s">
        <v>1800</v>
      </c>
      <c r="G264" s="5">
        <v>116021</v>
      </c>
      <c r="H264" t="s">
        <v>1804</v>
      </c>
      <c r="I264" t="s">
        <v>1806</v>
      </c>
      <c r="J264" s="2">
        <v>42661</v>
      </c>
      <c r="K264">
        <f t="shared" ca="1" si="8"/>
        <v>9</v>
      </c>
      <c r="L264">
        <f t="shared" ca="1" si="9"/>
        <v>1</v>
      </c>
      <c r="M264" t="s">
        <v>1809</v>
      </c>
      <c r="N264">
        <v>4</v>
      </c>
      <c r="O264" t="s">
        <v>1811</v>
      </c>
      <c r="P264" t="s">
        <v>1834</v>
      </c>
    </row>
    <row r="265" spans="1:16" x14ac:dyDescent="0.3">
      <c r="A265" t="s">
        <v>276</v>
      </c>
      <c r="B265" t="s">
        <v>1769</v>
      </c>
      <c r="C265">
        <v>51</v>
      </c>
      <c r="D265" t="s">
        <v>1785</v>
      </c>
      <c r="E265" t="s">
        <v>1793</v>
      </c>
      <c r="F265" t="s">
        <v>1797</v>
      </c>
      <c r="G265" s="5">
        <v>87243</v>
      </c>
      <c r="H265" t="s">
        <v>1804</v>
      </c>
      <c r="I265" t="s">
        <v>1808</v>
      </c>
      <c r="J265" s="2">
        <v>42978</v>
      </c>
      <c r="K265">
        <f t="shared" ca="1" si="8"/>
        <v>8</v>
      </c>
      <c r="L265">
        <f t="shared" ca="1" si="9"/>
        <v>3</v>
      </c>
      <c r="M265" t="s">
        <v>1810</v>
      </c>
      <c r="N265">
        <v>5</v>
      </c>
      <c r="O265" t="s">
        <v>1811</v>
      </c>
      <c r="P265" t="s">
        <v>1834</v>
      </c>
    </row>
    <row r="266" spans="1:16" x14ac:dyDescent="0.3">
      <c r="A266" t="s">
        <v>277</v>
      </c>
      <c r="B266" t="s">
        <v>1753</v>
      </c>
      <c r="C266">
        <v>31</v>
      </c>
      <c r="D266" t="s">
        <v>1784</v>
      </c>
      <c r="E266" t="s">
        <v>1793</v>
      </c>
      <c r="F266" t="s">
        <v>1795</v>
      </c>
      <c r="G266" s="5">
        <v>20187</v>
      </c>
      <c r="H266" t="s">
        <v>1801</v>
      </c>
      <c r="I266" t="s">
        <v>1807</v>
      </c>
      <c r="J266" s="2">
        <v>43511</v>
      </c>
      <c r="K266">
        <f t="shared" ca="1" si="8"/>
        <v>6</v>
      </c>
      <c r="L266">
        <f t="shared" ca="1" si="9"/>
        <v>9</v>
      </c>
      <c r="M266" t="s">
        <v>1809</v>
      </c>
      <c r="N266">
        <v>1</v>
      </c>
      <c r="O266" t="s">
        <v>1818</v>
      </c>
      <c r="P266" t="s">
        <v>1833</v>
      </c>
    </row>
    <row r="267" spans="1:16" x14ac:dyDescent="0.3">
      <c r="A267" t="s">
        <v>278</v>
      </c>
      <c r="B267" t="s">
        <v>1744</v>
      </c>
      <c r="C267">
        <v>38</v>
      </c>
      <c r="D267" t="s">
        <v>1785</v>
      </c>
      <c r="E267" t="s">
        <v>1787</v>
      </c>
      <c r="F267" t="s">
        <v>1794</v>
      </c>
      <c r="G267" s="5">
        <v>73518</v>
      </c>
      <c r="H267" t="s">
        <v>1803</v>
      </c>
      <c r="I267" t="s">
        <v>1807</v>
      </c>
      <c r="J267" s="2">
        <v>45061</v>
      </c>
      <c r="K267">
        <f t="shared" ca="1" si="8"/>
        <v>2</v>
      </c>
      <c r="L267">
        <f t="shared" ca="1" si="9"/>
        <v>6</v>
      </c>
      <c r="M267" t="s">
        <v>1809</v>
      </c>
      <c r="N267">
        <v>3</v>
      </c>
      <c r="O267" t="s">
        <v>1813</v>
      </c>
      <c r="P267" t="s">
        <v>1831</v>
      </c>
    </row>
    <row r="268" spans="1:16" x14ac:dyDescent="0.3">
      <c r="A268" t="s">
        <v>279</v>
      </c>
      <c r="B268" t="s">
        <v>1767</v>
      </c>
      <c r="C268">
        <v>52</v>
      </c>
      <c r="D268" t="s">
        <v>1783</v>
      </c>
      <c r="E268" t="s">
        <v>1791</v>
      </c>
      <c r="F268" t="s">
        <v>1796</v>
      </c>
      <c r="G268" s="5">
        <v>88305</v>
      </c>
      <c r="H268" t="s">
        <v>1803</v>
      </c>
      <c r="I268" t="s">
        <v>1806</v>
      </c>
      <c r="J268" s="2">
        <v>45036</v>
      </c>
      <c r="K268">
        <f t="shared" ca="1" si="8"/>
        <v>2</v>
      </c>
      <c r="L268">
        <f t="shared" ca="1" si="9"/>
        <v>7</v>
      </c>
      <c r="M268" t="s">
        <v>1809</v>
      </c>
      <c r="N268">
        <v>3</v>
      </c>
      <c r="O268" t="s">
        <v>1811</v>
      </c>
      <c r="P268" t="s">
        <v>1834</v>
      </c>
    </row>
    <row r="269" spans="1:16" x14ac:dyDescent="0.3">
      <c r="A269" t="s">
        <v>280</v>
      </c>
      <c r="B269" t="s">
        <v>1779</v>
      </c>
      <c r="C269">
        <v>35</v>
      </c>
      <c r="D269" t="s">
        <v>1783</v>
      </c>
      <c r="E269" t="s">
        <v>1787</v>
      </c>
      <c r="F269" t="s">
        <v>1800</v>
      </c>
      <c r="G269" s="5">
        <v>33202</v>
      </c>
      <c r="H269" t="s">
        <v>1805</v>
      </c>
      <c r="I269" t="s">
        <v>1806</v>
      </c>
      <c r="J269" s="2">
        <v>42663</v>
      </c>
      <c r="K269">
        <f t="shared" ca="1" si="8"/>
        <v>9</v>
      </c>
      <c r="L269">
        <f t="shared" ca="1" si="9"/>
        <v>1</v>
      </c>
      <c r="M269" t="s">
        <v>1810</v>
      </c>
      <c r="N269">
        <v>2</v>
      </c>
      <c r="O269" t="s">
        <v>1813</v>
      </c>
      <c r="P269" t="s">
        <v>1833</v>
      </c>
    </row>
    <row r="270" spans="1:16" x14ac:dyDescent="0.3">
      <c r="A270" t="s">
        <v>281</v>
      </c>
      <c r="B270" t="s">
        <v>1733</v>
      </c>
      <c r="C270">
        <v>28</v>
      </c>
      <c r="D270" t="s">
        <v>1785</v>
      </c>
      <c r="E270" t="s">
        <v>1792</v>
      </c>
      <c r="F270" t="s">
        <v>1800</v>
      </c>
      <c r="G270" s="5">
        <v>39473</v>
      </c>
      <c r="H270" t="s">
        <v>1804</v>
      </c>
      <c r="I270" t="s">
        <v>1806</v>
      </c>
      <c r="J270" s="2">
        <v>44556</v>
      </c>
      <c r="K270">
        <f t="shared" ca="1" si="8"/>
        <v>4</v>
      </c>
      <c r="L270">
        <f t="shared" ca="1" si="9"/>
        <v>11</v>
      </c>
      <c r="M270" t="s">
        <v>1810</v>
      </c>
      <c r="N270">
        <v>2</v>
      </c>
      <c r="O270" t="s">
        <v>1817</v>
      </c>
      <c r="P270" t="s">
        <v>1833</v>
      </c>
    </row>
    <row r="271" spans="1:16" x14ac:dyDescent="0.3">
      <c r="A271" t="s">
        <v>282</v>
      </c>
      <c r="B271" t="s">
        <v>1749</v>
      </c>
      <c r="C271">
        <v>37</v>
      </c>
      <c r="D271" t="s">
        <v>1785</v>
      </c>
      <c r="E271" t="s">
        <v>1793</v>
      </c>
      <c r="F271" t="s">
        <v>1797</v>
      </c>
      <c r="G271" s="5">
        <v>119112</v>
      </c>
      <c r="H271" t="s">
        <v>1804</v>
      </c>
      <c r="I271" t="s">
        <v>1808</v>
      </c>
      <c r="J271" s="2">
        <v>43552</v>
      </c>
      <c r="K271">
        <f t="shared" ca="1" si="8"/>
        <v>6</v>
      </c>
      <c r="L271">
        <f t="shared" ca="1" si="9"/>
        <v>8</v>
      </c>
      <c r="M271" t="s">
        <v>1809</v>
      </c>
      <c r="N271">
        <v>3</v>
      </c>
      <c r="O271" t="s">
        <v>1813</v>
      </c>
      <c r="P271" t="s">
        <v>1831</v>
      </c>
    </row>
    <row r="272" spans="1:16" x14ac:dyDescent="0.3">
      <c r="A272" t="s">
        <v>283</v>
      </c>
      <c r="B272" t="s">
        <v>1774</v>
      </c>
      <c r="C272">
        <v>52</v>
      </c>
      <c r="D272" t="s">
        <v>1784</v>
      </c>
      <c r="E272" t="s">
        <v>1792</v>
      </c>
      <c r="F272" t="s">
        <v>1799</v>
      </c>
      <c r="G272" s="5">
        <v>83484</v>
      </c>
      <c r="H272" t="s">
        <v>1805</v>
      </c>
      <c r="I272" t="s">
        <v>1807</v>
      </c>
      <c r="J272" s="2">
        <v>43944</v>
      </c>
      <c r="K272">
        <f t="shared" ca="1" si="8"/>
        <v>5</v>
      </c>
      <c r="L272">
        <f t="shared" ca="1" si="9"/>
        <v>7</v>
      </c>
      <c r="M272" t="s">
        <v>1809</v>
      </c>
      <c r="N272">
        <v>3</v>
      </c>
      <c r="O272" t="s">
        <v>1813</v>
      </c>
      <c r="P272" t="s">
        <v>1834</v>
      </c>
    </row>
    <row r="273" spans="1:16" x14ac:dyDescent="0.3">
      <c r="A273" t="s">
        <v>284</v>
      </c>
      <c r="B273" t="s">
        <v>1760</v>
      </c>
      <c r="C273">
        <v>27</v>
      </c>
      <c r="D273" t="s">
        <v>1783</v>
      </c>
      <c r="E273" t="s">
        <v>1792</v>
      </c>
      <c r="F273" t="s">
        <v>1799</v>
      </c>
      <c r="G273" s="5">
        <v>23772</v>
      </c>
      <c r="H273" t="s">
        <v>1801</v>
      </c>
      <c r="I273" t="s">
        <v>1807</v>
      </c>
      <c r="J273" s="2">
        <v>42626</v>
      </c>
      <c r="K273">
        <f t="shared" ca="1" si="8"/>
        <v>9</v>
      </c>
      <c r="L273">
        <f t="shared" ca="1" si="9"/>
        <v>2</v>
      </c>
      <c r="M273" t="s">
        <v>1810</v>
      </c>
      <c r="N273">
        <v>3</v>
      </c>
      <c r="O273" t="s">
        <v>1811</v>
      </c>
      <c r="P273" t="s">
        <v>1833</v>
      </c>
    </row>
    <row r="274" spans="1:16" x14ac:dyDescent="0.3">
      <c r="A274" t="s">
        <v>285</v>
      </c>
      <c r="B274" t="s">
        <v>1776</v>
      </c>
      <c r="C274">
        <v>22</v>
      </c>
      <c r="D274" t="s">
        <v>1785</v>
      </c>
      <c r="E274" t="s">
        <v>1787</v>
      </c>
      <c r="F274" t="s">
        <v>1796</v>
      </c>
      <c r="G274" s="5">
        <v>47427</v>
      </c>
      <c r="H274" t="s">
        <v>1802</v>
      </c>
      <c r="I274" t="s">
        <v>1808</v>
      </c>
      <c r="J274" s="2">
        <v>45388</v>
      </c>
      <c r="K274">
        <f t="shared" ca="1" si="8"/>
        <v>1</v>
      </c>
      <c r="L274">
        <f t="shared" ca="1" si="9"/>
        <v>8</v>
      </c>
      <c r="M274" t="s">
        <v>1810</v>
      </c>
      <c r="N274">
        <v>3</v>
      </c>
      <c r="O274" t="s">
        <v>1813</v>
      </c>
      <c r="P274" t="s">
        <v>1832</v>
      </c>
    </row>
    <row r="275" spans="1:16" x14ac:dyDescent="0.3">
      <c r="A275" t="s">
        <v>286</v>
      </c>
      <c r="B275" t="s">
        <v>1715</v>
      </c>
      <c r="C275">
        <v>27</v>
      </c>
      <c r="D275" t="s">
        <v>1785</v>
      </c>
      <c r="E275" t="s">
        <v>1792</v>
      </c>
      <c r="F275" t="s">
        <v>1798</v>
      </c>
      <c r="G275" s="5">
        <v>41507</v>
      </c>
      <c r="H275" t="s">
        <v>1805</v>
      </c>
      <c r="I275" t="s">
        <v>1807</v>
      </c>
      <c r="J275" s="2">
        <v>44080</v>
      </c>
      <c r="K275">
        <f t="shared" ca="1" si="8"/>
        <v>5</v>
      </c>
      <c r="L275">
        <f t="shared" ca="1" si="9"/>
        <v>3</v>
      </c>
      <c r="M275" t="s">
        <v>1809</v>
      </c>
      <c r="N275">
        <v>4</v>
      </c>
      <c r="O275" t="s">
        <v>1814</v>
      </c>
      <c r="P275" t="s">
        <v>1833</v>
      </c>
    </row>
    <row r="276" spans="1:16" x14ac:dyDescent="0.3">
      <c r="A276" t="s">
        <v>287</v>
      </c>
      <c r="B276" t="s">
        <v>1766</v>
      </c>
      <c r="C276">
        <v>25</v>
      </c>
      <c r="D276" t="s">
        <v>1785</v>
      </c>
      <c r="E276" t="s">
        <v>1790</v>
      </c>
      <c r="F276" t="s">
        <v>1796</v>
      </c>
      <c r="G276" s="5">
        <v>19044</v>
      </c>
      <c r="H276" t="s">
        <v>1802</v>
      </c>
      <c r="I276" t="s">
        <v>1808</v>
      </c>
      <c r="J276" s="2">
        <v>44747</v>
      </c>
      <c r="K276">
        <f t="shared" ca="1" si="8"/>
        <v>3</v>
      </c>
      <c r="L276">
        <f t="shared" ca="1" si="9"/>
        <v>5</v>
      </c>
      <c r="M276" t="s">
        <v>1810</v>
      </c>
      <c r="N276">
        <v>5</v>
      </c>
      <c r="O276" t="s">
        <v>1815</v>
      </c>
      <c r="P276" t="s">
        <v>1832</v>
      </c>
    </row>
    <row r="277" spans="1:16" x14ac:dyDescent="0.3">
      <c r="A277" t="s">
        <v>288</v>
      </c>
      <c r="B277" t="s">
        <v>1737</v>
      </c>
      <c r="C277">
        <v>57</v>
      </c>
      <c r="D277" t="s">
        <v>1784</v>
      </c>
      <c r="E277" t="s">
        <v>1786</v>
      </c>
      <c r="F277" t="s">
        <v>1795</v>
      </c>
      <c r="G277" s="5">
        <v>114005</v>
      </c>
      <c r="H277" t="s">
        <v>1802</v>
      </c>
      <c r="I277" t="s">
        <v>1807</v>
      </c>
      <c r="J277" s="2">
        <v>42464</v>
      </c>
      <c r="K277">
        <f t="shared" ca="1" si="8"/>
        <v>9</v>
      </c>
      <c r="L277">
        <f t="shared" ca="1" si="9"/>
        <v>8</v>
      </c>
      <c r="M277" t="s">
        <v>1810</v>
      </c>
      <c r="N277">
        <v>1</v>
      </c>
      <c r="O277" t="s">
        <v>1815</v>
      </c>
      <c r="P277" t="s">
        <v>1834</v>
      </c>
    </row>
    <row r="278" spans="1:16" x14ac:dyDescent="0.3">
      <c r="A278" t="s">
        <v>289</v>
      </c>
      <c r="B278" t="s">
        <v>1739</v>
      </c>
      <c r="C278">
        <v>20</v>
      </c>
      <c r="D278" t="s">
        <v>1784</v>
      </c>
      <c r="E278" t="s">
        <v>1792</v>
      </c>
      <c r="F278" t="s">
        <v>1794</v>
      </c>
      <c r="G278" s="5">
        <v>117474</v>
      </c>
      <c r="H278" t="s">
        <v>1803</v>
      </c>
      <c r="I278" t="s">
        <v>1806</v>
      </c>
      <c r="J278" s="2">
        <v>45416</v>
      </c>
      <c r="K278">
        <f t="shared" ca="1" si="8"/>
        <v>1</v>
      </c>
      <c r="L278">
        <f t="shared" ca="1" si="9"/>
        <v>7</v>
      </c>
      <c r="M278" t="s">
        <v>1810</v>
      </c>
      <c r="N278">
        <v>1</v>
      </c>
      <c r="O278" t="s">
        <v>1815</v>
      </c>
      <c r="P278" t="s">
        <v>1832</v>
      </c>
    </row>
    <row r="279" spans="1:16" x14ac:dyDescent="0.3">
      <c r="A279" t="s">
        <v>290</v>
      </c>
      <c r="B279" t="s">
        <v>1756</v>
      </c>
      <c r="C279">
        <v>46</v>
      </c>
      <c r="D279" t="s">
        <v>1784</v>
      </c>
      <c r="E279" t="s">
        <v>1792</v>
      </c>
      <c r="F279" t="s">
        <v>1794</v>
      </c>
      <c r="G279" s="5">
        <v>36661</v>
      </c>
      <c r="H279" t="s">
        <v>1804</v>
      </c>
      <c r="I279" t="s">
        <v>1807</v>
      </c>
      <c r="J279" s="2">
        <v>42617</v>
      </c>
      <c r="K279">
        <f t="shared" ca="1" si="8"/>
        <v>9</v>
      </c>
      <c r="L279">
        <f t="shared" ca="1" si="9"/>
        <v>3</v>
      </c>
      <c r="M279" t="s">
        <v>1809</v>
      </c>
      <c r="N279">
        <v>5</v>
      </c>
      <c r="O279" t="s">
        <v>1811</v>
      </c>
      <c r="P279" t="s">
        <v>1834</v>
      </c>
    </row>
    <row r="280" spans="1:16" x14ac:dyDescent="0.3">
      <c r="A280" t="s">
        <v>291</v>
      </c>
      <c r="B280" t="s">
        <v>1731</v>
      </c>
      <c r="C280">
        <v>25</v>
      </c>
      <c r="D280" t="s">
        <v>1785</v>
      </c>
      <c r="E280" t="s">
        <v>1793</v>
      </c>
      <c r="F280" t="s">
        <v>1798</v>
      </c>
      <c r="G280" s="5">
        <v>84247</v>
      </c>
      <c r="H280" t="s">
        <v>1803</v>
      </c>
      <c r="I280" t="s">
        <v>1807</v>
      </c>
      <c r="J280" s="2">
        <v>44862</v>
      </c>
      <c r="K280">
        <f t="shared" ca="1" si="8"/>
        <v>3</v>
      </c>
      <c r="L280">
        <f t="shared" ca="1" si="9"/>
        <v>1</v>
      </c>
      <c r="M280" t="s">
        <v>1809</v>
      </c>
      <c r="N280">
        <v>4</v>
      </c>
      <c r="O280" t="s">
        <v>1816</v>
      </c>
      <c r="P280" t="s">
        <v>1832</v>
      </c>
    </row>
    <row r="281" spans="1:16" x14ac:dyDescent="0.3">
      <c r="A281" t="s">
        <v>292</v>
      </c>
      <c r="B281" t="s">
        <v>1762</v>
      </c>
      <c r="C281">
        <v>36</v>
      </c>
      <c r="D281" t="s">
        <v>1784</v>
      </c>
      <c r="E281" t="s">
        <v>1787</v>
      </c>
      <c r="F281" t="s">
        <v>1799</v>
      </c>
      <c r="G281" s="5">
        <v>109845</v>
      </c>
      <c r="H281" t="s">
        <v>1804</v>
      </c>
      <c r="I281" t="s">
        <v>1808</v>
      </c>
      <c r="J281" s="2">
        <v>44292</v>
      </c>
      <c r="K281">
        <f t="shared" ca="1" si="8"/>
        <v>4</v>
      </c>
      <c r="L281">
        <f t="shared" ca="1" si="9"/>
        <v>8</v>
      </c>
      <c r="M281" t="s">
        <v>1810</v>
      </c>
      <c r="N281">
        <v>2</v>
      </c>
      <c r="O281" t="s">
        <v>1813</v>
      </c>
      <c r="P281" t="s">
        <v>1831</v>
      </c>
    </row>
    <row r="282" spans="1:16" x14ac:dyDescent="0.3">
      <c r="A282" t="s">
        <v>293</v>
      </c>
      <c r="B282" t="s">
        <v>1732</v>
      </c>
      <c r="C282">
        <v>57</v>
      </c>
      <c r="D282" t="s">
        <v>1783</v>
      </c>
      <c r="E282" t="s">
        <v>1791</v>
      </c>
      <c r="F282" t="s">
        <v>1798</v>
      </c>
      <c r="G282" s="5">
        <v>31848</v>
      </c>
      <c r="H282" t="s">
        <v>1803</v>
      </c>
      <c r="I282" t="s">
        <v>1808</v>
      </c>
      <c r="J282" s="2">
        <v>43724</v>
      </c>
      <c r="K282">
        <f t="shared" ca="1" si="8"/>
        <v>6</v>
      </c>
      <c r="L282">
        <f t="shared" ca="1" si="9"/>
        <v>2</v>
      </c>
      <c r="M282" t="s">
        <v>1810</v>
      </c>
      <c r="N282">
        <v>1</v>
      </c>
      <c r="O282" t="s">
        <v>1817</v>
      </c>
      <c r="P282" t="s">
        <v>1834</v>
      </c>
    </row>
    <row r="283" spans="1:16" x14ac:dyDescent="0.3">
      <c r="A283" t="s">
        <v>294</v>
      </c>
      <c r="B283" t="s">
        <v>1743</v>
      </c>
      <c r="C283">
        <v>39</v>
      </c>
      <c r="D283" t="s">
        <v>1784</v>
      </c>
      <c r="E283" t="s">
        <v>1788</v>
      </c>
      <c r="F283" t="s">
        <v>1797</v>
      </c>
      <c r="G283" s="5">
        <v>33717</v>
      </c>
      <c r="H283" t="s">
        <v>1802</v>
      </c>
      <c r="I283" t="s">
        <v>1806</v>
      </c>
      <c r="J283" s="2">
        <v>43684</v>
      </c>
      <c r="K283">
        <f t="shared" ca="1" si="8"/>
        <v>6</v>
      </c>
      <c r="L283">
        <f t="shared" ca="1" si="9"/>
        <v>4</v>
      </c>
      <c r="M283" t="s">
        <v>1809</v>
      </c>
      <c r="N283">
        <v>2</v>
      </c>
      <c r="O283" t="s">
        <v>1817</v>
      </c>
      <c r="P283" t="s">
        <v>1831</v>
      </c>
    </row>
    <row r="284" spans="1:16" x14ac:dyDescent="0.3">
      <c r="A284" t="s">
        <v>295</v>
      </c>
      <c r="B284" t="s">
        <v>1761</v>
      </c>
      <c r="C284">
        <v>35</v>
      </c>
      <c r="D284" t="s">
        <v>1784</v>
      </c>
      <c r="E284" t="s">
        <v>1787</v>
      </c>
      <c r="F284" t="s">
        <v>1797</v>
      </c>
      <c r="G284" s="5">
        <v>85300</v>
      </c>
      <c r="H284" t="s">
        <v>1804</v>
      </c>
      <c r="I284" t="s">
        <v>1808</v>
      </c>
      <c r="J284" s="2">
        <v>45797</v>
      </c>
      <c r="K284">
        <f t="shared" ca="1" si="8"/>
        <v>0</v>
      </c>
      <c r="L284">
        <f t="shared" ca="1" si="9"/>
        <v>6</v>
      </c>
      <c r="M284" t="s">
        <v>1809</v>
      </c>
      <c r="N284">
        <v>1</v>
      </c>
      <c r="O284" t="s">
        <v>1811</v>
      </c>
      <c r="P284" t="s">
        <v>1833</v>
      </c>
    </row>
    <row r="285" spans="1:16" x14ac:dyDescent="0.3">
      <c r="A285" t="s">
        <v>296</v>
      </c>
      <c r="B285" t="s">
        <v>1773</v>
      </c>
      <c r="C285">
        <v>55</v>
      </c>
      <c r="D285" t="s">
        <v>1783</v>
      </c>
      <c r="E285" t="s">
        <v>1793</v>
      </c>
      <c r="F285" t="s">
        <v>1797</v>
      </c>
      <c r="G285" s="5">
        <v>78560</v>
      </c>
      <c r="H285" t="s">
        <v>1802</v>
      </c>
      <c r="I285" t="s">
        <v>1807</v>
      </c>
      <c r="J285" s="2">
        <v>42486</v>
      </c>
      <c r="K285">
        <f t="shared" ca="1" si="8"/>
        <v>9</v>
      </c>
      <c r="L285">
        <f t="shared" ca="1" si="9"/>
        <v>7</v>
      </c>
      <c r="M285" t="s">
        <v>1809</v>
      </c>
      <c r="N285">
        <v>2</v>
      </c>
      <c r="O285" t="s">
        <v>1816</v>
      </c>
      <c r="P285" t="s">
        <v>1834</v>
      </c>
    </row>
    <row r="286" spans="1:16" x14ac:dyDescent="0.3">
      <c r="A286" t="s">
        <v>297</v>
      </c>
      <c r="B286" t="s">
        <v>1742</v>
      </c>
      <c r="C286">
        <v>45</v>
      </c>
      <c r="D286" t="s">
        <v>1784</v>
      </c>
      <c r="E286" t="s">
        <v>1793</v>
      </c>
      <c r="F286" t="s">
        <v>1795</v>
      </c>
      <c r="G286" s="5">
        <v>94326</v>
      </c>
      <c r="H286" t="s">
        <v>1804</v>
      </c>
      <c r="I286" t="s">
        <v>1807</v>
      </c>
      <c r="J286" s="2">
        <v>42527</v>
      </c>
      <c r="K286">
        <f t="shared" ca="1" si="8"/>
        <v>9</v>
      </c>
      <c r="L286">
        <f t="shared" ca="1" si="9"/>
        <v>6</v>
      </c>
      <c r="M286" t="s">
        <v>1809</v>
      </c>
      <c r="N286">
        <v>2</v>
      </c>
      <c r="O286" t="s">
        <v>1812</v>
      </c>
      <c r="P286" t="s">
        <v>1831</v>
      </c>
    </row>
    <row r="287" spans="1:16" x14ac:dyDescent="0.3">
      <c r="A287" t="s">
        <v>298</v>
      </c>
      <c r="B287" t="s">
        <v>1761</v>
      </c>
      <c r="C287">
        <v>41</v>
      </c>
      <c r="D287" t="s">
        <v>1783</v>
      </c>
      <c r="E287" t="s">
        <v>1792</v>
      </c>
      <c r="F287" t="s">
        <v>1797</v>
      </c>
      <c r="G287" s="5">
        <v>78423</v>
      </c>
      <c r="H287" t="s">
        <v>1802</v>
      </c>
      <c r="I287" t="s">
        <v>1806</v>
      </c>
      <c r="J287" s="2">
        <v>44212</v>
      </c>
      <c r="K287">
        <f t="shared" ca="1" si="8"/>
        <v>4</v>
      </c>
      <c r="L287">
        <f t="shared" ca="1" si="9"/>
        <v>10</v>
      </c>
      <c r="M287" t="s">
        <v>1810</v>
      </c>
      <c r="N287">
        <v>4</v>
      </c>
      <c r="O287" t="s">
        <v>1818</v>
      </c>
      <c r="P287" t="s">
        <v>1831</v>
      </c>
    </row>
    <row r="288" spans="1:16" x14ac:dyDescent="0.3">
      <c r="A288" t="s">
        <v>299</v>
      </c>
      <c r="B288" t="s">
        <v>1746</v>
      </c>
      <c r="C288">
        <v>47</v>
      </c>
      <c r="D288" t="s">
        <v>1783</v>
      </c>
      <c r="E288" t="s">
        <v>1789</v>
      </c>
      <c r="F288" t="s">
        <v>1798</v>
      </c>
      <c r="G288" s="5">
        <v>46143</v>
      </c>
      <c r="H288" t="s">
        <v>1804</v>
      </c>
      <c r="I288" t="s">
        <v>1808</v>
      </c>
      <c r="J288" s="2">
        <v>44264</v>
      </c>
      <c r="K288">
        <f t="shared" ca="1" si="8"/>
        <v>4</v>
      </c>
      <c r="L288">
        <f t="shared" ca="1" si="9"/>
        <v>9</v>
      </c>
      <c r="M288" t="s">
        <v>1809</v>
      </c>
      <c r="N288">
        <v>1</v>
      </c>
      <c r="O288" t="s">
        <v>1815</v>
      </c>
      <c r="P288" t="s">
        <v>1834</v>
      </c>
    </row>
    <row r="289" spans="1:16" x14ac:dyDescent="0.3">
      <c r="A289" t="s">
        <v>300</v>
      </c>
      <c r="B289" t="s">
        <v>1728</v>
      </c>
      <c r="C289">
        <v>46</v>
      </c>
      <c r="D289" t="s">
        <v>1785</v>
      </c>
      <c r="E289" t="s">
        <v>1790</v>
      </c>
      <c r="F289" t="s">
        <v>1797</v>
      </c>
      <c r="G289" s="5">
        <v>25992</v>
      </c>
      <c r="H289" t="s">
        <v>1804</v>
      </c>
      <c r="I289" t="s">
        <v>1808</v>
      </c>
      <c r="J289" s="2">
        <v>43000</v>
      </c>
      <c r="K289">
        <f t="shared" ca="1" si="8"/>
        <v>8</v>
      </c>
      <c r="L289">
        <f t="shared" ca="1" si="9"/>
        <v>2</v>
      </c>
      <c r="M289" t="s">
        <v>1810</v>
      </c>
      <c r="N289">
        <v>2</v>
      </c>
      <c r="O289" t="s">
        <v>1815</v>
      </c>
      <c r="P289" t="s">
        <v>1834</v>
      </c>
    </row>
    <row r="290" spans="1:16" x14ac:dyDescent="0.3">
      <c r="A290" t="s">
        <v>301</v>
      </c>
      <c r="B290" t="s">
        <v>1727</v>
      </c>
      <c r="C290">
        <v>21</v>
      </c>
      <c r="D290" t="s">
        <v>1784</v>
      </c>
      <c r="E290" t="s">
        <v>1789</v>
      </c>
      <c r="F290" t="s">
        <v>1795</v>
      </c>
      <c r="G290" s="5">
        <v>80873</v>
      </c>
      <c r="H290" t="s">
        <v>1803</v>
      </c>
      <c r="I290" t="s">
        <v>1808</v>
      </c>
      <c r="J290" s="2">
        <v>44754</v>
      </c>
      <c r="K290">
        <f t="shared" ca="1" si="8"/>
        <v>3</v>
      </c>
      <c r="L290">
        <f t="shared" ca="1" si="9"/>
        <v>4</v>
      </c>
      <c r="M290" t="s">
        <v>1810</v>
      </c>
      <c r="N290">
        <v>4</v>
      </c>
      <c r="O290" t="s">
        <v>1814</v>
      </c>
      <c r="P290" t="s">
        <v>1832</v>
      </c>
    </row>
    <row r="291" spans="1:16" x14ac:dyDescent="0.3">
      <c r="A291" t="s">
        <v>302</v>
      </c>
      <c r="B291" t="s">
        <v>1761</v>
      </c>
      <c r="C291">
        <v>40</v>
      </c>
      <c r="D291" t="s">
        <v>1785</v>
      </c>
      <c r="E291" t="s">
        <v>1786</v>
      </c>
      <c r="F291" t="s">
        <v>1799</v>
      </c>
      <c r="G291" s="5">
        <v>21840</v>
      </c>
      <c r="H291" t="s">
        <v>1804</v>
      </c>
      <c r="I291" t="s">
        <v>1807</v>
      </c>
      <c r="J291" s="2">
        <v>45750</v>
      </c>
      <c r="K291">
        <f t="shared" ca="1" si="8"/>
        <v>0</v>
      </c>
      <c r="L291">
        <f t="shared" ca="1" si="9"/>
        <v>8</v>
      </c>
      <c r="M291" t="s">
        <v>1810</v>
      </c>
      <c r="N291">
        <v>5</v>
      </c>
      <c r="O291" t="s">
        <v>1817</v>
      </c>
      <c r="P291" t="s">
        <v>1831</v>
      </c>
    </row>
    <row r="292" spans="1:16" x14ac:dyDescent="0.3">
      <c r="A292" t="s">
        <v>303</v>
      </c>
      <c r="B292" t="s">
        <v>1729</v>
      </c>
      <c r="C292">
        <v>30</v>
      </c>
      <c r="D292" t="s">
        <v>1783</v>
      </c>
      <c r="E292" t="s">
        <v>1786</v>
      </c>
      <c r="F292" t="s">
        <v>1798</v>
      </c>
      <c r="G292" s="5">
        <v>104096</v>
      </c>
      <c r="H292" t="s">
        <v>1804</v>
      </c>
      <c r="I292" t="s">
        <v>1806</v>
      </c>
      <c r="J292" s="2">
        <v>45781</v>
      </c>
      <c r="K292">
        <f t="shared" ca="1" si="8"/>
        <v>0</v>
      </c>
      <c r="L292">
        <f t="shared" ca="1" si="9"/>
        <v>7</v>
      </c>
      <c r="M292" t="s">
        <v>1809</v>
      </c>
      <c r="N292">
        <v>2</v>
      </c>
      <c r="O292" t="s">
        <v>1811</v>
      </c>
      <c r="P292" t="s">
        <v>1833</v>
      </c>
    </row>
    <row r="293" spans="1:16" x14ac:dyDescent="0.3">
      <c r="A293" t="s">
        <v>304</v>
      </c>
      <c r="B293" t="s">
        <v>1741</v>
      </c>
      <c r="C293">
        <v>31</v>
      </c>
      <c r="D293" t="s">
        <v>1783</v>
      </c>
      <c r="E293" t="s">
        <v>1786</v>
      </c>
      <c r="F293" t="s">
        <v>1796</v>
      </c>
      <c r="G293" s="5">
        <v>95662</v>
      </c>
      <c r="H293" t="s">
        <v>1804</v>
      </c>
      <c r="I293" t="s">
        <v>1806</v>
      </c>
      <c r="J293" s="2">
        <v>42553</v>
      </c>
      <c r="K293">
        <f t="shared" ca="1" si="8"/>
        <v>9</v>
      </c>
      <c r="L293">
        <f t="shared" ca="1" si="9"/>
        <v>5</v>
      </c>
      <c r="M293" t="s">
        <v>1810</v>
      </c>
      <c r="N293">
        <v>5</v>
      </c>
      <c r="O293" t="s">
        <v>1816</v>
      </c>
      <c r="P293" t="s">
        <v>1833</v>
      </c>
    </row>
    <row r="294" spans="1:16" x14ac:dyDescent="0.3">
      <c r="A294" t="s">
        <v>305</v>
      </c>
      <c r="B294" t="s">
        <v>1729</v>
      </c>
      <c r="C294">
        <v>51</v>
      </c>
      <c r="D294" t="s">
        <v>1785</v>
      </c>
      <c r="E294" t="s">
        <v>1788</v>
      </c>
      <c r="F294" t="s">
        <v>1800</v>
      </c>
      <c r="G294" s="5">
        <v>41010</v>
      </c>
      <c r="H294" t="s">
        <v>1801</v>
      </c>
      <c r="I294" t="s">
        <v>1807</v>
      </c>
      <c r="J294" s="2">
        <v>42668</v>
      </c>
      <c r="K294">
        <f t="shared" ca="1" si="8"/>
        <v>9</v>
      </c>
      <c r="L294">
        <f t="shared" ca="1" si="9"/>
        <v>1</v>
      </c>
      <c r="M294" t="s">
        <v>1809</v>
      </c>
      <c r="N294">
        <v>5</v>
      </c>
      <c r="O294" t="s">
        <v>1815</v>
      </c>
      <c r="P294" t="s">
        <v>1834</v>
      </c>
    </row>
    <row r="295" spans="1:16" x14ac:dyDescent="0.3">
      <c r="A295" t="s">
        <v>306</v>
      </c>
      <c r="B295" t="s">
        <v>1735</v>
      </c>
      <c r="C295">
        <v>50</v>
      </c>
      <c r="D295" t="s">
        <v>1783</v>
      </c>
      <c r="E295" t="s">
        <v>1789</v>
      </c>
      <c r="F295" t="s">
        <v>1798</v>
      </c>
      <c r="G295" s="5">
        <v>98495</v>
      </c>
      <c r="H295" t="s">
        <v>1802</v>
      </c>
      <c r="I295" t="s">
        <v>1808</v>
      </c>
      <c r="J295" s="2">
        <v>45374</v>
      </c>
      <c r="K295">
        <f t="shared" ca="1" si="8"/>
        <v>1</v>
      </c>
      <c r="L295">
        <f t="shared" ca="1" si="9"/>
        <v>8</v>
      </c>
      <c r="M295" t="s">
        <v>1809</v>
      </c>
      <c r="N295">
        <v>3</v>
      </c>
      <c r="O295" t="s">
        <v>1818</v>
      </c>
      <c r="P295" t="s">
        <v>1834</v>
      </c>
    </row>
    <row r="296" spans="1:16" x14ac:dyDescent="0.3">
      <c r="A296" t="s">
        <v>307</v>
      </c>
      <c r="B296" t="s">
        <v>1752</v>
      </c>
      <c r="C296">
        <v>57</v>
      </c>
      <c r="D296" t="s">
        <v>1785</v>
      </c>
      <c r="E296" t="s">
        <v>1791</v>
      </c>
      <c r="F296" t="s">
        <v>1797</v>
      </c>
      <c r="G296" s="5">
        <v>119497</v>
      </c>
      <c r="H296" t="s">
        <v>1805</v>
      </c>
      <c r="I296" t="s">
        <v>1808</v>
      </c>
      <c r="J296" s="2">
        <v>42735</v>
      </c>
      <c r="K296">
        <f t="shared" ca="1" si="8"/>
        <v>9</v>
      </c>
      <c r="L296">
        <f t="shared" ca="1" si="9"/>
        <v>11</v>
      </c>
      <c r="M296" t="s">
        <v>1810</v>
      </c>
      <c r="N296">
        <v>4</v>
      </c>
      <c r="O296" t="s">
        <v>1813</v>
      </c>
      <c r="P296" t="s">
        <v>1834</v>
      </c>
    </row>
    <row r="297" spans="1:16" x14ac:dyDescent="0.3">
      <c r="A297" t="s">
        <v>308</v>
      </c>
      <c r="B297" t="s">
        <v>1775</v>
      </c>
      <c r="C297">
        <v>40</v>
      </c>
      <c r="D297" t="s">
        <v>1783</v>
      </c>
      <c r="E297" t="s">
        <v>1791</v>
      </c>
      <c r="F297" t="s">
        <v>1800</v>
      </c>
      <c r="G297" s="5">
        <v>113990</v>
      </c>
      <c r="H297" t="s">
        <v>1803</v>
      </c>
      <c r="I297" t="s">
        <v>1806</v>
      </c>
      <c r="J297" s="2">
        <v>43737</v>
      </c>
      <c r="K297">
        <f t="shared" ca="1" si="8"/>
        <v>6</v>
      </c>
      <c r="L297">
        <f t="shared" ca="1" si="9"/>
        <v>2</v>
      </c>
      <c r="M297" t="s">
        <v>1809</v>
      </c>
      <c r="N297">
        <v>5</v>
      </c>
      <c r="O297" t="s">
        <v>1817</v>
      </c>
      <c r="P297" t="s">
        <v>1831</v>
      </c>
    </row>
    <row r="298" spans="1:16" x14ac:dyDescent="0.3">
      <c r="A298" t="s">
        <v>309</v>
      </c>
      <c r="B298" t="s">
        <v>1778</v>
      </c>
      <c r="C298">
        <v>57</v>
      </c>
      <c r="D298" t="s">
        <v>1783</v>
      </c>
      <c r="E298" t="s">
        <v>1787</v>
      </c>
      <c r="F298" t="s">
        <v>1794</v>
      </c>
      <c r="G298" s="5">
        <v>58215</v>
      </c>
      <c r="H298" t="s">
        <v>1804</v>
      </c>
      <c r="I298" t="s">
        <v>1807</v>
      </c>
      <c r="J298" s="2">
        <v>43165</v>
      </c>
      <c r="K298">
        <f t="shared" ca="1" si="8"/>
        <v>7</v>
      </c>
      <c r="L298">
        <f t="shared" ca="1" si="9"/>
        <v>9</v>
      </c>
      <c r="M298" t="s">
        <v>1809</v>
      </c>
      <c r="N298">
        <v>5</v>
      </c>
      <c r="O298" t="s">
        <v>1811</v>
      </c>
      <c r="P298" t="s">
        <v>1834</v>
      </c>
    </row>
    <row r="299" spans="1:16" x14ac:dyDescent="0.3">
      <c r="A299" t="s">
        <v>310</v>
      </c>
      <c r="B299" t="s">
        <v>1736</v>
      </c>
      <c r="C299">
        <v>31</v>
      </c>
      <c r="D299" t="s">
        <v>1785</v>
      </c>
      <c r="E299" t="s">
        <v>1789</v>
      </c>
      <c r="F299" t="s">
        <v>1798</v>
      </c>
      <c r="G299" s="5">
        <v>98134</v>
      </c>
      <c r="H299" t="s">
        <v>1805</v>
      </c>
      <c r="I299" t="s">
        <v>1807</v>
      </c>
      <c r="J299" s="2">
        <v>44470</v>
      </c>
      <c r="K299">
        <f t="shared" ca="1" si="8"/>
        <v>4</v>
      </c>
      <c r="L299">
        <f t="shared" ca="1" si="9"/>
        <v>2</v>
      </c>
      <c r="M299" t="s">
        <v>1809</v>
      </c>
      <c r="N299">
        <v>3</v>
      </c>
      <c r="O299" t="s">
        <v>1813</v>
      </c>
      <c r="P299" t="s">
        <v>1833</v>
      </c>
    </row>
    <row r="300" spans="1:16" x14ac:dyDescent="0.3">
      <c r="A300" t="s">
        <v>311</v>
      </c>
      <c r="B300" t="s">
        <v>1762</v>
      </c>
      <c r="C300">
        <v>40</v>
      </c>
      <c r="D300" t="s">
        <v>1783</v>
      </c>
      <c r="E300" t="s">
        <v>1793</v>
      </c>
      <c r="F300" t="s">
        <v>1794</v>
      </c>
      <c r="G300" s="5">
        <v>110925</v>
      </c>
      <c r="H300" t="s">
        <v>1804</v>
      </c>
      <c r="I300" t="s">
        <v>1808</v>
      </c>
      <c r="J300" s="2">
        <v>42484</v>
      </c>
      <c r="K300">
        <f t="shared" ca="1" si="8"/>
        <v>9</v>
      </c>
      <c r="L300">
        <f t="shared" ca="1" si="9"/>
        <v>7</v>
      </c>
      <c r="M300" t="s">
        <v>1810</v>
      </c>
      <c r="N300">
        <v>2</v>
      </c>
      <c r="O300" t="s">
        <v>1815</v>
      </c>
      <c r="P300" t="s">
        <v>1831</v>
      </c>
    </row>
    <row r="301" spans="1:16" x14ac:dyDescent="0.3">
      <c r="A301" t="s">
        <v>312</v>
      </c>
      <c r="B301" t="s">
        <v>1757</v>
      </c>
      <c r="C301">
        <v>36</v>
      </c>
      <c r="D301" t="s">
        <v>1783</v>
      </c>
      <c r="E301" t="s">
        <v>1792</v>
      </c>
      <c r="F301" t="s">
        <v>1800</v>
      </c>
      <c r="G301" s="5">
        <v>24310</v>
      </c>
      <c r="H301" t="s">
        <v>1803</v>
      </c>
      <c r="I301" t="s">
        <v>1806</v>
      </c>
      <c r="J301" s="2">
        <v>44156</v>
      </c>
      <c r="K301">
        <f t="shared" ca="1" si="8"/>
        <v>5</v>
      </c>
      <c r="L301">
        <f t="shared" ca="1" si="9"/>
        <v>0</v>
      </c>
      <c r="M301" t="s">
        <v>1809</v>
      </c>
      <c r="N301">
        <v>4</v>
      </c>
      <c r="O301" t="s">
        <v>1812</v>
      </c>
      <c r="P301" t="s">
        <v>1831</v>
      </c>
    </row>
    <row r="302" spans="1:16" x14ac:dyDescent="0.3">
      <c r="A302" t="s">
        <v>313</v>
      </c>
      <c r="B302" t="s">
        <v>1754</v>
      </c>
      <c r="C302">
        <v>54</v>
      </c>
      <c r="D302" t="s">
        <v>1784</v>
      </c>
      <c r="E302" t="s">
        <v>1793</v>
      </c>
      <c r="F302" t="s">
        <v>1799</v>
      </c>
      <c r="G302" s="5">
        <v>80847</v>
      </c>
      <c r="H302" t="s">
        <v>1805</v>
      </c>
      <c r="I302" t="s">
        <v>1806</v>
      </c>
      <c r="J302" s="2">
        <v>45543</v>
      </c>
      <c r="K302">
        <f t="shared" ca="1" si="8"/>
        <v>1</v>
      </c>
      <c r="L302">
        <f t="shared" ca="1" si="9"/>
        <v>3</v>
      </c>
      <c r="M302" t="s">
        <v>1809</v>
      </c>
      <c r="N302">
        <v>2</v>
      </c>
      <c r="O302" t="s">
        <v>1812</v>
      </c>
      <c r="P302" t="s">
        <v>1834</v>
      </c>
    </row>
    <row r="303" spans="1:16" x14ac:dyDescent="0.3">
      <c r="A303" t="s">
        <v>314</v>
      </c>
      <c r="B303" t="s">
        <v>1765</v>
      </c>
      <c r="C303">
        <v>22</v>
      </c>
      <c r="D303" t="s">
        <v>1784</v>
      </c>
      <c r="E303" t="s">
        <v>1792</v>
      </c>
      <c r="F303" t="s">
        <v>1796</v>
      </c>
      <c r="G303" s="5">
        <v>59774</v>
      </c>
      <c r="H303" t="s">
        <v>1801</v>
      </c>
      <c r="I303" t="s">
        <v>1807</v>
      </c>
      <c r="J303" s="2">
        <v>43838</v>
      </c>
      <c r="K303">
        <f t="shared" ca="1" si="8"/>
        <v>5</v>
      </c>
      <c r="L303">
        <f t="shared" ca="1" si="9"/>
        <v>11</v>
      </c>
      <c r="M303" t="s">
        <v>1809</v>
      </c>
      <c r="N303">
        <v>4</v>
      </c>
      <c r="O303" t="s">
        <v>1816</v>
      </c>
      <c r="P303" t="s">
        <v>1832</v>
      </c>
    </row>
    <row r="304" spans="1:16" x14ac:dyDescent="0.3">
      <c r="A304" t="s">
        <v>315</v>
      </c>
      <c r="B304" t="s">
        <v>1777</v>
      </c>
      <c r="C304">
        <v>25</v>
      </c>
      <c r="D304" t="s">
        <v>1784</v>
      </c>
      <c r="E304" t="s">
        <v>1790</v>
      </c>
      <c r="F304" t="s">
        <v>1797</v>
      </c>
      <c r="G304" s="5">
        <v>110340</v>
      </c>
      <c r="H304" t="s">
        <v>1803</v>
      </c>
      <c r="I304" t="s">
        <v>1806</v>
      </c>
      <c r="J304" s="2">
        <v>43113</v>
      </c>
      <c r="K304">
        <f t="shared" ca="1" si="8"/>
        <v>7</v>
      </c>
      <c r="L304">
        <f t="shared" ca="1" si="9"/>
        <v>10</v>
      </c>
      <c r="M304" t="s">
        <v>1810</v>
      </c>
      <c r="N304">
        <v>2</v>
      </c>
      <c r="O304" t="s">
        <v>1818</v>
      </c>
      <c r="P304" t="s">
        <v>1832</v>
      </c>
    </row>
    <row r="305" spans="1:16" x14ac:dyDescent="0.3">
      <c r="A305" t="s">
        <v>316</v>
      </c>
      <c r="B305" t="s">
        <v>1757</v>
      </c>
      <c r="C305">
        <v>33</v>
      </c>
      <c r="D305" t="s">
        <v>1783</v>
      </c>
      <c r="E305" t="s">
        <v>1787</v>
      </c>
      <c r="F305" t="s">
        <v>1795</v>
      </c>
      <c r="G305" s="5">
        <v>109382</v>
      </c>
      <c r="H305" t="s">
        <v>1805</v>
      </c>
      <c r="I305" t="s">
        <v>1808</v>
      </c>
      <c r="J305" s="2">
        <v>45143</v>
      </c>
      <c r="K305">
        <f t="shared" ca="1" si="8"/>
        <v>2</v>
      </c>
      <c r="L305">
        <f t="shared" ca="1" si="9"/>
        <v>4</v>
      </c>
      <c r="M305" t="s">
        <v>1810</v>
      </c>
      <c r="N305">
        <v>3</v>
      </c>
      <c r="O305" t="s">
        <v>1815</v>
      </c>
      <c r="P305" t="s">
        <v>1833</v>
      </c>
    </row>
    <row r="306" spans="1:16" x14ac:dyDescent="0.3">
      <c r="A306" t="s">
        <v>317</v>
      </c>
      <c r="B306" t="s">
        <v>1713</v>
      </c>
      <c r="C306">
        <v>45</v>
      </c>
      <c r="D306" t="s">
        <v>1785</v>
      </c>
      <c r="E306" t="s">
        <v>1790</v>
      </c>
      <c r="F306" t="s">
        <v>1797</v>
      </c>
      <c r="G306" s="5">
        <v>38131</v>
      </c>
      <c r="H306" t="s">
        <v>1804</v>
      </c>
      <c r="I306" t="s">
        <v>1807</v>
      </c>
      <c r="J306" s="2">
        <v>44189</v>
      </c>
      <c r="K306">
        <f t="shared" ca="1" si="8"/>
        <v>5</v>
      </c>
      <c r="L306">
        <f t="shared" ca="1" si="9"/>
        <v>11</v>
      </c>
      <c r="M306" t="s">
        <v>1809</v>
      </c>
      <c r="N306">
        <v>3</v>
      </c>
      <c r="O306" t="s">
        <v>1812</v>
      </c>
      <c r="P306" t="s">
        <v>1831</v>
      </c>
    </row>
    <row r="307" spans="1:16" x14ac:dyDescent="0.3">
      <c r="A307" t="s">
        <v>318</v>
      </c>
      <c r="B307" t="s">
        <v>1779</v>
      </c>
      <c r="C307">
        <v>21</v>
      </c>
      <c r="D307" t="s">
        <v>1783</v>
      </c>
      <c r="E307" t="s">
        <v>1791</v>
      </c>
      <c r="F307" t="s">
        <v>1796</v>
      </c>
      <c r="G307" s="5">
        <v>101648</v>
      </c>
      <c r="H307" t="s">
        <v>1801</v>
      </c>
      <c r="I307" t="s">
        <v>1808</v>
      </c>
      <c r="J307" s="2">
        <v>45894</v>
      </c>
      <c r="K307">
        <f t="shared" ca="1" si="8"/>
        <v>0</v>
      </c>
      <c r="L307">
        <f t="shared" ca="1" si="9"/>
        <v>3</v>
      </c>
      <c r="M307" t="s">
        <v>1809</v>
      </c>
      <c r="N307">
        <v>3</v>
      </c>
      <c r="O307" t="s">
        <v>1811</v>
      </c>
      <c r="P307" t="s">
        <v>1832</v>
      </c>
    </row>
    <row r="308" spans="1:16" x14ac:dyDescent="0.3">
      <c r="A308" t="s">
        <v>319</v>
      </c>
      <c r="B308" t="s">
        <v>1774</v>
      </c>
      <c r="C308">
        <v>36</v>
      </c>
      <c r="D308" t="s">
        <v>1783</v>
      </c>
      <c r="E308" t="s">
        <v>1787</v>
      </c>
      <c r="F308" t="s">
        <v>1796</v>
      </c>
      <c r="G308" s="5">
        <v>42232</v>
      </c>
      <c r="H308" t="s">
        <v>1803</v>
      </c>
      <c r="I308" t="s">
        <v>1808</v>
      </c>
      <c r="J308" s="2">
        <v>43202</v>
      </c>
      <c r="K308">
        <f t="shared" ca="1" si="8"/>
        <v>7</v>
      </c>
      <c r="L308">
        <f t="shared" ca="1" si="9"/>
        <v>7</v>
      </c>
      <c r="M308" t="s">
        <v>1810</v>
      </c>
      <c r="N308">
        <v>1</v>
      </c>
      <c r="O308" t="s">
        <v>1814</v>
      </c>
      <c r="P308" t="s">
        <v>1831</v>
      </c>
    </row>
    <row r="309" spans="1:16" x14ac:dyDescent="0.3">
      <c r="A309" t="s">
        <v>320</v>
      </c>
      <c r="B309" t="s">
        <v>1774</v>
      </c>
      <c r="C309">
        <v>36</v>
      </c>
      <c r="D309" t="s">
        <v>1783</v>
      </c>
      <c r="E309" t="s">
        <v>1788</v>
      </c>
      <c r="F309" t="s">
        <v>1797</v>
      </c>
      <c r="G309" s="5">
        <v>91956</v>
      </c>
      <c r="H309" t="s">
        <v>1802</v>
      </c>
      <c r="I309" t="s">
        <v>1806</v>
      </c>
      <c r="J309" s="2">
        <v>45171</v>
      </c>
      <c r="K309">
        <f t="shared" ca="1" si="8"/>
        <v>2</v>
      </c>
      <c r="L309">
        <f t="shared" ca="1" si="9"/>
        <v>3</v>
      </c>
      <c r="M309" t="s">
        <v>1809</v>
      </c>
      <c r="N309">
        <v>1</v>
      </c>
      <c r="O309" t="s">
        <v>1817</v>
      </c>
      <c r="P309" t="s">
        <v>1831</v>
      </c>
    </row>
    <row r="310" spans="1:16" x14ac:dyDescent="0.3">
      <c r="A310" t="s">
        <v>321</v>
      </c>
      <c r="B310" t="s">
        <v>1748</v>
      </c>
      <c r="C310">
        <v>57</v>
      </c>
      <c r="D310" t="s">
        <v>1783</v>
      </c>
      <c r="E310" t="s">
        <v>1792</v>
      </c>
      <c r="F310" t="s">
        <v>1799</v>
      </c>
      <c r="G310" s="5">
        <v>68738</v>
      </c>
      <c r="H310" t="s">
        <v>1805</v>
      </c>
      <c r="I310" t="s">
        <v>1808</v>
      </c>
      <c r="J310" s="2">
        <v>44631</v>
      </c>
      <c r="K310">
        <f t="shared" ca="1" si="8"/>
        <v>3</v>
      </c>
      <c r="L310">
        <f t="shared" ca="1" si="9"/>
        <v>8</v>
      </c>
      <c r="M310" t="s">
        <v>1810</v>
      </c>
      <c r="N310">
        <v>5</v>
      </c>
      <c r="O310" t="s">
        <v>1815</v>
      </c>
      <c r="P310" t="s">
        <v>1834</v>
      </c>
    </row>
    <row r="311" spans="1:16" x14ac:dyDescent="0.3">
      <c r="A311" t="s">
        <v>322</v>
      </c>
      <c r="B311" t="s">
        <v>1737</v>
      </c>
      <c r="C311">
        <v>25</v>
      </c>
      <c r="D311" t="s">
        <v>1784</v>
      </c>
      <c r="E311" t="s">
        <v>1792</v>
      </c>
      <c r="F311" t="s">
        <v>1795</v>
      </c>
      <c r="G311" s="5">
        <v>83811</v>
      </c>
      <c r="H311" t="s">
        <v>1805</v>
      </c>
      <c r="I311" t="s">
        <v>1806</v>
      </c>
      <c r="J311" s="2">
        <v>45213</v>
      </c>
      <c r="K311">
        <f t="shared" ca="1" si="8"/>
        <v>2</v>
      </c>
      <c r="L311">
        <f t="shared" ca="1" si="9"/>
        <v>1</v>
      </c>
      <c r="M311" t="s">
        <v>1809</v>
      </c>
      <c r="N311">
        <v>1</v>
      </c>
      <c r="O311" t="s">
        <v>1812</v>
      </c>
      <c r="P311" t="s">
        <v>1832</v>
      </c>
    </row>
    <row r="312" spans="1:16" x14ac:dyDescent="0.3">
      <c r="A312" t="s">
        <v>323</v>
      </c>
      <c r="B312" t="s">
        <v>1776</v>
      </c>
      <c r="C312">
        <v>33</v>
      </c>
      <c r="D312" t="s">
        <v>1783</v>
      </c>
      <c r="E312" t="s">
        <v>1791</v>
      </c>
      <c r="F312" t="s">
        <v>1800</v>
      </c>
      <c r="G312" s="5">
        <v>23593</v>
      </c>
      <c r="H312" t="s">
        <v>1801</v>
      </c>
      <c r="I312" t="s">
        <v>1806</v>
      </c>
      <c r="J312" s="2">
        <v>44221</v>
      </c>
      <c r="K312">
        <f t="shared" ca="1" si="8"/>
        <v>4</v>
      </c>
      <c r="L312">
        <f t="shared" ca="1" si="9"/>
        <v>10</v>
      </c>
      <c r="M312" t="s">
        <v>1809</v>
      </c>
      <c r="N312">
        <v>2</v>
      </c>
      <c r="O312" t="s">
        <v>1814</v>
      </c>
      <c r="P312" t="s">
        <v>1833</v>
      </c>
    </row>
    <row r="313" spans="1:16" x14ac:dyDescent="0.3">
      <c r="A313" t="s">
        <v>324</v>
      </c>
      <c r="B313" t="s">
        <v>1758</v>
      </c>
      <c r="C313">
        <v>24</v>
      </c>
      <c r="D313" t="s">
        <v>1783</v>
      </c>
      <c r="E313" t="s">
        <v>1787</v>
      </c>
      <c r="F313" t="s">
        <v>1800</v>
      </c>
      <c r="G313" s="5">
        <v>90923</v>
      </c>
      <c r="H313" t="s">
        <v>1805</v>
      </c>
      <c r="I313" t="s">
        <v>1808</v>
      </c>
      <c r="J313" s="2">
        <v>45946</v>
      </c>
      <c r="K313">
        <f t="shared" ca="1" si="8"/>
        <v>0</v>
      </c>
      <c r="L313">
        <f t="shared" ca="1" si="9"/>
        <v>1</v>
      </c>
      <c r="M313" t="s">
        <v>1810</v>
      </c>
      <c r="N313">
        <v>5</v>
      </c>
      <c r="O313" t="s">
        <v>1812</v>
      </c>
      <c r="P313" t="s">
        <v>1832</v>
      </c>
    </row>
    <row r="314" spans="1:16" x14ac:dyDescent="0.3">
      <c r="A314" t="s">
        <v>325</v>
      </c>
      <c r="B314" t="s">
        <v>1720</v>
      </c>
      <c r="C314">
        <v>57</v>
      </c>
      <c r="D314" t="s">
        <v>1785</v>
      </c>
      <c r="E314" t="s">
        <v>1787</v>
      </c>
      <c r="F314" t="s">
        <v>1800</v>
      </c>
      <c r="G314" s="5">
        <v>32748</v>
      </c>
      <c r="H314" t="s">
        <v>1802</v>
      </c>
      <c r="I314" t="s">
        <v>1807</v>
      </c>
      <c r="J314" s="2">
        <v>44758</v>
      </c>
      <c r="K314">
        <f t="shared" ca="1" si="8"/>
        <v>3</v>
      </c>
      <c r="L314">
        <f t="shared" ca="1" si="9"/>
        <v>4</v>
      </c>
      <c r="M314" t="s">
        <v>1809</v>
      </c>
      <c r="N314">
        <v>1</v>
      </c>
      <c r="O314" t="s">
        <v>1813</v>
      </c>
      <c r="P314" t="s">
        <v>1834</v>
      </c>
    </row>
    <row r="315" spans="1:16" x14ac:dyDescent="0.3">
      <c r="A315" t="s">
        <v>326</v>
      </c>
      <c r="B315" t="s">
        <v>1725</v>
      </c>
      <c r="C315">
        <v>54</v>
      </c>
      <c r="D315" t="s">
        <v>1784</v>
      </c>
      <c r="E315" t="s">
        <v>1787</v>
      </c>
      <c r="F315" t="s">
        <v>1800</v>
      </c>
      <c r="G315" s="5">
        <v>52620</v>
      </c>
      <c r="H315" t="s">
        <v>1803</v>
      </c>
      <c r="I315" t="s">
        <v>1806</v>
      </c>
      <c r="J315" s="2">
        <v>44932</v>
      </c>
      <c r="K315">
        <f t="shared" ca="1" si="8"/>
        <v>2</v>
      </c>
      <c r="L315">
        <f t="shared" ca="1" si="9"/>
        <v>11</v>
      </c>
      <c r="M315" t="s">
        <v>1810</v>
      </c>
      <c r="N315">
        <v>1</v>
      </c>
      <c r="O315" t="s">
        <v>1816</v>
      </c>
      <c r="P315" t="s">
        <v>1834</v>
      </c>
    </row>
    <row r="316" spans="1:16" x14ac:dyDescent="0.3">
      <c r="A316" t="s">
        <v>327</v>
      </c>
      <c r="B316" t="s">
        <v>1728</v>
      </c>
      <c r="C316">
        <v>29</v>
      </c>
      <c r="D316" t="s">
        <v>1785</v>
      </c>
      <c r="E316" t="s">
        <v>1787</v>
      </c>
      <c r="F316" t="s">
        <v>1800</v>
      </c>
      <c r="G316" s="5">
        <v>23083</v>
      </c>
      <c r="H316" t="s">
        <v>1804</v>
      </c>
      <c r="I316" t="s">
        <v>1806</v>
      </c>
      <c r="J316" s="2">
        <v>43411</v>
      </c>
      <c r="K316">
        <f t="shared" ca="1" si="8"/>
        <v>7</v>
      </c>
      <c r="L316">
        <f t="shared" ca="1" si="9"/>
        <v>1</v>
      </c>
      <c r="M316" t="s">
        <v>1809</v>
      </c>
      <c r="N316">
        <v>4</v>
      </c>
      <c r="O316" t="s">
        <v>1814</v>
      </c>
      <c r="P316" t="s">
        <v>1833</v>
      </c>
    </row>
    <row r="317" spans="1:16" x14ac:dyDescent="0.3">
      <c r="A317" t="s">
        <v>328</v>
      </c>
      <c r="B317" t="s">
        <v>1724</v>
      </c>
      <c r="C317">
        <v>41</v>
      </c>
      <c r="D317" t="s">
        <v>1784</v>
      </c>
      <c r="E317" t="s">
        <v>1788</v>
      </c>
      <c r="F317" t="s">
        <v>1799</v>
      </c>
      <c r="G317" s="5">
        <v>54745</v>
      </c>
      <c r="H317" t="s">
        <v>1803</v>
      </c>
      <c r="I317" t="s">
        <v>1806</v>
      </c>
      <c r="J317" s="2">
        <v>45243</v>
      </c>
      <c r="K317">
        <f t="shared" ca="1" si="8"/>
        <v>2</v>
      </c>
      <c r="L317">
        <f t="shared" ca="1" si="9"/>
        <v>0</v>
      </c>
      <c r="M317" t="s">
        <v>1809</v>
      </c>
      <c r="N317">
        <v>2</v>
      </c>
      <c r="O317" t="s">
        <v>1816</v>
      </c>
      <c r="P317" t="s">
        <v>1831</v>
      </c>
    </row>
    <row r="318" spans="1:16" x14ac:dyDescent="0.3">
      <c r="A318" t="s">
        <v>329</v>
      </c>
      <c r="B318" t="s">
        <v>1780</v>
      </c>
      <c r="C318">
        <v>48</v>
      </c>
      <c r="D318" t="s">
        <v>1784</v>
      </c>
      <c r="E318" t="s">
        <v>1788</v>
      </c>
      <c r="F318" t="s">
        <v>1800</v>
      </c>
      <c r="G318" s="5">
        <v>113525</v>
      </c>
      <c r="H318" t="s">
        <v>1805</v>
      </c>
      <c r="I318" t="s">
        <v>1806</v>
      </c>
      <c r="J318" s="2">
        <v>42803</v>
      </c>
      <c r="K318">
        <f t="shared" ca="1" si="8"/>
        <v>8</v>
      </c>
      <c r="L318">
        <f t="shared" ca="1" si="9"/>
        <v>9</v>
      </c>
      <c r="M318" t="s">
        <v>1809</v>
      </c>
      <c r="N318">
        <v>4</v>
      </c>
      <c r="O318" t="s">
        <v>1815</v>
      </c>
      <c r="P318" t="s">
        <v>1834</v>
      </c>
    </row>
    <row r="319" spans="1:16" x14ac:dyDescent="0.3">
      <c r="A319" t="s">
        <v>330</v>
      </c>
      <c r="B319" t="s">
        <v>1746</v>
      </c>
      <c r="C319">
        <v>51</v>
      </c>
      <c r="D319" t="s">
        <v>1785</v>
      </c>
      <c r="E319" t="s">
        <v>1789</v>
      </c>
      <c r="F319" t="s">
        <v>1795</v>
      </c>
      <c r="G319" s="5">
        <v>25367</v>
      </c>
      <c r="H319" t="s">
        <v>1802</v>
      </c>
      <c r="I319" t="s">
        <v>1807</v>
      </c>
      <c r="J319" s="2">
        <v>43712</v>
      </c>
      <c r="K319">
        <f t="shared" ca="1" si="8"/>
        <v>6</v>
      </c>
      <c r="L319">
        <f t="shared" ca="1" si="9"/>
        <v>3</v>
      </c>
      <c r="M319" t="s">
        <v>1810</v>
      </c>
      <c r="N319">
        <v>2</v>
      </c>
      <c r="O319" t="s">
        <v>1818</v>
      </c>
      <c r="P319" t="s">
        <v>1834</v>
      </c>
    </row>
    <row r="320" spans="1:16" x14ac:dyDescent="0.3">
      <c r="A320" t="s">
        <v>331</v>
      </c>
      <c r="B320" t="s">
        <v>1776</v>
      </c>
      <c r="C320">
        <v>32</v>
      </c>
      <c r="D320" t="s">
        <v>1783</v>
      </c>
      <c r="E320" t="s">
        <v>1786</v>
      </c>
      <c r="F320" t="s">
        <v>1800</v>
      </c>
      <c r="G320" s="5">
        <v>22334</v>
      </c>
      <c r="H320" t="s">
        <v>1801</v>
      </c>
      <c r="I320" t="s">
        <v>1808</v>
      </c>
      <c r="J320" s="2">
        <v>45324</v>
      </c>
      <c r="K320">
        <f t="shared" ca="1" si="8"/>
        <v>1</v>
      </c>
      <c r="L320">
        <f t="shared" ca="1" si="9"/>
        <v>10</v>
      </c>
      <c r="M320" t="s">
        <v>1809</v>
      </c>
      <c r="N320">
        <v>3</v>
      </c>
      <c r="O320" t="s">
        <v>1817</v>
      </c>
      <c r="P320" t="s">
        <v>1833</v>
      </c>
    </row>
    <row r="321" spans="1:16" x14ac:dyDescent="0.3">
      <c r="A321" t="s">
        <v>332</v>
      </c>
      <c r="B321" t="s">
        <v>1773</v>
      </c>
      <c r="C321">
        <v>45</v>
      </c>
      <c r="D321" t="s">
        <v>1785</v>
      </c>
      <c r="E321" t="s">
        <v>1793</v>
      </c>
      <c r="F321" t="s">
        <v>1797</v>
      </c>
      <c r="G321" s="5">
        <v>107282</v>
      </c>
      <c r="H321" t="s">
        <v>1802</v>
      </c>
      <c r="I321" t="s">
        <v>1808</v>
      </c>
      <c r="J321" s="2">
        <v>44440</v>
      </c>
      <c r="K321">
        <f t="shared" ca="1" si="8"/>
        <v>4</v>
      </c>
      <c r="L321">
        <f t="shared" ca="1" si="9"/>
        <v>3</v>
      </c>
      <c r="M321" t="s">
        <v>1810</v>
      </c>
      <c r="N321">
        <v>2</v>
      </c>
      <c r="O321" t="s">
        <v>1812</v>
      </c>
      <c r="P321" t="s">
        <v>1831</v>
      </c>
    </row>
    <row r="322" spans="1:16" x14ac:dyDescent="0.3">
      <c r="A322" t="s">
        <v>333</v>
      </c>
      <c r="B322" t="s">
        <v>1759</v>
      </c>
      <c r="C322">
        <v>42</v>
      </c>
      <c r="D322" t="s">
        <v>1784</v>
      </c>
      <c r="E322" t="s">
        <v>1791</v>
      </c>
      <c r="F322" t="s">
        <v>1794</v>
      </c>
      <c r="G322" s="5">
        <v>51903</v>
      </c>
      <c r="H322" t="s">
        <v>1801</v>
      </c>
      <c r="I322" t="s">
        <v>1808</v>
      </c>
      <c r="J322" s="2">
        <v>42550</v>
      </c>
      <c r="K322">
        <f t="shared" ca="1" si="8"/>
        <v>9</v>
      </c>
      <c r="L322">
        <f t="shared" ca="1" si="9"/>
        <v>5</v>
      </c>
      <c r="M322" t="s">
        <v>1810</v>
      </c>
      <c r="N322">
        <v>1</v>
      </c>
      <c r="O322" t="s">
        <v>1816</v>
      </c>
      <c r="P322" t="s">
        <v>1831</v>
      </c>
    </row>
    <row r="323" spans="1:16" x14ac:dyDescent="0.3">
      <c r="A323" t="s">
        <v>334</v>
      </c>
      <c r="B323" t="s">
        <v>1717</v>
      </c>
      <c r="C323">
        <v>33</v>
      </c>
      <c r="D323" t="s">
        <v>1783</v>
      </c>
      <c r="E323" t="s">
        <v>1786</v>
      </c>
      <c r="F323" t="s">
        <v>1798</v>
      </c>
      <c r="G323" s="5">
        <v>106826</v>
      </c>
      <c r="H323" t="s">
        <v>1804</v>
      </c>
      <c r="I323" t="s">
        <v>1806</v>
      </c>
      <c r="J323" s="2">
        <v>44115</v>
      </c>
      <c r="K323">
        <f t="shared" ref="K323:K386" ca="1" si="10">YEAR(TODAY()) - YEAR(J323)</f>
        <v>5</v>
      </c>
      <c r="L323">
        <f t="shared" ref="L323:L386" ca="1" si="11">DATEDIF(J323,TODAY(),"YM")</f>
        <v>1</v>
      </c>
      <c r="M323" t="s">
        <v>1809</v>
      </c>
      <c r="N323">
        <v>1</v>
      </c>
      <c r="O323" t="s">
        <v>1812</v>
      </c>
      <c r="P323" t="s">
        <v>1833</v>
      </c>
    </row>
    <row r="324" spans="1:16" x14ac:dyDescent="0.3">
      <c r="A324" t="s">
        <v>335</v>
      </c>
      <c r="B324" t="s">
        <v>1749</v>
      </c>
      <c r="C324">
        <v>31</v>
      </c>
      <c r="D324" t="s">
        <v>1785</v>
      </c>
      <c r="E324" t="s">
        <v>1792</v>
      </c>
      <c r="F324" t="s">
        <v>1796</v>
      </c>
      <c r="G324" s="5">
        <v>47329</v>
      </c>
      <c r="H324" t="s">
        <v>1805</v>
      </c>
      <c r="I324" t="s">
        <v>1808</v>
      </c>
      <c r="J324" s="2">
        <v>45357</v>
      </c>
      <c r="K324">
        <f t="shared" ca="1" si="10"/>
        <v>1</v>
      </c>
      <c r="L324">
        <f t="shared" ca="1" si="11"/>
        <v>9</v>
      </c>
      <c r="M324" t="s">
        <v>1810</v>
      </c>
      <c r="N324">
        <v>4</v>
      </c>
      <c r="O324" t="s">
        <v>1811</v>
      </c>
      <c r="P324" t="s">
        <v>1833</v>
      </c>
    </row>
    <row r="325" spans="1:16" x14ac:dyDescent="0.3">
      <c r="A325" t="s">
        <v>336</v>
      </c>
      <c r="B325" t="s">
        <v>1731</v>
      </c>
      <c r="C325">
        <v>36</v>
      </c>
      <c r="D325" t="s">
        <v>1783</v>
      </c>
      <c r="E325" t="s">
        <v>1790</v>
      </c>
      <c r="F325" t="s">
        <v>1794</v>
      </c>
      <c r="G325" s="5">
        <v>57602</v>
      </c>
      <c r="H325" t="s">
        <v>1805</v>
      </c>
      <c r="I325" t="s">
        <v>1806</v>
      </c>
      <c r="J325" s="2">
        <v>44064</v>
      </c>
      <c r="K325">
        <f t="shared" ca="1" si="10"/>
        <v>5</v>
      </c>
      <c r="L325">
        <f t="shared" ca="1" si="11"/>
        <v>3</v>
      </c>
      <c r="M325" t="s">
        <v>1809</v>
      </c>
      <c r="N325">
        <v>1</v>
      </c>
      <c r="O325" t="s">
        <v>1817</v>
      </c>
      <c r="P325" t="s">
        <v>1831</v>
      </c>
    </row>
    <row r="326" spans="1:16" x14ac:dyDescent="0.3">
      <c r="A326" t="s">
        <v>337</v>
      </c>
      <c r="B326" t="s">
        <v>1719</v>
      </c>
      <c r="C326">
        <v>58</v>
      </c>
      <c r="D326" t="s">
        <v>1785</v>
      </c>
      <c r="E326" t="s">
        <v>1788</v>
      </c>
      <c r="F326" t="s">
        <v>1794</v>
      </c>
      <c r="G326" s="5">
        <v>57121</v>
      </c>
      <c r="H326" t="s">
        <v>1801</v>
      </c>
      <c r="I326" t="s">
        <v>1808</v>
      </c>
      <c r="J326" s="2">
        <v>42699</v>
      </c>
      <c r="K326">
        <f t="shared" ca="1" si="10"/>
        <v>9</v>
      </c>
      <c r="L326">
        <f t="shared" ca="1" si="11"/>
        <v>0</v>
      </c>
      <c r="M326" t="s">
        <v>1810</v>
      </c>
      <c r="N326">
        <v>3</v>
      </c>
      <c r="O326" t="s">
        <v>1817</v>
      </c>
      <c r="P326" t="s">
        <v>1834</v>
      </c>
    </row>
    <row r="327" spans="1:16" x14ac:dyDescent="0.3">
      <c r="A327" t="s">
        <v>338</v>
      </c>
      <c r="B327" t="s">
        <v>1766</v>
      </c>
      <c r="C327">
        <v>39</v>
      </c>
      <c r="D327" t="s">
        <v>1783</v>
      </c>
      <c r="E327" t="s">
        <v>1791</v>
      </c>
      <c r="F327" t="s">
        <v>1799</v>
      </c>
      <c r="G327" s="5">
        <v>85802</v>
      </c>
      <c r="H327" t="s">
        <v>1802</v>
      </c>
      <c r="I327" t="s">
        <v>1807</v>
      </c>
      <c r="J327" s="2">
        <v>45737</v>
      </c>
      <c r="K327">
        <f t="shared" ca="1" si="10"/>
        <v>0</v>
      </c>
      <c r="L327">
        <f t="shared" ca="1" si="11"/>
        <v>8</v>
      </c>
      <c r="M327" t="s">
        <v>1810</v>
      </c>
      <c r="N327">
        <v>3</v>
      </c>
      <c r="O327" t="s">
        <v>1816</v>
      </c>
      <c r="P327" t="s">
        <v>1831</v>
      </c>
    </row>
    <row r="328" spans="1:16" x14ac:dyDescent="0.3">
      <c r="A328" t="s">
        <v>339</v>
      </c>
      <c r="B328" t="s">
        <v>1733</v>
      </c>
      <c r="C328">
        <v>51</v>
      </c>
      <c r="D328" t="s">
        <v>1784</v>
      </c>
      <c r="E328" t="s">
        <v>1788</v>
      </c>
      <c r="F328" t="s">
        <v>1800</v>
      </c>
      <c r="G328" s="5">
        <v>72862</v>
      </c>
      <c r="H328" t="s">
        <v>1803</v>
      </c>
      <c r="I328" t="s">
        <v>1806</v>
      </c>
      <c r="J328" s="2">
        <v>42582</v>
      </c>
      <c r="K328">
        <f t="shared" ca="1" si="10"/>
        <v>9</v>
      </c>
      <c r="L328">
        <f t="shared" ca="1" si="11"/>
        <v>4</v>
      </c>
      <c r="M328" t="s">
        <v>1809</v>
      </c>
      <c r="N328">
        <v>3</v>
      </c>
      <c r="O328" t="s">
        <v>1815</v>
      </c>
      <c r="P328" t="s">
        <v>1834</v>
      </c>
    </row>
    <row r="329" spans="1:16" x14ac:dyDescent="0.3">
      <c r="A329" t="s">
        <v>340</v>
      </c>
      <c r="B329" t="s">
        <v>1719</v>
      </c>
      <c r="C329">
        <v>50</v>
      </c>
      <c r="D329" t="s">
        <v>1785</v>
      </c>
      <c r="E329" t="s">
        <v>1789</v>
      </c>
      <c r="F329" t="s">
        <v>1796</v>
      </c>
      <c r="G329" s="5">
        <v>84494</v>
      </c>
      <c r="H329" t="s">
        <v>1802</v>
      </c>
      <c r="I329" t="s">
        <v>1806</v>
      </c>
      <c r="J329" s="2">
        <v>44724</v>
      </c>
      <c r="K329">
        <f t="shared" ca="1" si="10"/>
        <v>3</v>
      </c>
      <c r="L329">
        <f t="shared" ca="1" si="11"/>
        <v>5</v>
      </c>
      <c r="M329" t="s">
        <v>1809</v>
      </c>
      <c r="N329">
        <v>3</v>
      </c>
      <c r="O329" t="s">
        <v>1813</v>
      </c>
      <c r="P329" t="s">
        <v>1834</v>
      </c>
    </row>
    <row r="330" spans="1:16" x14ac:dyDescent="0.3">
      <c r="A330" t="s">
        <v>341</v>
      </c>
      <c r="B330" t="s">
        <v>1721</v>
      </c>
      <c r="C330">
        <v>36</v>
      </c>
      <c r="D330" t="s">
        <v>1785</v>
      </c>
      <c r="E330" t="s">
        <v>1791</v>
      </c>
      <c r="F330" t="s">
        <v>1796</v>
      </c>
      <c r="G330" s="5">
        <v>107091</v>
      </c>
      <c r="H330" t="s">
        <v>1801</v>
      </c>
      <c r="I330" t="s">
        <v>1807</v>
      </c>
      <c r="J330" s="2">
        <v>43893</v>
      </c>
      <c r="K330">
        <f t="shared" ca="1" si="10"/>
        <v>5</v>
      </c>
      <c r="L330">
        <f t="shared" ca="1" si="11"/>
        <v>9</v>
      </c>
      <c r="M330" t="s">
        <v>1809</v>
      </c>
      <c r="N330">
        <v>3</v>
      </c>
      <c r="O330" t="s">
        <v>1811</v>
      </c>
      <c r="P330" t="s">
        <v>1831</v>
      </c>
    </row>
    <row r="331" spans="1:16" x14ac:dyDescent="0.3">
      <c r="A331" t="s">
        <v>342</v>
      </c>
      <c r="B331" t="s">
        <v>1775</v>
      </c>
      <c r="C331">
        <v>36</v>
      </c>
      <c r="D331" t="s">
        <v>1785</v>
      </c>
      <c r="E331" t="s">
        <v>1788</v>
      </c>
      <c r="F331" t="s">
        <v>1799</v>
      </c>
      <c r="G331" s="5">
        <v>78786</v>
      </c>
      <c r="H331" t="s">
        <v>1801</v>
      </c>
      <c r="I331" t="s">
        <v>1808</v>
      </c>
      <c r="J331" s="2">
        <v>42657</v>
      </c>
      <c r="K331">
        <f t="shared" ca="1" si="10"/>
        <v>9</v>
      </c>
      <c r="L331">
        <f t="shared" ca="1" si="11"/>
        <v>1</v>
      </c>
      <c r="M331" t="s">
        <v>1809</v>
      </c>
      <c r="N331">
        <v>4</v>
      </c>
      <c r="O331" t="s">
        <v>1815</v>
      </c>
      <c r="P331" t="s">
        <v>1831</v>
      </c>
    </row>
    <row r="332" spans="1:16" x14ac:dyDescent="0.3">
      <c r="A332" t="s">
        <v>343</v>
      </c>
      <c r="B332" t="s">
        <v>1764</v>
      </c>
      <c r="C332">
        <v>44</v>
      </c>
      <c r="D332" t="s">
        <v>1785</v>
      </c>
      <c r="E332" t="s">
        <v>1788</v>
      </c>
      <c r="F332" t="s">
        <v>1797</v>
      </c>
      <c r="G332" s="5">
        <v>72146</v>
      </c>
      <c r="H332" t="s">
        <v>1802</v>
      </c>
      <c r="I332" t="s">
        <v>1807</v>
      </c>
      <c r="J332" s="2">
        <v>43258</v>
      </c>
      <c r="K332">
        <f t="shared" ca="1" si="10"/>
        <v>7</v>
      </c>
      <c r="L332">
        <f t="shared" ca="1" si="11"/>
        <v>6</v>
      </c>
      <c r="M332" t="s">
        <v>1810</v>
      </c>
      <c r="N332">
        <v>4</v>
      </c>
      <c r="O332" t="s">
        <v>1812</v>
      </c>
      <c r="P332" t="s">
        <v>1831</v>
      </c>
    </row>
    <row r="333" spans="1:16" x14ac:dyDescent="0.3">
      <c r="A333" t="s">
        <v>344</v>
      </c>
      <c r="B333" t="s">
        <v>1738</v>
      </c>
      <c r="C333">
        <v>31</v>
      </c>
      <c r="D333" t="s">
        <v>1783</v>
      </c>
      <c r="E333" t="s">
        <v>1790</v>
      </c>
      <c r="F333" t="s">
        <v>1794</v>
      </c>
      <c r="G333" s="5">
        <v>61598</v>
      </c>
      <c r="H333" t="s">
        <v>1802</v>
      </c>
      <c r="I333" t="s">
        <v>1808</v>
      </c>
      <c r="J333" s="2">
        <v>45036</v>
      </c>
      <c r="K333">
        <f t="shared" ca="1" si="10"/>
        <v>2</v>
      </c>
      <c r="L333">
        <f t="shared" ca="1" si="11"/>
        <v>7</v>
      </c>
      <c r="M333" t="s">
        <v>1809</v>
      </c>
      <c r="N333">
        <v>1</v>
      </c>
      <c r="O333" t="s">
        <v>1812</v>
      </c>
      <c r="P333" t="s">
        <v>1833</v>
      </c>
    </row>
    <row r="334" spans="1:16" x14ac:dyDescent="0.3">
      <c r="A334" t="s">
        <v>345</v>
      </c>
      <c r="B334" t="s">
        <v>1734</v>
      </c>
      <c r="C334">
        <v>30</v>
      </c>
      <c r="D334" t="s">
        <v>1785</v>
      </c>
      <c r="E334" t="s">
        <v>1791</v>
      </c>
      <c r="F334" t="s">
        <v>1799</v>
      </c>
      <c r="G334" s="5">
        <v>82169</v>
      </c>
      <c r="H334" t="s">
        <v>1801</v>
      </c>
      <c r="I334" t="s">
        <v>1807</v>
      </c>
      <c r="J334" s="2">
        <v>44954</v>
      </c>
      <c r="K334">
        <f t="shared" ca="1" si="10"/>
        <v>2</v>
      </c>
      <c r="L334">
        <f t="shared" ca="1" si="11"/>
        <v>10</v>
      </c>
      <c r="M334" t="s">
        <v>1810</v>
      </c>
      <c r="N334">
        <v>4</v>
      </c>
      <c r="O334" t="s">
        <v>1811</v>
      </c>
      <c r="P334" t="s">
        <v>1833</v>
      </c>
    </row>
    <row r="335" spans="1:16" x14ac:dyDescent="0.3">
      <c r="A335" t="s">
        <v>346</v>
      </c>
      <c r="B335" t="s">
        <v>1723</v>
      </c>
      <c r="C335">
        <v>44</v>
      </c>
      <c r="D335" t="s">
        <v>1783</v>
      </c>
      <c r="E335" t="s">
        <v>1792</v>
      </c>
      <c r="F335" t="s">
        <v>1798</v>
      </c>
      <c r="G335" s="5">
        <v>87963</v>
      </c>
      <c r="H335" t="s">
        <v>1804</v>
      </c>
      <c r="I335" t="s">
        <v>1807</v>
      </c>
      <c r="J335" s="2">
        <v>43757</v>
      </c>
      <c r="K335">
        <f t="shared" ca="1" si="10"/>
        <v>6</v>
      </c>
      <c r="L335">
        <f t="shared" ca="1" si="11"/>
        <v>1</v>
      </c>
      <c r="M335" t="s">
        <v>1809</v>
      </c>
      <c r="N335">
        <v>1</v>
      </c>
      <c r="O335" t="s">
        <v>1818</v>
      </c>
      <c r="P335" t="s">
        <v>1831</v>
      </c>
    </row>
    <row r="336" spans="1:16" x14ac:dyDescent="0.3">
      <c r="A336" t="s">
        <v>347</v>
      </c>
      <c r="B336" t="s">
        <v>1732</v>
      </c>
      <c r="C336">
        <v>42</v>
      </c>
      <c r="D336" t="s">
        <v>1784</v>
      </c>
      <c r="E336" t="s">
        <v>1791</v>
      </c>
      <c r="F336" t="s">
        <v>1800</v>
      </c>
      <c r="G336" s="5">
        <v>31462</v>
      </c>
      <c r="H336" t="s">
        <v>1805</v>
      </c>
      <c r="I336" t="s">
        <v>1806</v>
      </c>
      <c r="J336" s="2">
        <v>43691</v>
      </c>
      <c r="K336">
        <f t="shared" ca="1" si="10"/>
        <v>6</v>
      </c>
      <c r="L336">
        <f t="shared" ca="1" si="11"/>
        <v>3</v>
      </c>
      <c r="M336" t="s">
        <v>1809</v>
      </c>
      <c r="N336">
        <v>1</v>
      </c>
      <c r="O336" t="s">
        <v>1818</v>
      </c>
      <c r="P336" t="s">
        <v>1831</v>
      </c>
    </row>
    <row r="337" spans="1:16" x14ac:dyDescent="0.3">
      <c r="A337" t="s">
        <v>348</v>
      </c>
      <c r="B337" t="s">
        <v>1766</v>
      </c>
      <c r="C337">
        <v>49</v>
      </c>
      <c r="D337" t="s">
        <v>1785</v>
      </c>
      <c r="E337" t="s">
        <v>1789</v>
      </c>
      <c r="F337" t="s">
        <v>1794</v>
      </c>
      <c r="G337" s="5">
        <v>74841</v>
      </c>
      <c r="H337" t="s">
        <v>1802</v>
      </c>
      <c r="I337" t="s">
        <v>1808</v>
      </c>
      <c r="J337" s="2">
        <v>44445</v>
      </c>
      <c r="K337">
        <f t="shared" ca="1" si="10"/>
        <v>4</v>
      </c>
      <c r="L337">
        <f t="shared" ca="1" si="11"/>
        <v>3</v>
      </c>
      <c r="M337" t="s">
        <v>1810</v>
      </c>
      <c r="N337">
        <v>2</v>
      </c>
      <c r="O337" t="s">
        <v>1816</v>
      </c>
      <c r="P337" t="s">
        <v>1834</v>
      </c>
    </row>
    <row r="338" spans="1:16" x14ac:dyDescent="0.3">
      <c r="A338" t="s">
        <v>349</v>
      </c>
      <c r="B338" t="s">
        <v>1716</v>
      </c>
      <c r="C338">
        <v>34</v>
      </c>
      <c r="D338" t="s">
        <v>1783</v>
      </c>
      <c r="E338" t="s">
        <v>1791</v>
      </c>
      <c r="F338" t="s">
        <v>1794</v>
      </c>
      <c r="G338" s="5">
        <v>45681</v>
      </c>
      <c r="H338" t="s">
        <v>1801</v>
      </c>
      <c r="I338" t="s">
        <v>1806</v>
      </c>
      <c r="J338" s="2">
        <v>44504</v>
      </c>
      <c r="K338">
        <f t="shared" ca="1" si="10"/>
        <v>4</v>
      </c>
      <c r="L338">
        <f t="shared" ca="1" si="11"/>
        <v>1</v>
      </c>
      <c r="M338" t="s">
        <v>1809</v>
      </c>
      <c r="N338">
        <v>1</v>
      </c>
      <c r="O338" t="s">
        <v>1817</v>
      </c>
      <c r="P338" t="s">
        <v>1833</v>
      </c>
    </row>
    <row r="339" spans="1:16" x14ac:dyDescent="0.3">
      <c r="A339" t="s">
        <v>350</v>
      </c>
      <c r="B339" t="s">
        <v>1768</v>
      </c>
      <c r="C339">
        <v>36</v>
      </c>
      <c r="D339" t="s">
        <v>1785</v>
      </c>
      <c r="E339" t="s">
        <v>1792</v>
      </c>
      <c r="F339" t="s">
        <v>1797</v>
      </c>
      <c r="G339" s="5">
        <v>95846</v>
      </c>
      <c r="H339" t="s">
        <v>1801</v>
      </c>
      <c r="I339" t="s">
        <v>1806</v>
      </c>
      <c r="J339" s="2">
        <v>45862</v>
      </c>
      <c r="K339">
        <f t="shared" ca="1" si="10"/>
        <v>0</v>
      </c>
      <c r="L339">
        <f t="shared" ca="1" si="11"/>
        <v>4</v>
      </c>
      <c r="M339" t="s">
        <v>1809</v>
      </c>
      <c r="N339">
        <v>1</v>
      </c>
      <c r="O339" t="s">
        <v>1813</v>
      </c>
      <c r="P339" t="s">
        <v>1831</v>
      </c>
    </row>
    <row r="340" spans="1:16" x14ac:dyDescent="0.3">
      <c r="A340" t="s">
        <v>351</v>
      </c>
      <c r="B340" t="s">
        <v>1723</v>
      </c>
      <c r="C340">
        <v>44</v>
      </c>
      <c r="D340" t="s">
        <v>1783</v>
      </c>
      <c r="E340" t="s">
        <v>1788</v>
      </c>
      <c r="F340" t="s">
        <v>1794</v>
      </c>
      <c r="G340" s="5">
        <v>80180</v>
      </c>
      <c r="H340" t="s">
        <v>1802</v>
      </c>
      <c r="I340" t="s">
        <v>1807</v>
      </c>
      <c r="J340" s="2">
        <v>45285</v>
      </c>
      <c r="K340">
        <f t="shared" ca="1" si="10"/>
        <v>2</v>
      </c>
      <c r="L340">
        <f t="shared" ca="1" si="11"/>
        <v>11</v>
      </c>
      <c r="M340" t="s">
        <v>1809</v>
      </c>
      <c r="N340">
        <v>3</v>
      </c>
      <c r="O340" t="s">
        <v>1811</v>
      </c>
      <c r="P340" t="s">
        <v>1831</v>
      </c>
    </row>
    <row r="341" spans="1:16" x14ac:dyDescent="0.3">
      <c r="A341" t="s">
        <v>352</v>
      </c>
      <c r="B341" t="s">
        <v>1745</v>
      </c>
      <c r="C341">
        <v>53</v>
      </c>
      <c r="D341" t="s">
        <v>1784</v>
      </c>
      <c r="E341" t="s">
        <v>1791</v>
      </c>
      <c r="F341" t="s">
        <v>1799</v>
      </c>
      <c r="G341" s="5">
        <v>72896</v>
      </c>
      <c r="H341" t="s">
        <v>1801</v>
      </c>
      <c r="I341" t="s">
        <v>1806</v>
      </c>
      <c r="J341" s="2">
        <v>45382</v>
      </c>
      <c r="K341">
        <f t="shared" ca="1" si="10"/>
        <v>1</v>
      </c>
      <c r="L341">
        <f t="shared" ca="1" si="11"/>
        <v>8</v>
      </c>
      <c r="M341" t="s">
        <v>1809</v>
      </c>
      <c r="N341">
        <v>3</v>
      </c>
      <c r="O341" t="s">
        <v>1813</v>
      </c>
      <c r="P341" t="s">
        <v>1834</v>
      </c>
    </row>
    <row r="342" spans="1:16" x14ac:dyDescent="0.3">
      <c r="A342" t="s">
        <v>353</v>
      </c>
      <c r="B342" t="s">
        <v>1718</v>
      </c>
      <c r="C342">
        <v>32</v>
      </c>
      <c r="D342" t="s">
        <v>1785</v>
      </c>
      <c r="E342" t="s">
        <v>1786</v>
      </c>
      <c r="F342" t="s">
        <v>1796</v>
      </c>
      <c r="G342" s="5">
        <v>119968</v>
      </c>
      <c r="H342" t="s">
        <v>1805</v>
      </c>
      <c r="I342" t="s">
        <v>1807</v>
      </c>
      <c r="J342" s="2">
        <v>43904</v>
      </c>
      <c r="K342">
        <f t="shared" ca="1" si="10"/>
        <v>5</v>
      </c>
      <c r="L342">
        <f t="shared" ca="1" si="11"/>
        <v>8</v>
      </c>
      <c r="M342" t="s">
        <v>1810</v>
      </c>
      <c r="N342">
        <v>3</v>
      </c>
      <c r="O342" t="s">
        <v>1816</v>
      </c>
      <c r="P342" t="s">
        <v>1833</v>
      </c>
    </row>
    <row r="343" spans="1:16" x14ac:dyDescent="0.3">
      <c r="A343" t="s">
        <v>354</v>
      </c>
      <c r="B343" t="s">
        <v>1735</v>
      </c>
      <c r="C343">
        <v>51</v>
      </c>
      <c r="D343" t="s">
        <v>1783</v>
      </c>
      <c r="E343" t="s">
        <v>1790</v>
      </c>
      <c r="F343" t="s">
        <v>1798</v>
      </c>
      <c r="G343" s="5">
        <v>61332</v>
      </c>
      <c r="H343" t="s">
        <v>1801</v>
      </c>
      <c r="I343" t="s">
        <v>1807</v>
      </c>
      <c r="J343" s="2">
        <v>45189</v>
      </c>
      <c r="K343">
        <f t="shared" ca="1" si="10"/>
        <v>2</v>
      </c>
      <c r="L343">
        <f t="shared" ca="1" si="11"/>
        <v>2</v>
      </c>
      <c r="M343" t="s">
        <v>1809</v>
      </c>
      <c r="N343">
        <v>1</v>
      </c>
      <c r="O343" t="s">
        <v>1812</v>
      </c>
      <c r="P343" t="s">
        <v>1834</v>
      </c>
    </row>
    <row r="344" spans="1:16" x14ac:dyDescent="0.3">
      <c r="A344" t="s">
        <v>355</v>
      </c>
      <c r="B344" t="s">
        <v>1761</v>
      </c>
      <c r="C344">
        <v>52</v>
      </c>
      <c r="D344" t="s">
        <v>1783</v>
      </c>
      <c r="E344" t="s">
        <v>1793</v>
      </c>
      <c r="F344" t="s">
        <v>1794</v>
      </c>
      <c r="G344" s="5">
        <v>51540</v>
      </c>
      <c r="H344" t="s">
        <v>1802</v>
      </c>
      <c r="I344" t="s">
        <v>1808</v>
      </c>
      <c r="J344" s="2">
        <v>43650</v>
      </c>
      <c r="K344">
        <f t="shared" ca="1" si="10"/>
        <v>6</v>
      </c>
      <c r="L344">
        <f t="shared" ca="1" si="11"/>
        <v>5</v>
      </c>
      <c r="M344" t="s">
        <v>1810</v>
      </c>
      <c r="N344">
        <v>4</v>
      </c>
      <c r="O344" t="s">
        <v>1818</v>
      </c>
      <c r="P344" t="s">
        <v>1834</v>
      </c>
    </row>
    <row r="345" spans="1:16" x14ac:dyDescent="0.3">
      <c r="A345" t="s">
        <v>356</v>
      </c>
      <c r="B345" t="s">
        <v>1765</v>
      </c>
      <c r="C345">
        <v>31</v>
      </c>
      <c r="D345" t="s">
        <v>1783</v>
      </c>
      <c r="E345" t="s">
        <v>1788</v>
      </c>
      <c r="F345" t="s">
        <v>1799</v>
      </c>
      <c r="G345" s="5">
        <v>65214</v>
      </c>
      <c r="H345" t="s">
        <v>1804</v>
      </c>
      <c r="I345" t="s">
        <v>1808</v>
      </c>
      <c r="J345" s="2">
        <v>45463</v>
      </c>
      <c r="K345">
        <f t="shared" ca="1" si="10"/>
        <v>1</v>
      </c>
      <c r="L345">
        <f t="shared" ca="1" si="11"/>
        <v>5</v>
      </c>
      <c r="M345" t="s">
        <v>1809</v>
      </c>
      <c r="N345">
        <v>1</v>
      </c>
      <c r="O345" t="s">
        <v>1818</v>
      </c>
      <c r="P345" t="s">
        <v>1833</v>
      </c>
    </row>
    <row r="346" spans="1:16" x14ac:dyDescent="0.3">
      <c r="A346" t="s">
        <v>357</v>
      </c>
      <c r="B346" t="s">
        <v>1720</v>
      </c>
      <c r="C346">
        <v>28</v>
      </c>
      <c r="D346" t="s">
        <v>1785</v>
      </c>
      <c r="E346" t="s">
        <v>1791</v>
      </c>
      <c r="F346" t="s">
        <v>1796</v>
      </c>
      <c r="G346" s="5">
        <v>61078</v>
      </c>
      <c r="H346" t="s">
        <v>1803</v>
      </c>
      <c r="I346" t="s">
        <v>1806</v>
      </c>
      <c r="J346" s="2">
        <v>43536</v>
      </c>
      <c r="K346">
        <f t="shared" ca="1" si="10"/>
        <v>6</v>
      </c>
      <c r="L346">
        <f t="shared" ca="1" si="11"/>
        <v>8</v>
      </c>
      <c r="M346" t="s">
        <v>1809</v>
      </c>
      <c r="N346">
        <v>3</v>
      </c>
      <c r="O346" t="s">
        <v>1817</v>
      </c>
      <c r="P346" t="s">
        <v>1833</v>
      </c>
    </row>
    <row r="347" spans="1:16" x14ac:dyDescent="0.3">
      <c r="A347" t="s">
        <v>358</v>
      </c>
      <c r="B347" t="s">
        <v>1761</v>
      </c>
      <c r="C347">
        <v>45</v>
      </c>
      <c r="D347" t="s">
        <v>1784</v>
      </c>
      <c r="E347" t="s">
        <v>1790</v>
      </c>
      <c r="F347" t="s">
        <v>1799</v>
      </c>
      <c r="G347" s="5">
        <v>53629</v>
      </c>
      <c r="H347" t="s">
        <v>1803</v>
      </c>
      <c r="I347" t="s">
        <v>1806</v>
      </c>
      <c r="J347" s="2">
        <v>45922</v>
      </c>
      <c r="K347">
        <f t="shared" ca="1" si="10"/>
        <v>0</v>
      </c>
      <c r="L347">
        <f t="shared" ca="1" si="11"/>
        <v>2</v>
      </c>
      <c r="M347" t="s">
        <v>1810</v>
      </c>
      <c r="N347">
        <v>4</v>
      </c>
      <c r="O347" t="s">
        <v>1816</v>
      </c>
      <c r="P347" t="s">
        <v>1831</v>
      </c>
    </row>
    <row r="348" spans="1:16" x14ac:dyDescent="0.3">
      <c r="A348" t="s">
        <v>359</v>
      </c>
      <c r="B348" t="s">
        <v>1769</v>
      </c>
      <c r="C348">
        <v>23</v>
      </c>
      <c r="D348" t="s">
        <v>1783</v>
      </c>
      <c r="E348" t="s">
        <v>1793</v>
      </c>
      <c r="F348" t="s">
        <v>1795</v>
      </c>
      <c r="G348" s="5">
        <v>72529</v>
      </c>
      <c r="H348" t="s">
        <v>1803</v>
      </c>
      <c r="I348" t="s">
        <v>1806</v>
      </c>
      <c r="J348" s="2">
        <v>45216</v>
      </c>
      <c r="K348">
        <f t="shared" ca="1" si="10"/>
        <v>2</v>
      </c>
      <c r="L348">
        <f t="shared" ca="1" si="11"/>
        <v>1</v>
      </c>
      <c r="M348" t="s">
        <v>1810</v>
      </c>
      <c r="N348">
        <v>2</v>
      </c>
      <c r="O348" t="s">
        <v>1811</v>
      </c>
      <c r="P348" t="s">
        <v>1832</v>
      </c>
    </row>
    <row r="349" spans="1:16" x14ac:dyDescent="0.3">
      <c r="A349" t="s">
        <v>360</v>
      </c>
      <c r="B349" t="s">
        <v>1753</v>
      </c>
      <c r="C349">
        <v>21</v>
      </c>
      <c r="D349" t="s">
        <v>1785</v>
      </c>
      <c r="E349" t="s">
        <v>1791</v>
      </c>
      <c r="F349" t="s">
        <v>1800</v>
      </c>
      <c r="G349" s="5">
        <v>81318</v>
      </c>
      <c r="H349" t="s">
        <v>1801</v>
      </c>
      <c r="I349" t="s">
        <v>1808</v>
      </c>
      <c r="J349" s="2">
        <v>44243</v>
      </c>
      <c r="K349">
        <f t="shared" ca="1" si="10"/>
        <v>4</v>
      </c>
      <c r="L349">
        <f t="shared" ca="1" si="11"/>
        <v>9</v>
      </c>
      <c r="M349" t="s">
        <v>1809</v>
      </c>
      <c r="N349">
        <v>1</v>
      </c>
      <c r="O349" t="s">
        <v>1814</v>
      </c>
      <c r="P349" t="s">
        <v>1832</v>
      </c>
    </row>
    <row r="350" spans="1:16" x14ac:dyDescent="0.3">
      <c r="A350" t="s">
        <v>361</v>
      </c>
      <c r="B350" t="s">
        <v>1724</v>
      </c>
      <c r="C350">
        <v>53</v>
      </c>
      <c r="D350" t="s">
        <v>1785</v>
      </c>
      <c r="E350" t="s">
        <v>1786</v>
      </c>
      <c r="F350" t="s">
        <v>1799</v>
      </c>
      <c r="G350" s="5">
        <v>105797</v>
      </c>
      <c r="H350" t="s">
        <v>1804</v>
      </c>
      <c r="I350" t="s">
        <v>1806</v>
      </c>
      <c r="J350" s="2">
        <v>44580</v>
      </c>
      <c r="K350">
        <f t="shared" ca="1" si="10"/>
        <v>3</v>
      </c>
      <c r="L350">
        <f t="shared" ca="1" si="11"/>
        <v>10</v>
      </c>
      <c r="M350" t="s">
        <v>1809</v>
      </c>
      <c r="N350">
        <v>4</v>
      </c>
      <c r="O350" t="s">
        <v>1815</v>
      </c>
      <c r="P350" t="s">
        <v>1834</v>
      </c>
    </row>
    <row r="351" spans="1:16" x14ac:dyDescent="0.3">
      <c r="A351" t="s">
        <v>362</v>
      </c>
      <c r="B351" t="s">
        <v>1737</v>
      </c>
      <c r="C351">
        <v>44</v>
      </c>
      <c r="D351" t="s">
        <v>1783</v>
      </c>
      <c r="E351" t="s">
        <v>1792</v>
      </c>
      <c r="F351" t="s">
        <v>1794</v>
      </c>
      <c r="G351" s="5">
        <v>19526</v>
      </c>
      <c r="H351" t="s">
        <v>1802</v>
      </c>
      <c r="I351" t="s">
        <v>1806</v>
      </c>
      <c r="J351" s="2">
        <v>45914</v>
      </c>
      <c r="K351">
        <f t="shared" ca="1" si="10"/>
        <v>0</v>
      </c>
      <c r="L351">
        <f t="shared" ca="1" si="11"/>
        <v>2</v>
      </c>
      <c r="M351" t="s">
        <v>1810</v>
      </c>
      <c r="N351">
        <v>4</v>
      </c>
      <c r="O351" t="s">
        <v>1816</v>
      </c>
      <c r="P351" t="s">
        <v>1831</v>
      </c>
    </row>
    <row r="352" spans="1:16" x14ac:dyDescent="0.3">
      <c r="A352" t="s">
        <v>363</v>
      </c>
      <c r="B352" t="s">
        <v>1765</v>
      </c>
      <c r="C352">
        <v>51</v>
      </c>
      <c r="D352" t="s">
        <v>1784</v>
      </c>
      <c r="E352" t="s">
        <v>1786</v>
      </c>
      <c r="F352" t="s">
        <v>1796</v>
      </c>
      <c r="G352" s="5">
        <v>61371</v>
      </c>
      <c r="H352" t="s">
        <v>1801</v>
      </c>
      <c r="I352" t="s">
        <v>1806</v>
      </c>
      <c r="J352" s="2">
        <v>43350</v>
      </c>
      <c r="K352">
        <f t="shared" ca="1" si="10"/>
        <v>7</v>
      </c>
      <c r="L352">
        <f t="shared" ca="1" si="11"/>
        <v>3</v>
      </c>
      <c r="M352" t="s">
        <v>1810</v>
      </c>
      <c r="N352">
        <v>4</v>
      </c>
      <c r="O352" t="s">
        <v>1815</v>
      </c>
      <c r="P352" t="s">
        <v>1834</v>
      </c>
    </row>
    <row r="353" spans="1:16" x14ac:dyDescent="0.3">
      <c r="A353" t="s">
        <v>364</v>
      </c>
      <c r="B353" t="s">
        <v>1718</v>
      </c>
      <c r="C353">
        <v>48</v>
      </c>
      <c r="D353" t="s">
        <v>1785</v>
      </c>
      <c r="E353" t="s">
        <v>1790</v>
      </c>
      <c r="F353" t="s">
        <v>1799</v>
      </c>
      <c r="G353" s="5">
        <v>29536</v>
      </c>
      <c r="H353" t="s">
        <v>1803</v>
      </c>
      <c r="I353" t="s">
        <v>1808</v>
      </c>
      <c r="J353" s="2">
        <v>43732</v>
      </c>
      <c r="K353">
        <f t="shared" ca="1" si="10"/>
        <v>6</v>
      </c>
      <c r="L353">
        <f t="shared" ca="1" si="11"/>
        <v>2</v>
      </c>
      <c r="M353" t="s">
        <v>1809</v>
      </c>
      <c r="N353">
        <v>4</v>
      </c>
      <c r="O353" t="s">
        <v>1818</v>
      </c>
      <c r="P353" t="s">
        <v>1834</v>
      </c>
    </row>
    <row r="354" spans="1:16" x14ac:dyDescent="0.3">
      <c r="A354" t="s">
        <v>365</v>
      </c>
      <c r="B354" t="s">
        <v>1718</v>
      </c>
      <c r="C354">
        <v>46</v>
      </c>
      <c r="D354" t="s">
        <v>1783</v>
      </c>
      <c r="E354" t="s">
        <v>1792</v>
      </c>
      <c r="F354" t="s">
        <v>1799</v>
      </c>
      <c r="G354" s="5">
        <v>29913</v>
      </c>
      <c r="H354" t="s">
        <v>1805</v>
      </c>
      <c r="I354" t="s">
        <v>1806</v>
      </c>
      <c r="J354" s="2">
        <v>45049</v>
      </c>
      <c r="K354">
        <f t="shared" ca="1" si="10"/>
        <v>2</v>
      </c>
      <c r="L354">
        <f t="shared" ca="1" si="11"/>
        <v>7</v>
      </c>
      <c r="M354" t="s">
        <v>1810</v>
      </c>
      <c r="N354">
        <v>5</v>
      </c>
      <c r="O354" t="s">
        <v>1815</v>
      </c>
      <c r="P354" t="s">
        <v>1834</v>
      </c>
    </row>
    <row r="355" spans="1:16" x14ac:dyDescent="0.3">
      <c r="A355" t="s">
        <v>366</v>
      </c>
      <c r="B355" t="s">
        <v>1737</v>
      </c>
      <c r="C355">
        <v>43</v>
      </c>
      <c r="D355" t="s">
        <v>1783</v>
      </c>
      <c r="E355" t="s">
        <v>1786</v>
      </c>
      <c r="F355" t="s">
        <v>1796</v>
      </c>
      <c r="G355" s="5">
        <v>77566</v>
      </c>
      <c r="H355" t="s">
        <v>1805</v>
      </c>
      <c r="I355" t="s">
        <v>1806</v>
      </c>
      <c r="J355" s="2">
        <v>44895</v>
      </c>
      <c r="K355">
        <f t="shared" ca="1" si="10"/>
        <v>3</v>
      </c>
      <c r="L355">
        <f t="shared" ca="1" si="11"/>
        <v>0</v>
      </c>
      <c r="M355" t="s">
        <v>1810</v>
      </c>
      <c r="N355">
        <v>3</v>
      </c>
      <c r="O355" t="s">
        <v>1812</v>
      </c>
      <c r="P355" t="s">
        <v>1831</v>
      </c>
    </row>
    <row r="356" spans="1:16" x14ac:dyDescent="0.3">
      <c r="A356" t="s">
        <v>367</v>
      </c>
      <c r="B356" t="s">
        <v>1713</v>
      </c>
      <c r="C356">
        <v>34</v>
      </c>
      <c r="D356" t="s">
        <v>1783</v>
      </c>
      <c r="E356" t="s">
        <v>1789</v>
      </c>
      <c r="F356" t="s">
        <v>1799</v>
      </c>
      <c r="G356" s="5">
        <v>64548</v>
      </c>
      <c r="H356" t="s">
        <v>1804</v>
      </c>
      <c r="I356" t="s">
        <v>1806</v>
      </c>
      <c r="J356" s="2">
        <v>44576</v>
      </c>
      <c r="K356">
        <f t="shared" ca="1" si="10"/>
        <v>3</v>
      </c>
      <c r="L356">
        <f t="shared" ca="1" si="11"/>
        <v>10</v>
      </c>
      <c r="M356" t="s">
        <v>1810</v>
      </c>
      <c r="N356">
        <v>1</v>
      </c>
      <c r="O356" t="s">
        <v>1818</v>
      </c>
      <c r="P356" t="s">
        <v>1833</v>
      </c>
    </row>
    <row r="357" spans="1:16" x14ac:dyDescent="0.3">
      <c r="A357" t="s">
        <v>368</v>
      </c>
      <c r="B357" t="s">
        <v>1781</v>
      </c>
      <c r="C357">
        <v>28</v>
      </c>
      <c r="D357" t="s">
        <v>1785</v>
      </c>
      <c r="E357" t="s">
        <v>1787</v>
      </c>
      <c r="F357" t="s">
        <v>1796</v>
      </c>
      <c r="G357" s="5">
        <v>32019</v>
      </c>
      <c r="H357" t="s">
        <v>1805</v>
      </c>
      <c r="I357" t="s">
        <v>1807</v>
      </c>
      <c r="J357" s="2">
        <v>43206</v>
      </c>
      <c r="K357">
        <f t="shared" ca="1" si="10"/>
        <v>7</v>
      </c>
      <c r="L357">
        <f t="shared" ca="1" si="11"/>
        <v>7</v>
      </c>
      <c r="M357" t="s">
        <v>1809</v>
      </c>
      <c r="N357">
        <v>4</v>
      </c>
      <c r="O357" t="s">
        <v>1815</v>
      </c>
      <c r="P357" t="s">
        <v>1833</v>
      </c>
    </row>
    <row r="358" spans="1:16" x14ac:dyDescent="0.3">
      <c r="A358" t="s">
        <v>369</v>
      </c>
      <c r="B358" t="s">
        <v>1755</v>
      </c>
      <c r="C358">
        <v>32</v>
      </c>
      <c r="D358" t="s">
        <v>1785</v>
      </c>
      <c r="E358" t="s">
        <v>1789</v>
      </c>
      <c r="F358" t="s">
        <v>1799</v>
      </c>
      <c r="G358" s="5">
        <v>32125</v>
      </c>
      <c r="H358" t="s">
        <v>1803</v>
      </c>
      <c r="I358" t="s">
        <v>1807</v>
      </c>
      <c r="J358" s="2">
        <v>45031</v>
      </c>
      <c r="K358">
        <f t="shared" ca="1" si="10"/>
        <v>2</v>
      </c>
      <c r="L358">
        <f t="shared" ca="1" si="11"/>
        <v>7</v>
      </c>
      <c r="M358" t="s">
        <v>1809</v>
      </c>
      <c r="N358">
        <v>4</v>
      </c>
      <c r="O358" t="s">
        <v>1812</v>
      </c>
      <c r="P358" t="s">
        <v>1833</v>
      </c>
    </row>
    <row r="359" spans="1:16" x14ac:dyDescent="0.3">
      <c r="A359" t="s">
        <v>370</v>
      </c>
      <c r="B359" t="s">
        <v>1759</v>
      </c>
      <c r="C359">
        <v>28</v>
      </c>
      <c r="D359" t="s">
        <v>1784</v>
      </c>
      <c r="E359" t="s">
        <v>1792</v>
      </c>
      <c r="F359" t="s">
        <v>1794</v>
      </c>
      <c r="G359" s="5">
        <v>87515</v>
      </c>
      <c r="H359" t="s">
        <v>1801</v>
      </c>
      <c r="I359" t="s">
        <v>1806</v>
      </c>
      <c r="J359" s="2">
        <v>44210</v>
      </c>
      <c r="K359">
        <f t="shared" ca="1" si="10"/>
        <v>4</v>
      </c>
      <c r="L359">
        <f t="shared" ca="1" si="11"/>
        <v>10</v>
      </c>
      <c r="M359" t="s">
        <v>1810</v>
      </c>
      <c r="N359">
        <v>5</v>
      </c>
      <c r="O359" t="s">
        <v>1816</v>
      </c>
      <c r="P359" t="s">
        <v>1833</v>
      </c>
    </row>
    <row r="360" spans="1:16" x14ac:dyDescent="0.3">
      <c r="A360" t="s">
        <v>371</v>
      </c>
      <c r="B360" t="s">
        <v>1729</v>
      </c>
      <c r="C360">
        <v>28</v>
      </c>
      <c r="D360" t="s">
        <v>1783</v>
      </c>
      <c r="E360" t="s">
        <v>1787</v>
      </c>
      <c r="F360" t="s">
        <v>1795</v>
      </c>
      <c r="G360" s="5">
        <v>104182</v>
      </c>
      <c r="H360" t="s">
        <v>1805</v>
      </c>
      <c r="I360" t="s">
        <v>1808</v>
      </c>
      <c r="J360" s="2">
        <v>44502</v>
      </c>
      <c r="K360">
        <f t="shared" ca="1" si="10"/>
        <v>4</v>
      </c>
      <c r="L360">
        <f t="shared" ca="1" si="11"/>
        <v>1</v>
      </c>
      <c r="M360" t="s">
        <v>1810</v>
      </c>
      <c r="N360">
        <v>4</v>
      </c>
      <c r="O360" t="s">
        <v>1815</v>
      </c>
      <c r="P360" t="s">
        <v>1833</v>
      </c>
    </row>
    <row r="361" spans="1:16" x14ac:dyDescent="0.3">
      <c r="A361" t="s">
        <v>372</v>
      </c>
      <c r="B361" t="s">
        <v>1728</v>
      </c>
      <c r="C361">
        <v>41</v>
      </c>
      <c r="D361" t="s">
        <v>1784</v>
      </c>
      <c r="E361" t="s">
        <v>1790</v>
      </c>
      <c r="F361" t="s">
        <v>1798</v>
      </c>
      <c r="G361" s="5">
        <v>35481</v>
      </c>
      <c r="H361" t="s">
        <v>1803</v>
      </c>
      <c r="I361" t="s">
        <v>1806</v>
      </c>
      <c r="J361" s="2">
        <v>45305</v>
      </c>
      <c r="K361">
        <f t="shared" ca="1" si="10"/>
        <v>1</v>
      </c>
      <c r="L361">
        <f t="shared" ca="1" si="11"/>
        <v>10</v>
      </c>
      <c r="M361" t="s">
        <v>1810</v>
      </c>
      <c r="N361">
        <v>5</v>
      </c>
      <c r="O361" t="s">
        <v>1817</v>
      </c>
      <c r="P361" t="s">
        <v>1831</v>
      </c>
    </row>
    <row r="362" spans="1:16" x14ac:dyDescent="0.3">
      <c r="A362" t="s">
        <v>373</v>
      </c>
      <c r="B362" t="s">
        <v>1719</v>
      </c>
      <c r="C362">
        <v>33</v>
      </c>
      <c r="D362" t="s">
        <v>1783</v>
      </c>
      <c r="E362" t="s">
        <v>1786</v>
      </c>
      <c r="F362" t="s">
        <v>1794</v>
      </c>
      <c r="G362" s="5">
        <v>99810</v>
      </c>
      <c r="H362" t="s">
        <v>1804</v>
      </c>
      <c r="I362" t="s">
        <v>1806</v>
      </c>
      <c r="J362" s="2">
        <v>43852</v>
      </c>
      <c r="K362">
        <f t="shared" ca="1" si="10"/>
        <v>5</v>
      </c>
      <c r="L362">
        <f t="shared" ca="1" si="11"/>
        <v>10</v>
      </c>
      <c r="M362" t="s">
        <v>1809</v>
      </c>
      <c r="N362">
        <v>2</v>
      </c>
      <c r="O362" t="s">
        <v>1817</v>
      </c>
      <c r="P362" t="s">
        <v>1833</v>
      </c>
    </row>
    <row r="363" spans="1:16" x14ac:dyDescent="0.3">
      <c r="A363" t="s">
        <v>374</v>
      </c>
      <c r="B363" t="s">
        <v>1765</v>
      </c>
      <c r="C363">
        <v>42</v>
      </c>
      <c r="D363" t="s">
        <v>1785</v>
      </c>
      <c r="E363" t="s">
        <v>1790</v>
      </c>
      <c r="F363" t="s">
        <v>1795</v>
      </c>
      <c r="G363" s="5">
        <v>94389</v>
      </c>
      <c r="H363" t="s">
        <v>1803</v>
      </c>
      <c r="I363" t="s">
        <v>1806</v>
      </c>
      <c r="J363" s="2">
        <v>45501</v>
      </c>
      <c r="K363">
        <f t="shared" ca="1" si="10"/>
        <v>1</v>
      </c>
      <c r="L363">
        <f t="shared" ca="1" si="11"/>
        <v>4</v>
      </c>
      <c r="M363" t="s">
        <v>1810</v>
      </c>
      <c r="N363">
        <v>4</v>
      </c>
      <c r="O363" t="s">
        <v>1818</v>
      </c>
      <c r="P363" t="s">
        <v>1831</v>
      </c>
    </row>
    <row r="364" spans="1:16" x14ac:dyDescent="0.3">
      <c r="A364" t="s">
        <v>375</v>
      </c>
      <c r="B364" t="s">
        <v>1764</v>
      </c>
      <c r="C364">
        <v>21</v>
      </c>
      <c r="D364" t="s">
        <v>1784</v>
      </c>
      <c r="E364" t="s">
        <v>1791</v>
      </c>
      <c r="F364" t="s">
        <v>1794</v>
      </c>
      <c r="G364" s="5">
        <v>24955</v>
      </c>
      <c r="H364" t="s">
        <v>1801</v>
      </c>
      <c r="I364" t="s">
        <v>1807</v>
      </c>
      <c r="J364" s="2">
        <v>43531</v>
      </c>
      <c r="K364">
        <f t="shared" ca="1" si="10"/>
        <v>6</v>
      </c>
      <c r="L364">
        <f t="shared" ca="1" si="11"/>
        <v>9</v>
      </c>
      <c r="M364" t="s">
        <v>1809</v>
      </c>
      <c r="N364">
        <v>3</v>
      </c>
      <c r="O364" t="s">
        <v>1814</v>
      </c>
      <c r="P364" t="s">
        <v>1832</v>
      </c>
    </row>
    <row r="365" spans="1:16" x14ac:dyDescent="0.3">
      <c r="A365" t="s">
        <v>376</v>
      </c>
      <c r="B365" t="s">
        <v>1751</v>
      </c>
      <c r="C365">
        <v>23</v>
      </c>
      <c r="D365" t="s">
        <v>1785</v>
      </c>
      <c r="E365" t="s">
        <v>1788</v>
      </c>
      <c r="F365" t="s">
        <v>1799</v>
      </c>
      <c r="G365" s="5">
        <v>44738</v>
      </c>
      <c r="H365" t="s">
        <v>1805</v>
      </c>
      <c r="I365" t="s">
        <v>1807</v>
      </c>
      <c r="J365" s="2">
        <v>43907</v>
      </c>
      <c r="K365">
        <f t="shared" ca="1" si="10"/>
        <v>5</v>
      </c>
      <c r="L365">
        <f t="shared" ca="1" si="11"/>
        <v>8</v>
      </c>
      <c r="M365" t="s">
        <v>1810</v>
      </c>
      <c r="N365">
        <v>1</v>
      </c>
      <c r="O365" t="s">
        <v>1815</v>
      </c>
      <c r="P365" t="s">
        <v>1832</v>
      </c>
    </row>
    <row r="366" spans="1:16" x14ac:dyDescent="0.3">
      <c r="A366" t="s">
        <v>377</v>
      </c>
      <c r="B366" t="s">
        <v>1748</v>
      </c>
      <c r="C366">
        <v>35</v>
      </c>
      <c r="D366" t="s">
        <v>1785</v>
      </c>
      <c r="E366" t="s">
        <v>1788</v>
      </c>
      <c r="F366" t="s">
        <v>1794</v>
      </c>
      <c r="G366" s="5">
        <v>108824</v>
      </c>
      <c r="H366" t="s">
        <v>1801</v>
      </c>
      <c r="I366" t="s">
        <v>1808</v>
      </c>
      <c r="J366" s="2">
        <v>44025</v>
      </c>
      <c r="K366">
        <f t="shared" ca="1" si="10"/>
        <v>5</v>
      </c>
      <c r="L366">
        <f t="shared" ca="1" si="11"/>
        <v>4</v>
      </c>
      <c r="M366" t="s">
        <v>1810</v>
      </c>
      <c r="N366">
        <v>3</v>
      </c>
      <c r="O366" t="s">
        <v>1818</v>
      </c>
      <c r="P366" t="s">
        <v>1833</v>
      </c>
    </row>
    <row r="367" spans="1:16" x14ac:dyDescent="0.3">
      <c r="A367" t="s">
        <v>378</v>
      </c>
      <c r="B367" t="s">
        <v>1733</v>
      </c>
      <c r="C367">
        <v>36</v>
      </c>
      <c r="D367" t="s">
        <v>1783</v>
      </c>
      <c r="E367" t="s">
        <v>1790</v>
      </c>
      <c r="F367" t="s">
        <v>1794</v>
      </c>
      <c r="G367" s="5">
        <v>47563</v>
      </c>
      <c r="H367" t="s">
        <v>1804</v>
      </c>
      <c r="I367" t="s">
        <v>1806</v>
      </c>
      <c r="J367" s="2">
        <v>44676</v>
      </c>
      <c r="K367">
        <f t="shared" ca="1" si="10"/>
        <v>3</v>
      </c>
      <c r="L367">
        <f t="shared" ca="1" si="11"/>
        <v>7</v>
      </c>
      <c r="M367" t="s">
        <v>1809</v>
      </c>
      <c r="N367">
        <v>2</v>
      </c>
      <c r="O367" t="s">
        <v>1814</v>
      </c>
      <c r="P367" t="s">
        <v>1831</v>
      </c>
    </row>
    <row r="368" spans="1:16" x14ac:dyDescent="0.3">
      <c r="A368" t="s">
        <v>379</v>
      </c>
      <c r="B368" t="s">
        <v>1721</v>
      </c>
      <c r="C368">
        <v>24</v>
      </c>
      <c r="D368" t="s">
        <v>1783</v>
      </c>
      <c r="E368" t="s">
        <v>1791</v>
      </c>
      <c r="F368" t="s">
        <v>1795</v>
      </c>
      <c r="G368" s="5">
        <v>114348</v>
      </c>
      <c r="H368" t="s">
        <v>1801</v>
      </c>
      <c r="I368" t="s">
        <v>1808</v>
      </c>
      <c r="J368" s="2">
        <v>42604</v>
      </c>
      <c r="K368">
        <f t="shared" ca="1" si="10"/>
        <v>9</v>
      </c>
      <c r="L368">
        <f t="shared" ca="1" si="11"/>
        <v>3</v>
      </c>
      <c r="M368" t="s">
        <v>1810</v>
      </c>
      <c r="N368">
        <v>3</v>
      </c>
      <c r="O368" t="s">
        <v>1814</v>
      </c>
      <c r="P368" t="s">
        <v>1832</v>
      </c>
    </row>
    <row r="369" spans="1:16" x14ac:dyDescent="0.3">
      <c r="A369" t="s">
        <v>380</v>
      </c>
      <c r="B369" t="s">
        <v>1776</v>
      </c>
      <c r="C369">
        <v>57</v>
      </c>
      <c r="D369" t="s">
        <v>1784</v>
      </c>
      <c r="E369" t="s">
        <v>1792</v>
      </c>
      <c r="F369" t="s">
        <v>1800</v>
      </c>
      <c r="G369" s="5">
        <v>61327</v>
      </c>
      <c r="H369" t="s">
        <v>1802</v>
      </c>
      <c r="I369" t="s">
        <v>1807</v>
      </c>
      <c r="J369" s="2">
        <v>43067</v>
      </c>
      <c r="K369">
        <f t="shared" ca="1" si="10"/>
        <v>8</v>
      </c>
      <c r="L369">
        <f t="shared" ca="1" si="11"/>
        <v>0</v>
      </c>
      <c r="M369" t="s">
        <v>1810</v>
      </c>
      <c r="N369">
        <v>5</v>
      </c>
      <c r="O369" t="s">
        <v>1818</v>
      </c>
      <c r="P369" t="s">
        <v>1834</v>
      </c>
    </row>
    <row r="370" spans="1:16" x14ac:dyDescent="0.3">
      <c r="A370" t="s">
        <v>381</v>
      </c>
      <c r="B370" t="s">
        <v>1717</v>
      </c>
      <c r="C370">
        <v>39</v>
      </c>
      <c r="D370" t="s">
        <v>1784</v>
      </c>
      <c r="E370" t="s">
        <v>1789</v>
      </c>
      <c r="F370" t="s">
        <v>1799</v>
      </c>
      <c r="G370" s="5">
        <v>27552</v>
      </c>
      <c r="H370" t="s">
        <v>1804</v>
      </c>
      <c r="I370" t="s">
        <v>1806</v>
      </c>
      <c r="J370" s="2">
        <v>43338</v>
      </c>
      <c r="K370">
        <f t="shared" ca="1" si="10"/>
        <v>7</v>
      </c>
      <c r="L370">
        <f t="shared" ca="1" si="11"/>
        <v>3</v>
      </c>
      <c r="M370" t="s">
        <v>1809</v>
      </c>
      <c r="N370">
        <v>5</v>
      </c>
      <c r="O370" t="s">
        <v>1813</v>
      </c>
      <c r="P370" t="s">
        <v>1831</v>
      </c>
    </row>
    <row r="371" spans="1:16" x14ac:dyDescent="0.3">
      <c r="A371" t="s">
        <v>382</v>
      </c>
      <c r="B371" t="s">
        <v>1756</v>
      </c>
      <c r="C371">
        <v>46</v>
      </c>
      <c r="D371" t="s">
        <v>1785</v>
      </c>
      <c r="E371" t="s">
        <v>1787</v>
      </c>
      <c r="F371" t="s">
        <v>1796</v>
      </c>
      <c r="G371" s="5">
        <v>30051</v>
      </c>
      <c r="H371" t="s">
        <v>1802</v>
      </c>
      <c r="I371" t="s">
        <v>1807</v>
      </c>
      <c r="J371" s="2">
        <v>45155</v>
      </c>
      <c r="K371">
        <f t="shared" ca="1" si="10"/>
        <v>2</v>
      </c>
      <c r="L371">
        <f t="shared" ca="1" si="11"/>
        <v>3</v>
      </c>
      <c r="M371" t="s">
        <v>1810</v>
      </c>
      <c r="N371">
        <v>3</v>
      </c>
      <c r="O371" t="s">
        <v>1817</v>
      </c>
      <c r="P371" t="s">
        <v>1834</v>
      </c>
    </row>
    <row r="372" spans="1:16" x14ac:dyDescent="0.3">
      <c r="A372" t="s">
        <v>383</v>
      </c>
      <c r="B372" t="s">
        <v>1734</v>
      </c>
      <c r="C372">
        <v>53</v>
      </c>
      <c r="D372" t="s">
        <v>1784</v>
      </c>
      <c r="E372" t="s">
        <v>1792</v>
      </c>
      <c r="F372" t="s">
        <v>1794</v>
      </c>
      <c r="G372" s="5">
        <v>33036</v>
      </c>
      <c r="H372" t="s">
        <v>1804</v>
      </c>
      <c r="I372" t="s">
        <v>1808</v>
      </c>
      <c r="J372" s="2">
        <v>43422</v>
      </c>
      <c r="K372">
        <f t="shared" ca="1" si="10"/>
        <v>7</v>
      </c>
      <c r="L372">
        <f t="shared" ca="1" si="11"/>
        <v>0</v>
      </c>
      <c r="M372" t="s">
        <v>1809</v>
      </c>
      <c r="N372">
        <v>1</v>
      </c>
      <c r="O372" t="s">
        <v>1817</v>
      </c>
      <c r="P372" t="s">
        <v>1834</v>
      </c>
    </row>
    <row r="373" spans="1:16" x14ac:dyDescent="0.3">
      <c r="A373" t="s">
        <v>384</v>
      </c>
      <c r="B373" t="s">
        <v>1750</v>
      </c>
      <c r="C373">
        <v>27</v>
      </c>
      <c r="D373" t="s">
        <v>1784</v>
      </c>
      <c r="E373" t="s">
        <v>1788</v>
      </c>
      <c r="F373" t="s">
        <v>1794</v>
      </c>
      <c r="G373" s="5">
        <v>88809</v>
      </c>
      <c r="H373" t="s">
        <v>1804</v>
      </c>
      <c r="I373" t="s">
        <v>1807</v>
      </c>
      <c r="J373" s="2">
        <v>44555</v>
      </c>
      <c r="K373">
        <f t="shared" ca="1" si="10"/>
        <v>4</v>
      </c>
      <c r="L373">
        <f t="shared" ca="1" si="11"/>
        <v>11</v>
      </c>
      <c r="M373" t="s">
        <v>1810</v>
      </c>
      <c r="N373">
        <v>5</v>
      </c>
      <c r="O373" t="s">
        <v>1812</v>
      </c>
      <c r="P373" t="s">
        <v>1833</v>
      </c>
    </row>
    <row r="374" spans="1:16" x14ac:dyDescent="0.3">
      <c r="A374" t="s">
        <v>385</v>
      </c>
      <c r="B374" t="s">
        <v>1726</v>
      </c>
      <c r="C374">
        <v>38</v>
      </c>
      <c r="D374" t="s">
        <v>1785</v>
      </c>
      <c r="E374" t="s">
        <v>1786</v>
      </c>
      <c r="F374" t="s">
        <v>1795</v>
      </c>
      <c r="G374" s="5">
        <v>59984</v>
      </c>
      <c r="H374" t="s">
        <v>1801</v>
      </c>
      <c r="I374" t="s">
        <v>1807</v>
      </c>
      <c r="J374" s="2">
        <v>43123</v>
      </c>
      <c r="K374">
        <f t="shared" ca="1" si="10"/>
        <v>7</v>
      </c>
      <c r="L374">
        <f t="shared" ca="1" si="11"/>
        <v>10</v>
      </c>
      <c r="M374" t="s">
        <v>1809</v>
      </c>
      <c r="N374">
        <v>1</v>
      </c>
      <c r="O374" t="s">
        <v>1815</v>
      </c>
      <c r="P374" t="s">
        <v>1831</v>
      </c>
    </row>
    <row r="375" spans="1:16" x14ac:dyDescent="0.3">
      <c r="A375" t="s">
        <v>386</v>
      </c>
      <c r="B375" t="s">
        <v>1742</v>
      </c>
      <c r="C375">
        <v>47</v>
      </c>
      <c r="D375" t="s">
        <v>1783</v>
      </c>
      <c r="E375" t="s">
        <v>1786</v>
      </c>
      <c r="F375" t="s">
        <v>1799</v>
      </c>
      <c r="G375" s="5">
        <v>88484</v>
      </c>
      <c r="H375" t="s">
        <v>1803</v>
      </c>
      <c r="I375" t="s">
        <v>1806</v>
      </c>
      <c r="J375" s="2">
        <v>45783</v>
      </c>
      <c r="K375">
        <f t="shared" ca="1" si="10"/>
        <v>0</v>
      </c>
      <c r="L375">
        <f t="shared" ca="1" si="11"/>
        <v>7</v>
      </c>
      <c r="M375" t="s">
        <v>1809</v>
      </c>
      <c r="N375">
        <v>2</v>
      </c>
      <c r="O375" t="s">
        <v>1818</v>
      </c>
      <c r="P375" t="s">
        <v>1834</v>
      </c>
    </row>
    <row r="376" spans="1:16" x14ac:dyDescent="0.3">
      <c r="A376" t="s">
        <v>387</v>
      </c>
      <c r="B376" t="s">
        <v>1747</v>
      </c>
      <c r="C376">
        <v>41</v>
      </c>
      <c r="D376" t="s">
        <v>1783</v>
      </c>
      <c r="E376" t="s">
        <v>1793</v>
      </c>
      <c r="F376" t="s">
        <v>1797</v>
      </c>
      <c r="G376" s="5">
        <v>27600</v>
      </c>
      <c r="H376" t="s">
        <v>1802</v>
      </c>
      <c r="I376" t="s">
        <v>1808</v>
      </c>
      <c r="J376" s="2">
        <v>44723</v>
      </c>
      <c r="K376">
        <f t="shared" ca="1" si="10"/>
        <v>3</v>
      </c>
      <c r="L376">
        <f t="shared" ca="1" si="11"/>
        <v>5</v>
      </c>
      <c r="M376" t="s">
        <v>1809</v>
      </c>
      <c r="N376">
        <v>5</v>
      </c>
      <c r="O376" t="s">
        <v>1815</v>
      </c>
      <c r="P376" t="s">
        <v>1831</v>
      </c>
    </row>
    <row r="377" spans="1:16" x14ac:dyDescent="0.3">
      <c r="A377" t="s">
        <v>388</v>
      </c>
      <c r="B377" t="s">
        <v>1728</v>
      </c>
      <c r="C377">
        <v>44</v>
      </c>
      <c r="D377" t="s">
        <v>1784</v>
      </c>
      <c r="E377" t="s">
        <v>1787</v>
      </c>
      <c r="F377" t="s">
        <v>1796</v>
      </c>
      <c r="G377" s="5">
        <v>74757</v>
      </c>
      <c r="H377" t="s">
        <v>1801</v>
      </c>
      <c r="I377" t="s">
        <v>1808</v>
      </c>
      <c r="J377" s="2">
        <v>45195</v>
      </c>
      <c r="K377">
        <f t="shared" ca="1" si="10"/>
        <v>2</v>
      </c>
      <c r="L377">
        <f t="shared" ca="1" si="11"/>
        <v>2</v>
      </c>
      <c r="M377" t="s">
        <v>1809</v>
      </c>
      <c r="N377">
        <v>5</v>
      </c>
      <c r="O377" t="s">
        <v>1818</v>
      </c>
      <c r="P377" t="s">
        <v>1831</v>
      </c>
    </row>
    <row r="378" spans="1:16" x14ac:dyDescent="0.3">
      <c r="A378" t="s">
        <v>389</v>
      </c>
      <c r="B378" t="s">
        <v>1736</v>
      </c>
      <c r="C378">
        <v>57</v>
      </c>
      <c r="D378" t="s">
        <v>1783</v>
      </c>
      <c r="E378" t="s">
        <v>1793</v>
      </c>
      <c r="F378" t="s">
        <v>1795</v>
      </c>
      <c r="G378" s="5">
        <v>64884</v>
      </c>
      <c r="H378" t="s">
        <v>1801</v>
      </c>
      <c r="I378" t="s">
        <v>1808</v>
      </c>
      <c r="J378" s="2">
        <v>45661</v>
      </c>
      <c r="K378">
        <f t="shared" ca="1" si="10"/>
        <v>0</v>
      </c>
      <c r="L378">
        <f t="shared" ca="1" si="11"/>
        <v>11</v>
      </c>
      <c r="M378" t="s">
        <v>1810</v>
      </c>
      <c r="N378">
        <v>5</v>
      </c>
      <c r="O378" t="s">
        <v>1813</v>
      </c>
      <c r="P378" t="s">
        <v>1834</v>
      </c>
    </row>
    <row r="379" spans="1:16" x14ac:dyDescent="0.3">
      <c r="A379" t="s">
        <v>390</v>
      </c>
      <c r="B379" t="s">
        <v>1725</v>
      </c>
      <c r="C379">
        <v>48</v>
      </c>
      <c r="D379" t="s">
        <v>1784</v>
      </c>
      <c r="E379" t="s">
        <v>1787</v>
      </c>
      <c r="F379" t="s">
        <v>1797</v>
      </c>
      <c r="G379" s="5">
        <v>104602</v>
      </c>
      <c r="H379" t="s">
        <v>1803</v>
      </c>
      <c r="I379" t="s">
        <v>1807</v>
      </c>
      <c r="J379" s="2">
        <v>44623</v>
      </c>
      <c r="K379">
        <f t="shared" ca="1" si="10"/>
        <v>3</v>
      </c>
      <c r="L379">
        <f t="shared" ca="1" si="11"/>
        <v>9</v>
      </c>
      <c r="M379" t="s">
        <v>1809</v>
      </c>
      <c r="N379">
        <v>2</v>
      </c>
      <c r="O379" t="s">
        <v>1811</v>
      </c>
      <c r="P379" t="s">
        <v>1834</v>
      </c>
    </row>
    <row r="380" spans="1:16" x14ac:dyDescent="0.3">
      <c r="A380" t="s">
        <v>391</v>
      </c>
      <c r="B380" t="s">
        <v>1739</v>
      </c>
      <c r="C380">
        <v>29</v>
      </c>
      <c r="D380" t="s">
        <v>1784</v>
      </c>
      <c r="E380" t="s">
        <v>1789</v>
      </c>
      <c r="F380" t="s">
        <v>1795</v>
      </c>
      <c r="G380" s="5">
        <v>19461</v>
      </c>
      <c r="H380" t="s">
        <v>1805</v>
      </c>
      <c r="I380" t="s">
        <v>1807</v>
      </c>
      <c r="J380" s="2">
        <v>42942</v>
      </c>
      <c r="K380">
        <f t="shared" ca="1" si="10"/>
        <v>8</v>
      </c>
      <c r="L380">
        <f t="shared" ca="1" si="11"/>
        <v>4</v>
      </c>
      <c r="M380" t="s">
        <v>1809</v>
      </c>
      <c r="N380">
        <v>1</v>
      </c>
      <c r="O380" t="s">
        <v>1811</v>
      </c>
      <c r="P380" t="s">
        <v>1833</v>
      </c>
    </row>
    <row r="381" spans="1:16" x14ac:dyDescent="0.3">
      <c r="A381" t="s">
        <v>392</v>
      </c>
      <c r="B381" t="s">
        <v>1771</v>
      </c>
      <c r="C381">
        <v>25</v>
      </c>
      <c r="D381" t="s">
        <v>1784</v>
      </c>
      <c r="E381" t="s">
        <v>1786</v>
      </c>
      <c r="F381" t="s">
        <v>1794</v>
      </c>
      <c r="G381" s="5">
        <v>116080</v>
      </c>
      <c r="H381" t="s">
        <v>1804</v>
      </c>
      <c r="I381" t="s">
        <v>1807</v>
      </c>
      <c r="J381" s="2">
        <v>44128</v>
      </c>
      <c r="K381">
        <f t="shared" ca="1" si="10"/>
        <v>5</v>
      </c>
      <c r="L381">
        <f t="shared" ca="1" si="11"/>
        <v>1</v>
      </c>
      <c r="M381" t="s">
        <v>1809</v>
      </c>
      <c r="N381">
        <v>2</v>
      </c>
      <c r="O381" t="s">
        <v>1816</v>
      </c>
      <c r="P381" t="s">
        <v>1832</v>
      </c>
    </row>
    <row r="382" spans="1:16" x14ac:dyDescent="0.3">
      <c r="A382" t="s">
        <v>393</v>
      </c>
      <c r="B382" t="s">
        <v>1730</v>
      </c>
      <c r="C382">
        <v>36</v>
      </c>
      <c r="D382" t="s">
        <v>1783</v>
      </c>
      <c r="E382" t="s">
        <v>1793</v>
      </c>
      <c r="F382" t="s">
        <v>1794</v>
      </c>
      <c r="G382" s="5">
        <v>41770</v>
      </c>
      <c r="H382" t="s">
        <v>1805</v>
      </c>
      <c r="I382" t="s">
        <v>1807</v>
      </c>
      <c r="J382" s="2">
        <v>45925</v>
      </c>
      <c r="K382">
        <f t="shared" ca="1" si="10"/>
        <v>0</v>
      </c>
      <c r="L382">
        <f t="shared" ca="1" si="11"/>
        <v>2</v>
      </c>
      <c r="M382" t="s">
        <v>1810</v>
      </c>
      <c r="N382">
        <v>5</v>
      </c>
      <c r="O382" t="s">
        <v>1813</v>
      </c>
      <c r="P382" t="s">
        <v>1831</v>
      </c>
    </row>
    <row r="383" spans="1:16" x14ac:dyDescent="0.3">
      <c r="A383" t="s">
        <v>394</v>
      </c>
      <c r="B383" t="s">
        <v>1780</v>
      </c>
      <c r="C383">
        <v>24</v>
      </c>
      <c r="D383" t="s">
        <v>1784</v>
      </c>
      <c r="E383" t="s">
        <v>1793</v>
      </c>
      <c r="F383" t="s">
        <v>1794</v>
      </c>
      <c r="G383" s="5">
        <v>43875</v>
      </c>
      <c r="H383" t="s">
        <v>1805</v>
      </c>
      <c r="I383" t="s">
        <v>1808</v>
      </c>
      <c r="J383" s="2">
        <v>43793</v>
      </c>
      <c r="K383">
        <f t="shared" ca="1" si="10"/>
        <v>6</v>
      </c>
      <c r="L383">
        <f t="shared" ca="1" si="11"/>
        <v>0</v>
      </c>
      <c r="M383" t="s">
        <v>1810</v>
      </c>
      <c r="N383">
        <v>2</v>
      </c>
      <c r="O383" t="s">
        <v>1815</v>
      </c>
      <c r="P383" t="s">
        <v>1832</v>
      </c>
    </row>
    <row r="384" spans="1:16" x14ac:dyDescent="0.3">
      <c r="A384" t="s">
        <v>395</v>
      </c>
      <c r="B384" t="s">
        <v>1757</v>
      </c>
      <c r="C384">
        <v>24</v>
      </c>
      <c r="D384" t="s">
        <v>1783</v>
      </c>
      <c r="E384" t="s">
        <v>1789</v>
      </c>
      <c r="F384" t="s">
        <v>1800</v>
      </c>
      <c r="G384" s="5">
        <v>81682</v>
      </c>
      <c r="H384" t="s">
        <v>1804</v>
      </c>
      <c r="I384" t="s">
        <v>1806</v>
      </c>
      <c r="J384" s="2">
        <v>45138</v>
      </c>
      <c r="K384">
        <f t="shared" ca="1" si="10"/>
        <v>2</v>
      </c>
      <c r="L384">
        <f t="shared" ca="1" si="11"/>
        <v>4</v>
      </c>
      <c r="M384" t="s">
        <v>1810</v>
      </c>
      <c r="N384">
        <v>5</v>
      </c>
      <c r="O384" t="s">
        <v>1816</v>
      </c>
      <c r="P384" t="s">
        <v>1832</v>
      </c>
    </row>
    <row r="385" spans="1:16" x14ac:dyDescent="0.3">
      <c r="A385" t="s">
        <v>396</v>
      </c>
      <c r="B385" t="s">
        <v>1759</v>
      </c>
      <c r="C385">
        <v>43</v>
      </c>
      <c r="D385" t="s">
        <v>1784</v>
      </c>
      <c r="E385" t="s">
        <v>1787</v>
      </c>
      <c r="F385" t="s">
        <v>1797</v>
      </c>
      <c r="G385" s="5">
        <v>40103</v>
      </c>
      <c r="H385" t="s">
        <v>1804</v>
      </c>
      <c r="I385" t="s">
        <v>1807</v>
      </c>
      <c r="J385" s="2">
        <v>45656</v>
      </c>
      <c r="K385">
        <f t="shared" ca="1" si="10"/>
        <v>1</v>
      </c>
      <c r="L385">
        <f t="shared" ca="1" si="11"/>
        <v>11</v>
      </c>
      <c r="M385" t="s">
        <v>1809</v>
      </c>
      <c r="N385">
        <v>4</v>
      </c>
      <c r="O385" t="s">
        <v>1814</v>
      </c>
      <c r="P385" t="s">
        <v>1831</v>
      </c>
    </row>
    <row r="386" spans="1:16" x14ac:dyDescent="0.3">
      <c r="A386" t="s">
        <v>397</v>
      </c>
      <c r="B386" t="s">
        <v>1722</v>
      </c>
      <c r="C386">
        <v>41</v>
      </c>
      <c r="D386" t="s">
        <v>1784</v>
      </c>
      <c r="E386" t="s">
        <v>1790</v>
      </c>
      <c r="F386" t="s">
        <v>1796</v>
      </c>
      <c r="G386" s="5">
        <v>76373</v>
      </c>
      <c r="H386" t="s">
        <v>1804</v>
      </c>
      <c r="I386" t="s">
        <v>1808</v>
      </c>
      <c r="J386" s="2">
        <v>44697</v>
      </c>
      <c r="K386">
        <f t="shared" ca="1" si="10"/>
        <v>3</v>
      </c>
      <c r="L386">
        <f t="shared" ca="1" si="11"/>
        <v>6</v>
      </c>
      <c r="M386" t="s">
        <v>1809</v>
      </c>
      <c r="N386">
        <v>2</v>
      </c>
      <c r="O386" t="s">
        <v>1813</v>
      </c>
      <c r="P386" t="s">
        <v>1831</v>
      </c>
    </row>
    <row r="387" spans="1:16" x14ac:dyDescent="0.3">
      <c r="A387" t="s">
        <v>398</v>
      </c>
      <c r="B387" t="s">
        <v>1725</v>
      </c>
      <c r="C387">
        <v>28</v>
      </c>
      <c r="D387" t="s">
        <v>1785</v>
      </c>
      <c r="E387" t="s">
        <v>1786</v>
      </c>
      <c r="F387" t="s">
        <v>1794</v>
      </c>
      <c r="G387" s="5">
        <v>52502</v>
      </c>
      <c r="H387" t="s">
        <v>1801</v>
      </c>
      <c r="I387" t="s">
        <v>1806</v>
      </c>
      <c r="J387" s="2">
        <v>42746</v>
      </c>
      <c r="K387">
        <f t="shared" ref="K387:K450" ca="1" si="12">YEAR(TODAY()) - YEAR(J387)</f>
        <v>8</v>
      </c>
      <c r="L387">
        <f t="shared" ref="L387:L450" ca="1" si="13">DATEDIF(J387,TODAY(),"YM")</f>
        <v>10</v>
      </c>
      <c r="M387" t="s">
        <v>1809</v>
      </c>
      <c r="N387">
        <v>5</v>
      </c>
      <c r="O387" t="s">
        <v>1818</v>
      </c>
      <c r="P387" t="s">
        <v>1833</v>
      </c>
    </row>
    <row r="388" spans="1:16" x14ac:dyDescent="0.3">
      <c r="A388" t="s">
        <v>399</v>
      </c>
      <c r="B388" t="s">
        <v>1759</v>
      </c>
      <c r="C388">
        <v>45</v>
      </c>
      <c r="D388" t="s">
        <v>1785</v>
      </c>
      <c r="E388" t="s">
        <v>1786</v>
      </c>
      <c r="F388" t="s">
        <v>1795</v>
      </c>
      <c r="G388" s="5">
        <v>22804</v>
      </c>
      <c r="H388" t="s">
        <v>1804</v>
      </c>
      <c r="I388" t="s">
        <v>1806</v>
      </c>
      <c r="J388" s="2">
        <v>44648</v>
      </c>
      <c r="K388">
        <f t="shared" ca="1" si="12"/>
        <v>3</v>
      </c>
      <c r="L388">
        <f t="shared" ca="1" si="13"/>
        <v>8</v>
      </c>
      <c r="M388" t="s">
        <v>1810</v>
      </c>
      <c r="N388">
        <v>2</v>
      </c>
      <c r="O388" t="s">
        <v>1817</v>
      </c>
      <c r="P388" t="s">
        <v>1831</v>
      </c>
    </row>
    <row r="389" spans="1:16" x14ac:dyDescent="0.3">
      <c r="A389" t="s">
        <v>400</v>
      </c>
      <c r="B389" t="s">
        <v>1782</v>
      </c>
      <c r="C389">
        <v>57</v>
      </c>
      <c r="D389" t="s">
        <v>1785</v>
      </c>
      <c r="E389" t="s">
        <v>1788</v>
      </c>
      <c r="F389" t="s">
        <v>1800</v>
      </c>
      <c r="G389" s="5">
        <v>35548</v>
      </c>
      <c r="H389" t="s">
        <v>1805</v>
      </c>
      <c r="I389" t="s">
        <v>1806</v>
      </c>
      <c r="J389" s="2">
        <v>42808</v>
      </c>
      <c r="K389">
        <f t="shared" ca="1" si="12"/>
        <v>8</v>
      </c>
      <c r="L389">
        <f t="shared" ca="1" si="13"/>
        <v>8</v>
      </c>
      <c r="M389" t="s">
        <v>1810</v>
      </c>
      <c r="N389">
        <v>3</v>
      </c>
      <c r="O389" t="s">
        <v>1818</v>
      </c>
      <c r="P389" t="s">
        <v>1834</v>
      </c>
    </row>
    <row r="390" spans="1:16" x14ac:dyDescent="0.3">
      <c r="A390" t="s">
        <v>401</v>
      </c>
      <c r="B390" t="s">
        <v>1742</v>
      </c>
      <c r="C390">
        <v>30</v>
      </c>
      <c r="D390" t="s">
        <v>1785</v>
      </c>
      <c r="E390" t="s">
        <v>1791</v>
      </c>
      <c r="F390" t="s">
        <v>1798</v>
      </c>
      <c r="G390" s="5">
        <v>76487</v>
      </c>
      <c r="H390" t="s">
        <v>1802</v>
      </c>
      <c r="I390" t="s">
        <v>1806</v>
      </c>
      <c r="J390" s="2">
        <v>44755</v>
      </c>
      <c r="K390">
        <f t="shared" ca="1" si="12"/>
        <v>3</v>
      </c>
      <c r="L390">
        <f t="shared" ca="1" si="13"/>
        <v>4</v>
      </c>
      <c r="M390" t="s">
        <v>1809</v>
      </c>
      <c r="N390">
        <v>4</v>
      </c>
      <c r="O390" t="s">
        <v>1817</v>
      </c>
      <c r="P390" t="s">
        <v>1833</v>
      </c>
    </row>
    <row r="391" spans="1:16" x14ac:dyDescent="0.3">
      <c r="A391" t="s">
        <v>402</v>
      </c>
      <c r="B391" t="s">
        <v>1752</v>
      </c>
      <c r="C391">
        <v>51</v>
      </c>
      <c r="D391" t="s">
        <v>1783</v>
      </c>
      <c r="E391" t="s">
        <v>1793</v>
      </c>
      <c r="F391" t="s">
        <v>1796</v>
      </c>
      <c r="G391" s="5">
        <v>52649</v>
      </c>
      <c r="H391" t="s">
        <v>1802</v>
      </c>
      <c r="I391" t="s">
        <v>1807</v>
      </c>
      <c r="J391" s="2">
        <v>45176</v>
      </c>
      <c r="K391">
        <f t="shared" ca="1" si="12"/>
        <v>2</v>
      </c>
      <c r="L391">
        <f t="shared" ca="1" si="13"/>
        <v>3</v>
      </c>
      <c r="M391" t="s">
        <v>1809</v>
      </c>
      <c r="N391">
        <v>5</v>
      </c>
      <c r="O391" t="s">
        <v>1817</v>
      </c>
      <c r="P391" t="s">
        <v>1834</v>
      </c>
    </row>
    <row r="392" spans="1:16" x14ac:dyDescent="0.3">
      <c r="A392" t="s">
        <v>403</v>
      </c>
      <c r="B392" t="s">
        <v>1723</v>
      </c>
      <c r="C392">
        <v>49</v>
      </c>
      <c r="D392" t="s">
        <v>1783</v>
      </c>
      <c r="E392" t="s">
        <v>1792</v>
      </c>
      <c r="F392" t="s">
        <v>1796</v>
      </c>
      <c r="G392" s="5">
        <v>103003</v>
      </c>
      <c r="H392" t="s">
        <v>1801</v>
      </c>
      <c r="I392" t="s">
        <v>1806</v>
      </c>
      <c r="J392" s="2">
        <v>44573</v>
      </c>
      <c r="K392">
        <f t="shared" ca="1" si="12"/>
        <v>3</v>
      </c>
      <c r="L392">
        <f t="shared" ca="1" si="13"/>
        <v>10</v>
      </c>
      <c r="M392" t="s">
        <v>1810</v>
      </c>
      <c r="N392">
        <v>3</v>
      </c>
      <c r="O392" t="s">
        <v>1816</v>
      </c>
      <c r="P392" t="s">
        <v>1834</v>
      </c>
    </row>
    <row r="393" spans="1:16" x14ac:dyDescent="0.3">
      <c r="A393" t="s">
        <v>404</v>
      </c>
      <c r="B393" t="s">
        <v>1746</v>
      </c>
      <c r="C393">
        <v>44</v>
      </c>
      <c r="D393" t="s">
        <v>1784</v>
      </c>
      <c r="E393" t="s">
        <v>1793</v>
      </c>
      <c r="F393" t="s">
        <v>1796</v>
      </c>
      <c r="G393" s="5">
        <v>85720</v>
      </c>
      <c r="H393" t="s">
        <v>1803</v>
      </c>
      <c r="I393" t="s">
        <v>1807</v>
      </c>
      <c r="J393" s="2">
        <v>44553</v>
      </c>
      <c r="K393">
        <f t="shared" ca="1" si="12"/>
        <v>4</v>
      </c>
      <c r="L393">
        <f t="shared" ca="1" si="13"/>
        <v>11</v>
      </c>
      <c r="M393" t="s">
        <v>1810</v>
      </c>
      <c r="N393">
        <v>3</v>
      </c>
      <c r="O393" t="s">
        <v>1817</v>
      </c>
      <c r="P393" t="s">
        <v>1831</v>
      </c>
    </row>
    <row r="394" spans="1:16" x14ac:dyDescent="0.3">
      <c r="A394" t="s">
        <v>405</v>
      </c>
      <c r="B394" t="s">
        <v>1755</v>
      </c>
      <c r="C394">
        <v>50</v>
      </c>
      <c r="D394" t="s">
        <v>1785</v>
      </c>
      <c r="E394" t="s">
        <v>1792</v>
      </c>
      <c r="F394" t="s">
        <v>1798</v>
      </c>
      <c r="G394" s="5">
        <v>83776</v>
      </c>
      <c r="H394" t="s">
        <v>1803</v>
      </c>
      <c r="I394" t="s">
        <v>1807</v>
      </c>
      <c r="J394" s="2">
        <v>43380</v>
      </c>
      <c r="K394">
        <f t="shared" ca="1" si="12"/>
        <v>7</v>
      </c>
      <c r="L394">
        <f t="shared" ca="1" si="13"/>
        <v>2</v>
      </c>
      <c r="M394" t="s">
        <v>1809</v>
      </c>
      <c r="N394">
        <v>5</v>
      </c>
      <c r="O394" t="s">
        <v>1814</v>
      </c>
      <c r="P394" t="s">
        <v>1834</v>
      </c>
    </row>
    <row r="395" spans="1:16" x14ac:dyDescent="0.3">
      <c r="A395" t="s">
        <v>406</v>
      </c>
      <c r="B395" t="s">
        <v>1732</v>
      </c>
      <c r="C395">
        <v>31</v>
      </c>
      <c r="D395" t="s">
        <v>1783</v>
      </c>
      <c r="E395" t="s">
        <v>1789</v>
      </c>
      <c r="F395" t="s">
        <v>1794</v>
      </c>
      <c r="G395" s="5">
        <v>96908</v>
      </c>
      <c r="H395" t="s">
        <v>1801</v>
      </c>
      <c r="I395" t="s">
        <v>1806</v>
      </c>
      <c r="J395" s="2">
        <v>43381</v>
      </c>
      <c r="K395">
        <f t="shared" ca="1" si="12"/>
        <v>7</v>
      </c>
      <c r="L395">
        <f t="shared" ca="1" si="13"/>
        <v>2</v>
      </c>
      <c r="M395" t="s">
        <v>1810</v>
      </c>
      <c r="N395">
        <v>3</v>
      </c>
      <c r="O395" t="s">
        <v>1813</v>
      </c>
      <c r="P395" t="s">
        <v>1833</v>
      </c>
    </row>
    <row r="396" spans="1:16" x14ac:dyDescent="0.3">
      <c r="A396" t="s">
        <v>407</v>
      </c>
      <c r="B396" t="s">
        <v>1747</v>
      </c>
      <c r="C396">
        <v>50</v>
      </c>
      <c r="D396" t="s">
        <v>1784</v>
      </c>
      <c r="E396" t="s">
        <v>1786</v>
      </c>
      <c r="F396" t="s">
        <v>1798</v>
      </c>
      <c r="G396" s="5">
        <v>95436</v>
      </c>
      <c r="H396" t="s">
        <v>1803</v>
      </c>
      <c r="I396" t="s">
        <v>1807</v>
      </c>
      <c r="J396" s="2">
        <v>43436</v>
      </c>
      <c r="K396">
        <f t="shared" ca="1" si="12"/>
        <v>7</v>
      </c>
      <c r="L396">
        <f t="shared" ca="1" si="13"/>
        <v>0</v>
      </c>
      <c r="M396" t="s">
        <v>1809</v>
      </c>
      <c r="N396">
        <v>2</v>
      </c>
      <c r="O396" t="s">
        <v>1816</v>
      </c>
      <c r="P396" t="s">
        <v>1834</v>
      </c>
    </row>
    <row r="397" spans="1:16" x14ac:dyDescent="0.3">
      <c r="A397" t="s">
        <v>408</v>
      </c>
      <c r="B397" t="s">
        <v>1749</v>
      </c>
      <c r="C397">
        <v>52</v>
      </c>
      <c r="D397" t="s">
        <v>1783</v>
      </c>
      <c r="E397" t="s">
        <v>1791</v>
      </c>
      <c r="F397" t="s">
        <v>1798</v>
      </c>
      <c r="G397" s="5">
        <v>25328</v>
      </c>
      <c r="H397" t="s">
        <v>1804</v>
      </c>
      <c r="I397" t="s">
        <v>1807</v>
      </c>
      <c r="J397" s="2">
        <v>44554</v>
      </c>
      <c r="K397">
        <f t="shared" ca="1" si="12"/>
        <v>4</v>
      </c>
      <c r="L397">
        <f t="shared" ca="1" si="13"/>
        <v>11</v>
      </c>
      <c r="M397" t="s">
        <v>1810</v>
      </c>
      <c r="N397">
        <v>5</v>
      </c>
      <c r="O397" t="s">
        <v>1818</v>
      </c>
      <c r="P397" t="s">
        <v>1834</v>
      </c>
    </row>
    <row r="398" spans="1:16" x14ac:dyDescent="0.3">
      <c r="A398" t="s">
        <v>409</v>
      </c>
      <c r="B398" t="s">
        <v>1767</v>
      </c>
      <c r="C398">
        <v>33</v>
      </c>
      <c r="D398" t="s">
        <v>1784</v>
      </c>
      <c r="E398" t="s">
        <v>1790</v>
      </c>
      <c r="F398" t="s">
        <v>1798</v>
      </c>
      <c r="G398" s="5">
        <v>81133</v>
      </c>
      <c r="H398" t="s">
        <v>1802</v>
      </c>
      <c r="I398" t="s">
        <v>1808</v>
      </c>
      <c r="J398" s="2">
        <v>44899</v>
      </c>
      <c r="K398">
        <f t="shared" ca="1" si="12"/>
        <v>3</v>
      </c>
      <c r="L398">
        <f t="shared" ca="1" si="13"/>
        <v>0</v>
      </c>
      <c r="M398" t="s">
        <v>1809</v>
      </c>
      <c r="N398">
        <v>5</v>
      </c>
      <c r="O398" t="s">
        <v>1816</v>
      </c>
      <c r="P398" t="s">
        <v>1833</v>
      </c>
    </row>
    <row r="399" spans="1:16" x14ac:dyDescent="0.3">
      <c r="A399" t="s">
        <v>410</v>
      </c>
      <c r="B399" t="s">
        <v>1760</v>
      </c>
      <c r="C399">
        <v>52</v>
      </c>
      <c r="D399" t="s">
        <v>1784</v>
      </c>
      <c r="E399" t="s">
        <v>1791</v>
      </c>
      <c r="F399" t="s">
        <v>1794</v>
      </c>
      <c r="G399" s="5">
        <v>112920</v>
      </c>
      <c r="H399" t="s">
        <v>1804</v>
      </c>
      <c r="I399" t="s">
        <v>1808</v>
      </c>
      <c r="J399" s="2">
        <v>44881</v>
      </c>
      <c r="K399">
        <f t="shared" ca="1" si="12"/>
        <v>3</v>
      </c>
      <c r="L399">
        <f t="shared" ca="1" si="13"/>
        <v>0</v>
      </c>
      <c r="M399" t="s">
        <v>1809</v>
      </c>
      <c r="N399">
        <v>2</v>
      </c>
      <c r="O399" t="s">
        <v>1811</v>
      </c>
      <c r="P399" t="s">
        <v>1834</v>
      </c>
    </row>
    <row r="400" spans="1:16" x14ac:dyDescent="0.3">
      <c r="A400" t="s">
        <v>411</v>
      </c>
      <c r="B400" t="s">
        <v>1782</v>
      </c>
      <c r="C400">
        <v>26</v>
      </c>
      <c r="D400" t="s">
        <v>1783</v>
      </c>
      <c r="E400" t="s">
        <v>1786</v>
      </c>
      <c r="F400" t="s">
        <v>1799</v>
      </c>
      <c r="G400" s="5">
        <v>86512</v>
      </c>
      <c r="H400" t="s">
        <v>1805</v>
      </c>
      <c r="I400" t="s">
        <v>1806</v>
      </c>
      <c r="J400" s="2">
        <v>44157</v>
      </c>
      <c r="K400">
        <f t="shared" ca="1" si="12"/>
        <v>5</v>
      </c>
      <c r="L400">
        <f t="shared" ca="1" si="13"/>
        <v>0</v>
      </c>
      <c r="M400" t="s">
        <v>1809</v>
      </c>
      <c r="N400">
        <v>5</v>
      </c>
      <c r="O400" t="s">
        <v>1813</v>
      </c>
      <c r="P400" t="s">
        <v>1833</v>
      </c>
    </row>
    <row r="401" spans="1:16" x14ac:dyDescent="0.3">
      <c r="A401" t="s">
        <v>412</v>
      </c>
      <c r="B401" t="s">
        <v>1781</v>
      </c>
      <c r="C401">
        <v>58</v>
      </c>
      <c r="D401" t="s">
        <v>1783</v>
      </c>
      <c r="E401" t="s">
        <v>1793</v>
      </c>
      <c r="F401" t="s">
        <v>1800</v>
      </c>
      <c r="G401" s="5">
        <v>30214</v>
      </c>
      <c r="H401" t="s">
        <v>1802</v>
      </c>
      <c r="I401" t="s">
        <v>1806</v>
      </c>
      <c r="J401" s="2">
        <v>44646</v>
      </c>
      <c r="K401">
        <f t="shared" ca="1" si="12"/>
        <v>3</v>
      </c>
      <c r="L401">
        <f t="shared" ca="1" si="13"/>
        <v>8</v>
      </c>
      <c r="M401" t="s">
        <v>1809</v>
      </c>
      <c r="N401">
        <v>4</v>
      </c>
      <c r="O401" t="s">
        <v>1811</v>
      </c>
      <c r="P401" t="s">
        <v>1834</v>
      </c>
    </row>
    <row r="402" spans="1:16" x14ac:dyDescent="0.3">
      <c r="A402" t="s">
        <v>413</v>
      </c>
      <c r="B402" t="s">
        <v>1741</v>
      </c>
      <c r="C402">
        <v>22</v>
      </c>
      <c r="D402" t="s">
        <v>1785</v>
      </c>
      <c r="E402" t="s">
        <v>1787</v>
      </c>
      <c r="F402" t="s">
        <v>1799</v>
      </c>
      <c r="G402" s="5">
        <v>48079</v>
      </c>
      <c r="H402" t="s">
        <v>1803</v>
      </c>
      <c r="I402" t="s">
        <v>1808</v>
      </c>
      <c r="J402" s="2">
        <v>43873</v>
      </c>
      <c r="K402">
        <f t="shared" ca="1" si="12"/>
        <v>5</v>
      </c>
      <c r="L402">
        <f t="shared" ca="1" si="13"/>
        <v>9</v>
      </c>
      <c r="M402" t="s">
        <v>1809</v>
      </c>
      <c r="N402">
        <v>4</v>
      </c>
      <c r="O402" t="s">
        <v>1816</v>
      </c>
      <c r="P402" t="s">
        <v>1832</v>
      </c>
    </row>
    <row r="403" spans="1:16" x14ac:dyDescent="0.3">
      <c r="A403" t="s">
        <v>414</v>
      </c>
      <c r="B403" t="s">
        <v>1728</v>
      </c>
      <c r="C403">
        <v>34</v>
      </c>
      <c r="D403" t="s">
        <v>1783</v>
      </c>
      <c r="E403" t="s">
        <v>1788</v>
      </c>
      <c r="F403" t="s">
        <v>1795</v>
      </c>
      <c r="G403" s="5">
        <v>96419</v>
      </c>
      <c r="H403" t="s">
        <v>1803</v>
      </c>
      <c r="I403" t="s">
        <v>1808</v>
      </c>
      <c r="J403" s="2">
        <v>43212</v>
      </c>
      <c r="K403">
        <f t="shared" ca="1" si="12"/>
        <v>7</v>
      </c>
      <c r="L403">
        <f t="shared" ca="1" si="13"/>
        <v>7</v>
      </c>
      <c r="M403" t="s">
        <v>1809</v>
      </c>
      <c r="N403">
        <v>1</v>
      </c>
      <c r="O403" t="s">
        <v>1813</v>
      </c>
      <c r="P403" t="s">
        <v>1833</v>
      </c>
    </row>
    <row r="404" spans="1:16" x14ac:dyDescent="0.3">
      <c r="A404" t="s">
        <v>415</v>
      </c>
      <c r="B404" t="s">
        <v>1764</v>
      </c>
      <c r="C404">
        <v>44</v>
      </c>
      <c r="D404" t="s">
        <v>1785</v>
      </c>
      <c r="E404" t="s">
        <v>1786</v>
      </c>
      <c r="F404" t="s">
        <v>1799</v>
      </c>
      <c r="G404" s="5">
        <v>108146</v>
      </c>
      <c r="H404" t="s">
        <v>1804</v>
      </c>
      <c r="I404" t="s">
        <v>1808</v>
      </c>
      <c r="J404" s="2">
        <v>43921</v>
      </c>
      <c r="K404">
        <f t="shared" ca="1" si="12"/>
        <v>5</v>
      </c>
      <c r="L404">
        <f t="shared" ca="1" si="13"/>
        <v>8</v>
      </c>
      <c r="M404" t="s">
        <v>1809</v>
      </c>
      <c r="N404">
        <v>2</v>
      </c>
      <c r="O404" t="s">
        <v>1811</v>
      </c>
      <c r="P404" t="s">
        <v>1831</v>
      </c>
    </row>
    <row r="405" spans="1:16" x14ac:dyDescent="0.3">
      <c r="A405" t="s">
        <v>416</v>
      </c>
      <c r="B405" t="s">
        <v>1715</v>
      </c>
      <c r="C405">
        <v>36</v>
      </c>
      <c r="D405" t="s">
        <v>1785</v>
      </c>
      <c r="E405" t="s">
        <v>1787</v>
      </c>
      <c r="F405" t="s">
        <v>1796</v>
      </c>
      <c r="G405" s="5">
        <v>92012</v>
      </c>
      <c r="H405" t="s">
        <v>1805</v>
      </c>
      <c r="I405" t="s">
        <v>1808</v>
      </c>
      <c r="J405" s="2">
        <v>45225</v>
      </c>
      <c r="K405">
        <f t="shared" ca="1" si="12"/>
        <v>2</v>
      </c>
      <c r="L405">
        <f t="shared" ca="1" si="13"/>
        <v>1</v>
      </c>
      <c r="M405" t="s">
        <v>1810</v>
      </c>
      <c r="N405">
        <v>2</v>
      </c>
      <c r="O405" t="s">
        <v>1811</v>
      </c>
      <c r="P405" t="s">
        <v>1831</v>
      </c>
    </row>
    <row r="406" spans="1:16" x14ac:dyDescent="0.3">
      <c r="A406" t="s">
        <v>417</v>
      </c>
      <c r="B406" t="s">
        <v>1727</v>
      </c>
      <c r="C406">
        <v>55</v>
      </c>
      <c r="D406" t="s">
        <v>1784</v>
      </c>
      <c r="E406" t="s">
        <v>1791</v>
      </c>
      <c r="F406" t="s">
        <v>1795</v>
      </c>
      <c r="G406" s="5">
        <v>66524</v>
      </c>
      <c r="H406" t="s">
        <v>1805</v>
      </c>
      <c r="I406" t="s">
        <v>1808</v>
      </c>
      <c r="J406" s="2">
        <v>43477</v>
      </c>
      <c r="K406">
        <f t="shared" ca="1" si="12"/>
        <v>6</v>
      </c>
      <c r="L406">
        <f t="shared" ca="1" si="13"/>
        <v>10</v>
      </c>
      <c r="M406" t="s">
        <v>1810</v>
      </c>
      <c r="N406">
        <v>5</v>
      </c>
      <c r="O406" t="s">
        <v>1817</v>
      </c>
      <c r="P406" t="s">
        <v>1834</v>
      </c>
    </row>
    <row r="407" spans="1:16" x14ac:dyDescent="0.3">
      <c r="A407" t="s">
        <v>418</v>
      </c>
      <c r="B407" t="s">
        <v>1746</v>
      </c>
      <c r="C407">
        <v>28</v>
      </c>
      <c r="D407" t="s">
        <v>1785</v>
      </c>
      <c r="E407" t="s">
        <v>1793</v>
      </c>
      <c r="F407" t="s">
        <v>1798</v>
      </c>
      <c r="G407" s="5">
        <v>116017</v>
      </c>
      <c r="H407" t="s">
        <v>1803</v>
      </c>
      <c r="I407" t="s">
        <v>1806</v>
      </c>
      <c r="J407" s="2">
        <v>43100</v>
      </c>
      <c r="K407">
        <f t="shared" ca="1" si="12"/>
        <v>8</v>
      </c>
      <c r="L407">
        <f t="shared" ca="1" si="13"/>
        <v>11</v>
      </c>
      <c r="M407" t="s">
        <v>1809</v>
      </c>
      <c r="N407">
        <v>2</v>
      </c>
      <c r="O407" t="s">
        <v>1811</v>
      </c>
      <c r="P407" t="s">
        <v>1833</v>
      </c>
    </row>
    <row r="408" spans="1:16" x14ac:dyDescent="0.3">
      <c r="A408" t="s">
        <v>419</v>
      </c>
      <c r="B408" t="s">
        <v>1741</v>
      </c>
      <c r="C408">
        <v>55</v>
      </c>
      <c r="D408" t="s">
        <v>1785</v>
      </c>
      <c r="E408" t="s">
        <v>1792</v>
      </c>
      <c r="F408" t="s">
        <v>1800</v>
      </c>
      <c r="G408" s="5">
        <v>39068</v>
      </c>
      <c r="H408" t="s">
        <v>1801</v>
      </c>
      <c r="I408" t="s">
        <v>1807</v>
      </c>
      <c r="J408" s="2">
        <v>45810</v>
      </c>
      <c r="K408">
        <f t="shared" ca="1" si="12"/>
        <v>0</v>
      </c>
      <c r="L408">
        <f t="shared" ca="1" si="13"/>
        <v>6</v>
      </c>
      <c r="M408" t="s">
        <v>1809</v>
      </c>
      <c r="N408">
        <v>4</v>
      </c>
      <c r="O408" t="s">
        <v>1811</v>
      </c>
      <c r="P408" t="s">
        <v>1834</v>
      </c>
    </row>
    <row r="409" spans="1:16" x14ac:dyDescent="0.3">
      <c r="A409" t="s">
        <v>420</v>
      </c>
      <c r="B409" t="s">
        <v>1713</v>
      </c>
      <c r="C409">
        <v>36</v>
      </c>
      <c r="D409" t="s">
        <v>1783</v>
      </c>
      <c r="E409" t="s">
        <v>1789</v>
      </c>
      <c r="F409" t="s">
        <v>1795</v>
      </c>
      <c r="G409" s="5">
        <v>28490</v>
      </c>
      <c r="H409" t="s">
        <v>1801</v>
      </c>
      <c r="I409" t="s">
        <v>1806</v>
      </c>
      <c r="J409" s="2">
        <v>44012</v>
      </c>
      <c r="K409">
        <f t="shared" ca="1" si="12"/>
        <v>5</v>
      </c>
      <c r="L409">
        <f t="shared" ca="1" si="13"/>
        <v>5</v>
      </c>
      <c r="M409" t="s">
        <v>1810</v>
      </c>
      <c r="N409">
        <v>5</v>
      </c>
      <c r="O409" t="s">
        <v>1814</v>
      </c>
      <c r="P409" t="s">
        <v>1831</v>
      </c>
    </row>
    <row r="410" spans="1:16" x14ac:dyDescent="0.3">
      <c r="A410" t="s">
        <v>421</v>
      </c>
      <c r="B410" t="s">
        <v>1736</v>
      </c>
      <c r="C410">
        <v>31</v>
      </c>
      <c r="D410" t="s">
        <v>1785</v>
      </c>
      <c r="E410" t="s">
        <v>1790</v>
      </c>
      <c r="F410" t="s">
        <v>1797</v>
      </c>
      <c r="G410" s="5">
        <v>75536</v>
      </c>
      <c r="H410" t="s">
        <v>1802</v>
      </c>
      <c r="I410" t="s">
        <v>1806</v>
      </c>
      <c r="J410" s="2">
        <v>45730</v>
      </c>
      <c r="K410">
        <f t="shared" ca="1" si="12"/>
        <v>0</v>
      </c>
      <c r="L410">
        <f t="shared" ca="1" si="13"/>
        <v>8</v>
      </c>
      <c r="M410" t="s">
        <v>1810</v>
      </c>
      <c r="N410">
        <v>2</v>
      </c>
      <c r="O410" t="s">
        <v>1818</v>
      </c>
      <c r="P410" t="s">
        <v>1833</v>
      </c>
    </row>
    <row r="411" spans="1:16" x14ac:dyDescent="0.3">
      <c r="A411" t="s">
        <v>422</v>
      </c>
      <c r="B411" t="s">
        <v>1759</v>
      </c>
      <c r="C411">
        <v>53</v>
      </c>
      <c r="D411" t="s">
        <v>1785</v>
      </c>
      <c r="E411" t="s">
        <v>1786</v>
      </c>
      <c r="F411" t="s">
        <v>1798</v>
      </c>
      <c r="G411" s="5">
        <v>98634</v>
      </c>
      <c r="H411" t="s">
        <v>1801</v>
      </c>
      <c r="I411" t="s">
        <v>1808</v>
      </c>
      <c r="J411" s="2">
        <v>43417</v>
      </c>
      <c r="K411">
        <f t="shared" ca="1" si="12"/>
        <v>7</v>
      </c>
      <c r="L411">
        <f t="shared" ca="1" si="13"/>
        <v>0</v>
      </c>
      <c r="M411" t="s">
        <v>1809</v>
      </c>
      <c r="N411">
        <v>2</v>
      </c>
      <c r="O411" t="s">
        <v>1813</v>
      </c>
      <c r="P411" t="s">
        <v>1834</v>
      </c>
    </row>
    <row r="412" spans="1:16" x14ac:dyDescent="0.3">
      <c r="A412" t="s">
        <v>423</v>
      </c>
      <c r="B412" t="s">
        <v>1725</v>
      </c>
      <c r="C412">
        <v>45</v>
      </c>
      <c r="D412" t="s">
        <v>1784</v>
      </c>
      <c r="E412" t="s">
        <v>1787</v>
      </c>
      <c r="F412" t="s">
        <v>1795</v>
      </c>
      <c r="G412" s="5">
        <v>71143</v>
      </c>
      <c r="H412" t="s">
        <v>1802</v>
      </c>
      <c r="I412" t="s">
        <v>1806</v>
      </c>
      <c r="J412" s="2">
        <v>42500</v>
      </c>
      <c r="K412">
        <f t="shared" ca="1" si="12"/>
        <v>9</v>
      </c>
      <c r="L412">
        <f t="shared" ca="1" si="13"/>
        <v>7</v>
      </c>
      <c r="M412" t="s">
        <v>1809</v>
      </c>
      <c r="N412">
        <v>1</v>
      </c>
      <c r="O412" t="s">
        <v>1814</v>
      </c>
      <c r="P412" t="s">
        <v>1831</v>
      </c>
    </row>
    <row r="413" spans="1:16" x14ac:dyDescent="0.3">
      <c r="A413" t="s">
        <v>424</v>
      </c>
      <c r="B413" t="s">
        <v>1771</v>
      </c>
      <c r="C413">
        <v>42</v>
      </c>
      <c r="D413" t="s">
        <v>1784</v>
      </c>
      <c r="E413" t="s">
        <v>1788</v>
      </c>
      <c r="F413" t="s">
        <v>1795</v>
      </c>
      <c r="G413" s="5">
        <v>47661</v>
      </c>
      <c r="H413" t="s">
        <v>1802</v>
      </c>
      <c r="I413" t="s">
        <v>1808</v>
      </c>
      <c r="J413" s="2">
        <v>44092</v>
      </c>
      <c r="K413">
        <f t="shared" ca="1" si="12"/>
        <v>5</v>
      </c>
      <c r="L413">
        <f t="shared" ca="1" si="13"/>
        <v>2</v>
      </c>
      <c r="M413" t="s">
        <v>1809</v>
      </c>
      <c r="N413">
        <v>3</v>
      </c>
      <c r="O413" t="s">
        <v>1816</v>
      </c>
      <c r="P413" t="s">
        <v>1831</v>
      </c>
    </row>
    <row r="414" spans="1:16" x14ac:dyDescent="0.3">
      <c r="A414" t="s">
        <v>425</v>
      </c>
      <c r="B414" t="s">
        <v>1744</v>
      </c>
      <c r="C414">
        <v>26</v>
      </c>
      <c r="D414" t="s">
        <v>1785</v>
      </c>
      <c r="E414" t="s">
        <v>1793</v>
      </c>
      <c r="F414" t="s">
        <v>1796</v>
      </c>
      <c r="G414" s="5">
        <v>83951</v>
      </c>
      <c r="H414" t="s">
        <v>1804</v>
      </c>
      <c r="I414" t="s">
        <v>1807</v>
      </c>
      <c r="J414" s="2">
        <v>45726</v>
      </c>
      <c r="K414">
        <f t="shared" ca="1" si="12"/>
        <v>0</v>
      </c>
      <c r="L414">
        <f t="shared" ca="1" si="13"/>
        <v>9</v>
      </c>
      <c r="M414" t="s">
        <v>1810</v>
      </c>
      <c r="N414">
        <v>5</v>
      </c>
      <c r="O414" t="s">
        <v>1814</v>
      </c>
      <c r="P414" t="s">
        <v>1833</v>
      </c>
    </row>
    <row r="415" spans="1:16" x14ac:dyDescent="0.3">
      <c r="A415" t="s">
        <v>426</v>
      </c>
      <c r="B415" t="s">
        <v>1774</v>
      </c>
      <c r="C415">
        <v>56</v>
      </c>
      <c r="D415" t="s">
        <v>1784</v>
      </c>
      <c r="E415" t="s">
        <v>1786</v>
      </c>
      <c r="F415" t="s">
        <v>1796</v>
      </c>
      <c r="G415" s="5">
        <v>117283</v>
      </c>
      <c r="H415" t="s">
        <v>1803</v>
      </c>
      <c r="I415" t="s">
        <v>1806</v>
      </c>
      <c r="J415" s="2">
        <v>44325</v>
      </c>
      <c r="K415">
        <f t="shared" ca="1" si="12"/>
        <v>4</v>
      </c>
      <c r="L415">
        <f t="shared" ca="1" si="13"/>
        <v>7</v>
      </c>
      <c r="M415" t="s">
        <v>1809</v>
      </c>
      <c r="N415">
        <v>4</v>
      </c>
      <c r="O415" t="s">
        <v>1813</v>
      </c>
      <c r="P415" t="s">
        <v>1834</v>
      </c>
    </row>
    <row r="416" spans="1:16" x14ac:dyDescent="0.3">
      <c r="A416" t="s">
        <v>427</v>
      </c>
      <c r="B416" t="s">
        <v>1767</v>
      </c>
      <c r="C416">
        <v>44</v>
      </c>
      <c r="D416" t="s">
        <v>1785</v>
      </c>
      <c r="E416" t="s">
        <v>1786</v>
      </c>
      <c r="F416" t="s">
        <v>1794</v>
      </c>
      <c r="G416" s="5">
        <v>106724</v>
      </c>
      <c r="H416" t="s">
        <v>1802</v>
      </c>
      <c r="I416" t="s">
        <v>1808</v>
      </c>
      <c r="J416" s="2">
        <v>44127</v>
      </c>
      <c r="K416">
        <f t="shared" ca="1" si="12"/>
        <v>5</v>
      </c>
      <c r="L416">
        <f t="shared" ca="1" si="13"/>
        <v>1</v>
      </c>
      <c r="M416" t="s">
        <v>1810</v>
      </c>
      <c r="N416">
        <v>5</v>
      </c>
      <c r="O416" t="s">
        <v>1818</v>
      </c>
      <c r="P416" t="s">
        <v>1831</v>
      </c>
    </row>
    <row r="417" spans="1:16" x14ac:dyDescent="0.3">
      <c r="A417" t="s">
        <v>428</v>
      </c>
      <c r="B417" t="s">
        <v>1734</v>
      </c>
      <c r="C417">
        <v>38</v>
      </c>
      <c r="D417" t="s">
        <v>1783</v>
      </c>
      <c r="E417" t="s">
        <v>1787</v>
      </c>
      <c r="F417" t="s">
        <v>1794</v>
      </c>
      <c r="G417" s="5">
        <v>106302</v>
      </c>
      <c r="H417" t="s">
        <v>1804</v>
      </c>
      <c r="I417" t="s">
        <v>1807</v>
      </c>
      <c r="J417" s="2">
        <v>44709</v>
      </c>
      <c r="K417">
        <f t="shared" ca="1" si="12"/>
        <v>3</v>
      </c>
      <c r="L417">
        <f t="shared" ca="1" si="13"/>
        <v>6</v>
      </c>
      <c r="M417" t="s">
        <v>1809</v>
      </c>
      <c r="N417">
        <v>4</v>
      </c>
      <c r="O417" t="s">
        <v>1817</v>
      </c>
      <c r="P417" t="s">
        <v>1831</v>
      </c>
    </row>
    <row r="418" spans="1:16" x14ac:dyDescent="0.3">
      <c r="A418" t="s">
        <v>429</v>
      </c>
      <c r="B418" t="s">
        <v>1722</v>
      </c>
      <c r="C418">
        <v>56</v>
      </c>
      <c r="D418" t="s">
        <v>1784</v>
      </c>
      <c r="E418" t="s">
        <v>1791</v>
      </c>
      <c r="F418" t="s">
        <v>1794</v>
      </c>
      <c r="G418" s="5">
        <v>115800</v>
      </c>
      <c r="H418" t="s">
        <v>1802</v>
      </c>
      <c r="I418" t="s">
        <v>1808</v>
      </c>
      <c r="J418" s="2">
        <v>45457</v>
      </c>
      <c r="K418">
        <f t="shared" ca="1" si="12"/>
        <v>1</v>
      </c>
      <c r="L418">
        <f t="shared" ca="1" si="13"/>
        <v>5</v>
      </c>
      <c r="M418" t="s">
        <v>1809</v>
      </c>
      <c r="N418">
        <v>2</v>
      </c>
      <c r="O418" t="s">
        <v>1815</v>
      </c>
      <c r="P418" t="s">
        <v>1834</v>
      </c>
    </row>
    <row r="419" spans="1:16" x14ac:dyDescent="0.3">
      <c r="A419" t="s">
        <v>430</v>
      </c>
      <c r="B419" t="s">
        <v>1734</v>
      </c>
      <c r="C419">
        <v>34</v>
      </c>
      <c r="D419" t="s">
        <v>1783</v>
      </c>
      <c r="E419" t="s">
        <v>1786</v>
      </c>
      <c r="F419" t="s">
        <v>1796</v>
      </c>
      <c r="G419" s="5">
        <v>99080</v>
      </c>
      <c r="H419" t="s">
        <v>1802</v>
      </c>
      <c r="I419" t="s">
        <v>1807</v>
      </c>
      <c r="J419" s="2">
        <v>42929</v>
      </c>
      <c r="K419">
        <f t="shared" ca="1" si="12"/>
        <v>8</v>
      </c>
      <c r="L419">
        <f t="shared" ca="1" si="13"/>
        <v>4</v>
      </c>
      <c r="M419" t="s">
        <v>1809</v>
      </c>
      <c r="N419">
        <v>4</v>
      </c>
      <c r="O419" t="s">
        <v>1818</v>
      </c>
      <c r="P419" t="s">
        <v>1833</v>
      </c>
    </row>
    <row r="420" spans="1:16" x14ac:dyDescent="0.3">
      <c r="A420" t="s">
        <v>431</v>
      </c>
      <c r="B420" t="s">
        <v>1764</v>
      </c>
      <c r="C420">
        <v>50</v>
      </c>
      <c r="D420" t="s">
        <v>1784</v>
      </c>
      <c r="E420" t="s">
        <v>1789</v>
      </c>
      <c r="F420" t="s">
        <v>1795</v>
      </c>
      <c r="G420" s="5">
        <v>82532</v>
      </c>
      <c r="H420" t="s">
        <v>1804</v>
      </c>
      <c r="I420" t="s">
        <v>1808</v>
      </c>
      <c r="J420" s="2">
        <v>43187</v>
      </c>
      <c r="K420">
        <f t="shared" ca="1" si="12"/>
        <v>7</v>
      </c>
      <c r="L420">
        <f t="shared" ca="1" si="13"/>
        <v>8</v>
      </c>
      <c r="M420" t="s">
        <v>1810</v>
      </c>
      <c r="N420">
        <v>4</v>
      </c>
      <c r="O420" t="s">
        <v>1815</v>
      </c>
      <c r="P420" t="s">
        <v>1834</v>
      </c>
    </row>
    <row r="421" spans="1:16" x14ac:dyDescent="0.3">
      <c r="A421" t="s">
        <v>432</v>
      </c>
      <c r="B421" t="s">
        <v>1729</v>
      </c>
      <c r="C421">
        <v>23</v>
      </c>
      <c r="D421" t="s">
        <v>1785</v>
      </c>
      <c r="E421" t="s">
        <v>1787</v>
      </c>
      <c r="F421" t="s">
        <v>1795</v>
      </c>
      <c r="G421" s="5">
        <v>80694</v>
      </c>
      <c r="H421" t="s">
        <v>1801</v>
      </c>
      <c r="I421" t="s">
        <v>1806</v>
      </c>
      <c r="J421" s="2">
        <v>43860</v>
      </c>
      <c r="K421">
        <f t="shared" ca="1" si="12"/>
        <v>5</v>
      </c>
      <c r="L421">
        <f t="shared" ca="1" si="13"/>
        <v>10</v>
      </c>
      <c r="M421" t="s">
        <v>1810</v>
      </c>
      <c r="N421">
        <v>2</v>
      </c>
      <c r="O421" t="s">
        <v>1812</v>
      </c>
      <c r="P421" t="s">
        <v>1832</v>
      </c>
    </row>
    <row r="422" spans="1:16" x14ac:dyDescent="0.3">
      <c r="A422" t="s">
        <v>433</v>
      </c>
      <c r="B422" t="s">
        <v>1745</v>
      </c>
      <c r="C422">
        <v>53</v>
      </c>
      <c r="D422" t="s">
        <v>1784</v>
      </c>
      <c r="E422" t="s">
        <v>1789</v>
      </c>
      <c r="F422" t="s">
        <v>1797</v>
      </c>
      <c r="G422" s="5">
        <v>108336</v>
      </c>
      <c r="H422" t="s">
        <v>1801</v>
      </c>
      <c r="I422" t="s">
        <v>1806</v>
      </c>
      <c r="J422" s="2">
        <v>43301</v>
      </c>
      <c r="K422">
        <f t="shared" ca="1" si="12"/>
        <v>7</v>
      </c>
      <c r="L422">
        <f t="shared" ca="1" si="13"/>
        <v>4</v>
      </c>
      <c r="M422" t="s">
        <v>1810</v>
      </c>
      <c r="N422">
        <v>5</v>
      </c>
      <c r="O422" t="s">
        <v>1813</v>
      </c>
      <c r="P422" t="s">
        <v>1834</v>
      </c>
    </row>
    <row r="423" spans="1:16" x14ac:dyDescent="0.3">
      <c r="A423" t="s">
        <v>434</v>
      </c>
      <c r="B423" t="s">
        <v>1775</v>
      </c>
      <c r="C423">
        <v>36</v>
      </c>
      <c r="D423" t="s">
        <v>1783</v>
      </c>
      <c r="E423" t="s">
        <v>1788</v>
      </c>
      <c r="F423" t="s">
        <v>1796</v>
      </c>
      <c r="G423" s="5">
        <v>49082</v>
      </c>
      <c r="H423" t="s">
        <v>1803</v>
      </c>
      <c r="I423" t="s">
        <v>1806</v>
      </c>
      <c r="J423" s="2">
        <v>43843</v>
      </c>
      <c r="K423">
        <f t="shared" ca="1" si="12"/>
        <v>5</v>
      </c>
      <c r="L423">
        <f t="shared" ca="1" si="13"/>
        <v>10</v>
      </c>
      <c r="M423" t="s">
        <v>1810</v>
      </c>
      <c r="N423">
        <v>2</v>
      </c>
      <c r="O423" t="s">
        <v>1812</v>
      </c>
      <c r="P423" t="s">
        <v>1831</v>
      </c>
    </row>
    <row r="424" spans="1:16" x14ac:dyDescent="0.3">
      <c r="A424" t="s">
        <v>435</v>
      </c>
      <c r="B424" t="s">
        <v>1782</v>
      </c>
      <c r="C424">
        <v>46</v>
      </c>
      <c r="D424" t="s">
        <v>1785</v>
      </c>
      <c r="E424" t="s">
        <v>1789</v>
      </c>
      <c r="F424" t="s">
        <v>1799</v>
      </c>
      <c r="G424" s="5">
        <v>65851</v>
      </c>
      <c r="H424" t="s">
        <v>1803</v>
      </c>
      <c r="I424" t="s">
        <v>1808</v>
      </c>
      <c r="J424" s="2">
        <v>44284</v>
      </c>
      <c r="K424">
        <f t="shared" ca="1" si="12"/>
        <v>4</v>
      </c>
      <c r="L424">
        <f t="shared" ca="1" si="13"/>
        <v>8</v>
      </c>
      <c r="M424" t="s">
        <v>1809</v>
      </c>
      <c r="N424">
        <v>5</v>
      </c>
      <c r="O424" t="s">
        <v>1816</v>
      </c>
      <c r="P424" t="s">
        <v>1834</v>
      </c>
    </row>
    <row r="425" spans="1:16" x14ac:dyDescent="0.3">
      <c r="A425" t="s">
        <v>436</v>
      </c>
      <c r="B425" t="s">
        <v>1760</v>
      </c>
      <c r="C425">
        <v>34</v>
      </c>
      <c r="D425" t="s">
        <v>1783</v>
      </c>
      <c r="E425" t="s">
        <v>1788</v>
      </c>
      <c r="F425" t="s">
        <v>1795</v>
      </c>
      <c r="G425" s="5">
        <v>48907</v>
      </c>
      <c r="H425" t="s">
        <v>1803</v>
      </c>
      <c r="I425" t="s">
        <v>1808</v>
      </c>
      <c r="J425" s="2">
        <v>43241</v>
      </c>
      <c r="K425">
        <f t="shared" ca="1" si="12"/>
        <v>7</v>
      </c>
      <c r="L425">
        <f t="shared" ca="1" si="13"/>
        <v>6</v>
      </c>
      <c r="M425" t="s">
        <v>1809</v>
      </c>
      <c r="N425">
        <v>2</v>
      </c>
      <c r="O425" t="s">
        <v>1812</v>
      </c>
      <c r="P425" t="s">
        <v>1833</v>
      </c>
    </row>
    <row r="426" spans="1:16" x14ac:dyDescent="0.3">
      <c r="A426" t="s">
        <v>437</v>
      </c>
      <c r="B426" t="s">
        <v>1752</v>
      </c>
      <c r="C426">
        <v>46</v>
      </c>
      <c r="D426" t="s">
        <v>1784</v>
      </c>
      <c r="E426" t="s">
        <v>1791</v>
      </c>
      <c r="F426" t="s">
        <v>1795</v>
      </c>
      <c r="G426" s="5">
        <v>100660</v>
      </c>
      <c r="H426" t="s">
        <v>1805</v>
      </c>
      <c r="I426" t="s">
        <v>1806</v>
      </c>
      <c r="J426" s="2">
        <v>43731</v>
      </c>
      <c r="K426">
        <f t="shared" ca="1" si="12"/>
        <v>6</v>
      </c>
      <c r="L426">
        <f t="shared" ca="1" si="13"/>
        <v>2</v>
      </c>
      <c r="M426" t="s">
        <v>1810</v>
      </c>
      <c r="N426">
        <v>3</v>
      </c>
      <c r="O426" t="s">
        <v>1814</v>
      </c>
      <c r="P426" t="s">
        <v>1834</v>
      </c>
    </row>
    <row r="427" spans="1:16" x14ac:dyDescent="0.3">
      <c r="A427" t="s">
        <v>438</v>
      </c>
      <c r="B427" t="s">
        <v>1727</v>
      </c>
      <c r="C427">
        <v>56</v>
      </c>
      <c r="D427" t="s">
        <v>1783</v>
      </c>
      <c r="E427" t="s">
        <v>1787</v>
      </c>
      <c r="F427" t="s">
        <v>1794</v>
      </c>
      <c r="G427" s="5">
        <v>30972</v>
      </c>
      <c r="H427" t="s">
        <v>1802</v>
      </c>
      <c r="I427" t="s">
        <v>1807</v>
      </c>
      <c r="J427" s="2">
        <v>43320</v>
      </c>
      <c r="K427">
        <f t="shared" ca="1" si="12"/>
        <v>7</v>
      </c>
      <c r="L427">
        <f t="shared" ca="1" si="13"/>
        <v>4</v>
      </c>
      <c r="M427" t="s">
        <v>1810</v>
      </c>
      <c r="N427">
        <v>4</v>
      </c>
      <c r="O427" t="s">
        <v>1813</v>
      </c>
      <c r="P427" t="s">
        <v>1834</v>
      </c>
    </row>
    <row r="428" spans="1:16" x14ac:dyDescent="0.3">
      <c r="A428" t="s">
        <v>439</v>
      </c>
      <c r="B428" t="s">
        <v>1747</v>
      </c>
      <c r="C428">
        <v>41</v>
      </c>
      <c r="D428" t="s">
        <v>1784</v>
      </c>
      <c r="E428" t="s">
        <v>1789</v>
      </c>
      <c r="F428" t="s">
        <v>1795</v>
      </c>
      <c r="G428" s="5">
        <v>65226</v>
      </c>
      <c r="H428" t="s">
        <v>1805</v>
      </c>
      <c r="I428" t="s">
        <v>1808</v>
      </c>
      <c r="J428" s="2">
        <v>43847</v>
      </c>
      <c r="K428">
        <f t="shared" ca="1" si="12"/>
        <v>5</v>
      </c>
      <c r="L428">
        <f t="shared" ca="1" si="13"/>
        <v>10</v>
      </c>
      <c r="M428" t="s">
        <v>1809</v>
      </c>
      <c r="N428">
        <v>4</v>
      </c>
      <c r="O428" t="s">
        <v>1813</v>
      </c>
      <c r="P428" t="s">
        <v>1831</v>
      </c>
    </row>
    <row r="429" spans="1:16" x14ac:dyDescent="0.3">
      <c r="A429" t="s">
        <v>440</v>
      </c>
      <c r="B429" t="s">
        <v>1741</v>
      </c>
      <c r="C429">
        <v>58</v>
      </c>
      <c r="D429" t="s">
        <v>1783</v>
      </c>
      <c r="E429" t="s">
        <v>1791</v>
      </c>
      <c r="F429" t="s">
        <v>1796</v>
      </c>
      <c r="G429" s="5">
        <v>55304</v>
      </c>
      <c r="H429" t="s">
        <v>1804</v>
      </c>
      <c r="I429" t="s">
        <v>1806</v>
      </c>
      <c r="J429" s="2">
        <v>44528</v>
      </c>
      <c r="K429">
        <f t="shared" ca="1" si="12"/>
        <v>4</v>
      </c>
      <c r="L429">
        <f t="shared" ca="1" si="13"/>
        <v>0</v>
      </c>
      <c r="M429" t="s">
        <v>1810</v>
      </c>
      <c r="N429">
        <v>4</v>
      </c>
      <c r="O429" t="s">
        <v>1813</v>
      </c>
      <c r="P429" t="s">
        <v>1834</v>
      </c>
    </row>
    <row r="430" spans="1:16" x14ac:dyDescent="0.3">
      <c r="A430" t="s">
        <v>441</v>
      </c>
      <c r="B430" t="s">
        <v>1744</v>
      </c>
      <c r="C430">
        <v>38</v>
      </c>
      <c r="D430" t="s">
        <v>1784</v>
      </c>
      <c r="E430" t="s">
        <v>1791</v>
      </c>
      <c r="F430" t="s">
        <v>1794</v>
      </c>
      <c r="G430" s="5">
        <v>39964</v>
      </c>
      <c r="H430" t="s">
        <v>1804</v>
      </c>
      <c r="I430" t="s">
        <v>1808</v>
      </c>
      <c r="J430" s="2">
        <v>45023</v>
      </c>
      <c r="K430">
        <f t="shared" ca="1" si="12"/>
        <v>2</v>
      </c>
      <c r="L430">
        <f t="shared" ca="1" si="13"/>
        <v>8</v>
      </c>
      <c r="M430" t="s">
        <v>1810</v>
      </c>
      <c r="N430">
        <v>1</v>
      </c>
      <c r="O430" t="s">
        <v>1813</v>
      </c>
      <c r="P430" t="s">
        <v>1831</v>
      </c>
    </row>
    <row r="431" spans="1:16" x14ac:dyDescent="0.3">
      <c r="A431" t="s">
        <v>442</v>
      </c>
      <c r="B431" t="s">
        <v>1738</v>
      </c>
      <c r="C431">
        <v>34</v>
      </c>
      <c r="D431" t="s">
        <v>1784</v>
      </c>
      <c r="E431" t="s">
        <v>1789</v>
      </c>
      <c r="F431" t="s">
        <v>1796</v>
      </c>
      <c r="G431" s="5">
        <v>103591</v>
      </c>
      <c r="H431" t="s">
        <v>1804</v>
      </c>
      <c r="I431" t="s">
        <v>1806</v>
      </c>
      <c r="J431" s="2">
        <v>45078</v>
      </c>
      <c r="K431">
        <f t="shared" ca="1" si="12"/>
        <v>2</v>
      </c>
      <c r="L431">
        <f t="shared" ca="1" si="13"/>
        <v>6</v>
      </c>
      <c r="M431" t="s">
        <v>1810</v>
      </c>
      <c r="N431">
        <v>3</v>
      </c>
      <c r="O431" t="s">
        <v>1812</v>
      </c>
      <c r="P431" t="s">
        <v>1833</v>
      </c>
    </row>
    <row r="432" spans="1:16" x14ac:dyDescent="0.3">
      <c r="A432" t="s">
        <v>443</v>
      </c>
      <c r="B432" t="s">
        <v>1758</v>
      </c>
      <c r="C432">
        <v>57</v>
      </c>
      <c r="D432" t="s">
        <v>1785</v>
      </c>
      <c r="E432" t="s">
        <v>1790</v>
      </c>
      <c r="F432" t="s">
        <v>1798</v>
      </c>
      <c r="G432" s="5">
        <v>72262</v>
      </c>
      <c r="H432" t="s">
        <v>1802</v>
      </c>
      <c r="I432" t="s">
        <v>1807</v>
      </c>
      <c r="J432" s="2">
        <v>42950</v>
      </c>
      <c r="K432">
        <f t="shared" ca="1" si="12"/>
        <v>8</v>
      </c>
      <c r="L432">
        <f t="shared" ca="1" si="13"/>
        <v>4</v>
      </c>
      <c r="M432" t="s">
        <v>1809</v>
      </c>
      <c r="N432">
        <v>3</v>
      </c>
      <c r="O432" t="s">
        <v>1813</v>
      </c>
      <c r="P432" t="s">
        <v>1834</v>
      </c>
    </row>
    <row r="433" spans="1:16" x14ac:dyDescent="0.3">
      <c r="A433" t="s">
        <v>444</v>
      </c>
      <c r="B433" t="s">
        <v>1732</v>
      </c>
      <c r="C433">
        <v>45</v>
      </c>
      <c r="D433" t="s">
        <v>1783</v>
      </c>
      <c r="E433" t="s">
        <v>1793</v>
      </c>
      <c r="F433" t="s">
        <v>1800</v>
      </c>
      <c r="G433" s="5">
        <v>26361</v>
      </c>
      <c r="H433" t="s">
        <v>1805</v>
      </c>
      <c r="I433" t="s">
        <v>1807</v>
      </c>
      <c r="J433" s="2">
        <v>42545</v>
      </c>
      <c r="K433">
        <f t="shared" ca="1" si="12"/>
        <v>9</v>
      </c>
      <c r="L433">
        <f t="shared" ca="1" si="13"/>
        <v>5</v>
      </c>
      <c r="M433" t="s">
        <v>1810</v>
      </c>
      <c r="N433">
        <v>5</v>
      </c>
      <c r="O433" t="s">
        <v>1813</v>
      </c>
      <c r="P433" t="s">
        <v>1831</v>
      </c>
    </row>
    <row r="434" spans="1:16" x14ac:dyDescent="0.3">
      <c r="A434" t="s">
        <v>445</v>
      </c>
      <c r="B434" t="s">
        <v>1757</v>
      </c>
      <c r="C434">
        <v>29</v>
      </c>
      <c r="D434" t="s">
        <v>1783</v>
      </c>
      <c r="E434" t="s">
        <v>1787</v>
      </c>
      <c r="F434" t="s">
        <v>1798</v>
      </c>
      <c r="G434" s="5">
        <v>58549</v>
      </c>
      <c r="H434" t="s">
        <v>1802</v>
      </c>
      <c r="I434" t="s">
        <v>1806</v>
      </c>
      <c r="J434" s="2">
        <v>43601</v>
      </c>
      <c r="K434">
        <f t="shared" ca="1" si="12"/>
        <v>6</v>
      </c>
      <c r="L434">
        <f t="shared" ca="1" si="13"/>
        <v>6</v>
      </c>
      <c r="M434" t="s">
        <v>1810</v>
      </c>
      <c r="N434">
        <v>2</v>
      </c>
      <c r="O434" t="s">
        <v>1816</v>
      </c>
      <c r="P434" t="s">
        <v>1833</v>
      </c>
    </row>
    <row r="435" spans="1:16" x14ac:dyDescent="0.3">
      <c r="A435" t="s">
        <v>446</v>
      </c>
      <c r="B435" t="s">
        <v>1727</v>
      </c>
      <c r="C435">
        <v>30</v>
      </c>
      <c r="D435" t="s">
        <v>1783</v>
      </c>
      <c r="E435" t="s">
        <v>1792</v>
      </c>
      <c r="F435" t="s">
        <v>1796</v>
      </c>
      <c r="G435" s="5">
        <v>104972</v>
      </c>
      <c r="H435" t="s">
        <v>1804</v>
      </c>
      <c r="I435" t="s">
        <v>1808</v>
      </c>
      <c r="J435" s="2">
        <v>44351</v>
      </c>
      <c r="K435">
        <f t="shared" ca="1" si="12"/>
        <v>4</v>
      </c>
      <c r="L435">
        <f t="shared" ca="1" si="13"/>
        <v>6</v>
      </c>
      <c r="M435" t="s">
        <v>1810</v>
      </c>
      <c r="N435">
        <v>5</v>
      </c>
      <c r="O435" t="s">
        <v>1812</v>
      </c>
      <c r="P435" t="s">
        <v>1833</v>
      </c>
    </row>
    <row r="436" spans="1:16" x14ac:dyDescent="0.3">
      <c r="A436" t="s">
        <v>447</v>
      </c>
      <c r="B436" t="s">
        <v>1749</v>
      </c>
      <c r="C436">
        <v>54</v>
      </c>
      <c r="D436" t="s">
        <v>1783</v>
      </c>
      <c r="E436" t="s">
        <v>1790</v>
      </c>
      <c r="F436" t="s">
        <v>1794</v>
      </c>
      <c r="G436" s="5">
        <v>100712</v>
      </c>
      <c r="H436" t="s">
        <v>1805</v>
      </c>
      <c r="I436" t="s">
        <v>1808</v>
      </c>
      <c r="J436" s="2">
        <v>44582</v>
      </c>
      <c r="K436">
        <f t="shared" ca="1" si="12"/>
        <v>3</v>
      </c>
      <c r="L436">
        <f t="shared" ca="1" si="13"/>
        <v>10</v>
      </c>
      <c r="M436" t="s">
        <v>1810</v>
      </c>
      <c r="N436">
        <v>3</v>
      </c>
      <c r="O436" t="s">
        <v>1812</v>
      </c>
      <c r="P436" t="s">
        <v>1834</v>
      </c>
    </row>
    <row r="437" spans="1:16" x14ac:dyDescent="0.3">
      <c r="A437" t="s">
        <v>448</v>
      </c>
      <c r="B437" t="s">
        <v>1756</v>
      </c>
      <c r="C437">
        <v>25</v>
      </c>
      <c r="D437" t="s">
        <v>1784</v>
      </c>
      <c r="E437" t="s">
        <v>1788</v>
      </c>
      <c r="F437" t="s">
        <v>1800</v>
      </c>
      <c r="G437" s="5">
        <v>65943</v>
      </c>
      <c r="H437" t="s">
        <v>1804</v>
      </c>
      <c r="I437" t="s">
        <v>1807</v>
      </c>
      <c r="J437" s="2">
        <v>43681</v>
      </c>
      <c r="K437">
        <f t="shared" ca="1" si="12"/>
        <v>6</v>
      </c>
      <c r="L437">
        <f t="shared" ca="1" si="13"/>
        <v>4</v>
      </c>
      <c r="M437" t="s">
        <v>1809</v>
      </c>
      <c r="N437">
        <v>1</v>
      </c>
      <c r="O437" t="s">
        <v>1816</v>
      </c>
      <c r="P437" t="s">
        <v>1832</v>
      </c>
    </row>
    <row r="438" spans="1:16" x14ac:dyDescent="0.3">
      <c r="A438" t="s">
        <v>449</v>
      </c>
      <c r="B438" t="s">
        <v>1775</v>
      </c>
      <c r="C438">
        <v>50</v>
      </c>
      <c r="D438" t="s">
        <v>1785</v>
      </c>
      <c r="E438" t="s">
        <v>1792</v>
      </c>
      <c r="F438" t="s">
        <v>1800</v>
      </c>
      <c r="G438" s="5">
        <v>108147</v>
      </c>
      <c r="H438" t="s">
        <v>1803</v>
      </c>
      <c r="I438" t="s">
        <v>1808</v>
      </c>
      <c r="J438" s="2">
        <v>42475</v>
      </c>
      <c r="K438">
        <f t="shared" ca="1" si="12"/>
        <v>9</v>
      </c>
      <c r="L438">
        <f t="shared" ca="1" si="13"/>
        <v>7</v>
      </c>
      <c r="M438" t="s">
        <v>1810</v>
      </c>
      <c r="N438">
        <v>3</v>
      </c>
      <c r="O438" t="s">
        <v>1815</v>
      </c>
      <c r="P438" t="s">
        <v>1834</v>
      </c>
    </row>
    <row r="439" spans="1:16" x14ac:dyDescent="0.3">
      <c r="A439" t="s">
        <v>450</v>
      </c>
      <c r="B439" t="s">
        <v>1735</v>
      </c>
      <c r="C439">
        <v>43</v>
      </c>
      <c r="D439" t="s">
        <v>1783</v>
      </c>
      <c r="E439" t="s">
        <v>1787</v>
      </c>
      <c r="F439" t="s">
        <v>1800</v>
      </c>
      <c r="G439" s="5">
        <v>91472</v>
      </c>
      <c r="H439" t="s">
        <v>1803</v>
      </c>
      <c r="I439" t="s">
        <v>1807</v>
      </c>
      <c r="J439" s="2">
        <v>43106</v>
      </c>
      <c r="K439">
        <f t="shared" ca="1" si="12"/>
        <v>7</v>
      </c>
      <c r="L439">
        <f t="shared" ca="1" si="13"/>
        <v>11</v>
      </c>
      <c r="M439" t="s">
        <v>1810</v>
      </c>
      <c r="N439">
        <v>4</v>
      </c>
      <c r="O439" t="s">
        <v>1815</v>
      </c>
      <c r="P439" t="s">
        <v>1831</v>
      </c>
    </row>
    <row r="440" spans="1:16" x14ac:dyDescent="0.3">
      <c r="A440" t="s">
        <v>451</v>
      </c>
      <c r="B440" t="s">
        <v>1767</v>
      </c>
      <c r="C440">
        <v>47</v>
      </c>
      <c r="D440" t="s">
        <v>1785</v>
      </c>
      <c r="E440" t="s">
        <v>1786</v>
      </c>
      <c r="F440" t="s">
        <v>1799</v>
      </c>
      <c r="G440" s="5">
        <v>85713</v>
      </c>
      <c r="H440" t="s">
        <v>1805</v>
      </c>
      <c r="I440" t="s">
        <v>1806</v>
      </c>
      <c r="J440" s="2">
        <v>45242</v>
      </c>
      <c r="K440">
        <f t="shared" ca="1" si="12"/>
        <v>2</v>
      </c>
      <c r="L440">
        <f t="shared" ca="1" si="13"/>
        <v>0</v>
      </c>
      <c r="M440" t="s">
        <v>1810</v>
      </c>
      <c r="N440">
        <v>3</v>
      </c>
      <c r="O440" t="s">
        <v>1814</v>
      </c>
      <c r="P440" t="s">
        <v>1834</v>
      </c>
    </row>
    <row r="441" spans="1:16" x14ac:dyDescent="0.3">
      <c r="A441" t="s">
        <v>452</v>
      </c>
      <c r="B441" t="s">
        <v>1782</v>
      </c>
      <c r="C441">
        <v>24</v>
      </c>
      <c r="D441" t="s">
        <v>1783</v>
      </c>
      <c r="E441" t="s">
        <v>1791</v>
      </c>
      <c r="F441" t="s">
        <v>1797</v>
      </c>
      <c r="G441" s="5">
        <v>55957</v>
      </c>
      <c r="H441" t="s">
        <v>1803</v>
      </c>
      <c r="I441" t="s">
        <v>1806</v>
      </c>
      <c r="J441" s="2">
        <v>44292</v>
      </c>
      <c r="K441">
        <f t="shared" ca="1" si="12"/>
        <v>4</v>
      </c>
      <c r="L441">
        <f t="shared" ca="1" si="13"/>
        <v>8</v>
      </c>
      <c r="M441" t="s">
        <v>1810</v>
      </c>
      <c r="N441">
        <v>5</v>
      </c>
      <c r="O441" t="s">
        <v>1812</v>
      </c>
      <c r="P441" t="s">
        <v>1832</v>
      </c>
    </row>
    <row r="442" spans="1:16" x14ac:dyDescent="0.3">
      <c r="A442" t="s">
        <v>453</v>
      </c>
      <c r="B442" t="s">
        <v>1762</v>
      </c>
      <c r="C442">
        <v>21</v>
      </c>
      <c r="D442" t="s">
        <v>1783</v>
      </c>
      <c r="E442" t="s">
        <v>1792</v>
      </c>
      <c r="F442" t="s">
        <v>1797</v>
      </c>
      <c r="G442" s="5">
        <v>88119</v>
      </c>
      <c r="H442" t="s">
        <v>1802</v>
      </c>
      <c r="I442" t="s">
        <v>1807</v>
      </c>
      <c r="J442" s="2">
        <v>43593</v>
      </c>
      <c r="K442">
        <f t="shared" ca="1" si="12"/>
        <v>6</v>
      </c>
      <c r="L442">
        <f t="shared" ca="1" si="13"/>
        <v>7</v>
      </c>
      <c r="M442" t="s">
        <v>1810</v>
      </c>
      <c r="N442">
        <v>2</v>
      </c>
      <c r="O442" t="s">
        <v>1812</v>
      </c>
      <c r="P442" t="s">
        <v>1832</v>
      </c>
    </row>
    <row r="443" spans="1:16" x14ac:dyDescent="0.3">
      <c r="A443" t="s">
        <v>454</v>
      </c>
      <c r="B443" t="s">
        <v>1752</v>
      </c>
      <c r="C443">
        <v>25</v>
      </c>
      <c r="D443" t="s">
        <v>1783</v>
      </c>
      <c r="E443" t="s">
        <v>1792</v>
      </c>
      <c r="F443" t="s">
        <v>1798</v>
      </c>
      <c r="G443" s="5">
        <v>82694</v>
      </c>
      <c r="H443" t="s">
        <v>1804</v>
      </c>
      <c r="I443" t="s">
        <v>1808</v>
      </c>
      <c r="J443" s="2">
        <v>43714</v>
      </c>
      <c r="K443">
        <f t="shared" ca="1" si="12"/>
        <v>6</v>
      </c>
      <c r="L443">
        <f t="shared" ca="1" si="13"/>
        <v>3</v>
      </c>
      <c r="M443" t="s">
        <v>1810</v>
      </c>
      <c r="N443">
        <v>3</v>
      </c>
      <c r="O443" t="s">
        <v>1812</v>
      </c>
      <c r="P443" t="s">
        <v>1832</v>
      </c>
    </row>
    <row r="444" spans="1:16" x14ac:dyDescent="0.3">
      <c r="A444" t="s">
        <v>455</v>
      </c>
      <c r="B444" t="s">
        <v>1740</v>
      </c>
      <c r="C444">
        <v>25</v>
      </c>
      <c r="D444" t="s">
        <v>1783</v>
      </c>
      <c r="E444" t="s">
        <v>1792</v>
      </c>
      <c r="F444" t="s">
        <v>1799</v>
      </c>
      <c r="G444" s="5">
        <v>52931</v>
      </c>
      <c r="H444" t="s">
        <v>1803</v>
      </c>
      <c r="I444" t="s">
        <v>1807</v>
      </c>
      <c r="J444" s="2">
        <v>44662</v>
      </c>
      <c r="K444">
        <f t="shared" ca="1" si="12"/>
        <v>3</v>
      </c>
      <c r="L444">
        <f t="shared" ca="1" si="13"/>
        <v>7</v>
      </c>
      <c r="M444" t="s">
        <v>1810</v>
      </c>
      <c r="N444">
        <v>2</v>
      </c>
      <c r="O444" t="s">
        <v>1815</v>
      </c>
      <c r="P444" t="s">
        <v>1832</v>
      </c>
    </row>
    <row r="445" spans="1:16" x14ac:dyDescent="0.3">
      <c r="A445" t="s">
        <v>456</v>
      </c>
      <c r="B445" t="s">
        <v>1725</v>
      </c>
      <c r="C445">
        <v>44</v>
      </c>
      <c r="D445" t="s">
        <v>1783</v>
      </c>
      <c r="E445" t="s">
        <v>1793</v>
      </c>
      <c r="F445" t="s">
        <v>1794</v>
      </c>
      <c r="G445" s="5">
        <v>118682</v>
      </c>
      <c r="H445" t="s">
        <v>1802</v>
      </c>
      <c r="I445" t="s">
        <v>1808</v>
      </c>
      <c r="J445" s="2">
        <v>45596</v>
      </c>
      <c r="K445">
        <f t="shared" ca="1" si="12"/>
        <v>1</v>
      </c>
      <c r="L445">
        <f t="shared" ca="1" si="13"/>
        <v>1</v>
      </c>
      <c r="M445" t="s">
        <v>1810</v>
      </c>
      <c r="N445">
        <v>2</v>
      </c>
      <c r="O445" t="s">
        <v>1818</v>
      </c>
      <c r="P445" t="s">
        <v>1831</v>
      </c>
    </row>
    <row r="446" spans="1:16" x14ac:dyDescent="0.3">
      <c r="A446" t="s">
        <v>457</v>
      </c>
      <c r="B446" t="s">
        <v>1743</v>
      </c>
      <c r="C446">
        <v>26</v>
      </c>
      <c r="D446" t="s">
        <v>1785</v>
      </c>
      <c r="E446" t="s">
        <v>1786</v>
      </c>
      <c r="F446" t="s">
        <v>1800</v>
      </c>
      <c r="G446" s="5">
        <v>79974</v>
      </c>
      <c r="H446" t="s">
        <v>1804</v>
      </c>
      <c r="I446" t="s">
        <v>1808</v>
      </c>
      <c r="J446" s="2">
        <v>43087</v>
      </c>
      <c r="K446">
        <f t="shared" ca="1" si="12"/>
        <v>8</v>
      </c>
      <c r="L446">
        <f t="shared" ca="1" si="13"/>
        <v>11</v>
      </c>
      <c r="M446" t="s">
        <v>1809</v>
      </c>
      <c r="N446">
        <v>5</v>
      </c>
      <c r="O446" t="s">
        <v>1813</v>
      </c>
      <c r="P446" t="s">
        <v>1833</v>
      </c>
    </row>
    <row r="447" spans="1:16" x14ac:dyDescent="0.3">
      <c r="A447" t="s">
        <v>458</v>
      </c>
      <c r="B447" t="s">
        <v>1728</v>
      </c>
      <c r="C447">
        <v>39</v>
      </c>
      <c r="D447" t="s">
        <v>1783</v>
      </c>
      <c r="E447" t="s">
        <v>1789</v>
      </c>
      <c r="F447" t="s">
        <v>1799</v>
      </c>
      <c r="G447" s="5">
        <v>24827</v>
      </c>
      <c r="H447" t="s">
        <v>1802</v>
      </c>
      <c r="I447" t="s">
        <v>1807</v>
      </c>
      <c r="J447" s="2">
        <v>43404</v>
      </c>
      <c r="K447">
        <f t="shared" ca="1" si="12"/>
        <v>7</v>
      </c>
      <c r="L447">
        <f t="shared" ca="1" si="13"/>
        <v>1</v>
      </c>
      <c r="M447" t="s">
        <v>1810</v>
      </c>
      <c r="N447">
        <v>3</v>
      </c>
      <c r="O447" t="s">
        <v>1818</v>
      </c>
      <c r="P447" t="s">
        <v>1831</v>
      </c>
    </row>
    <row r="448" spans="1:16" x14ac:dyDescent="0.3">
      <c r="A448" t="s">
        <v>459</v>
      </c>
      <c r="B448" t="s">
        <v>1751</v>
      </c>
      <c r="C448">
        <v>37</v>
      </c>
      <c r="D448" t="s">
        <v>1785</v>
      </c>
      <c r="E448" t="s">
        <v>1793</v>
      </c>
      <c r="F448" t="s">
        <v>1799</v>
      </c>
      <c r="G448" s="5">
        <v>69879</v>
      </c>
      <c r="H448" t="s">
        <v>1802</v>
      </c>
      <c r="I448" t="s">
        <v>1807</v>
      </c>
      <c r="J448" s="2">
        <v>42610</v>
      </c>
      <c r="K448">
        <f t="shared" ca="1" si="12"/>
        <v>9</v>
      </c>
      <c r="L448">
        <f t="shared" ca="1" si="13"/>
        <v>3</v>
      </c>
      <c r="M448" t="s">
        <v>1810</v>
      </c>
      <c r="N448">
        <v>5</v>
      </c>
      <c r="O448" t="s">
        <v>1816</v>
      </c>
      <c r="P448" t="s">
        <v>1831</v>
      </c>
    </row>
    <row r="449" spans="1:16" x14ac:dyDescent="0.3">
      <c r="A449" t="s">
        <v>460</v>
      </c>
      <c r="B449" t="s">
        <v>1741</v>
      </c>
      <c r="C449">
        <v>25</v>
      </c>
      <c r="D449" t="s">
        <v>1783</v>
      </c>
      <c r="E449" t="s">
        <v>1791</v>
      </c>
      <c r="F449" t="s">
        <v>1797</v>
      </c>
      <c r="G449" s="5">
        <v>83525</v>
      </c>
      <c r="H449" t="s">
        <v>1805</v>
      </c>
      <c r="I449" t="s">
        <v>1808</v>
      </c>
      <c r="J449" s="2">
        <v>45549</v>
      </c>
      <c r="K449">
        <f t="shared" ca="1" si="12"/>
        <v>1</v>
      </c>
      <c r="L449">
        <f t="shared" ca="1" si="13"/>
        <v>2</v>
      </c>
      <c r="M449" t="s">
        <v>1809</v>
      </c>
      <c r="N449">
        <v>1</v>
      </c>
      <c r="O449" t="s">
        <v>1817</v>
      </c>
      <c r="P449" t="s">
        <v>1832</v>
      </c>
    </row>
    <row r="450" spans="1:16" x14ac:dyDescent="0.3">
      <c r="A450" t="s">
        <v>461</v>
      </c>
      <c r="B450" t="s">
        <v>1749</v>
      </c>
      <c r="C450">
        <v>54</v>
      </c>
      <c r="D450" t="s">
        <v>1783</v>
      </c>
      <c r="E450" t="s">
        <v>1791</v>
      </c>
      <c r="F450" t="s">
        <v>1798</v>
      </c>
      <c r="G450" s="5">
        <v>81942</v>
      </c>
      <c r="H450" t="s">
        <v>1804</v>
      </c>
      <c r="I450" t="s">
        <v>1806</v>
      </c>
      <c r="J450" s="2">
        <v>45667</v>
      </c>
      <c r="K450">
        <f t="shared" ca="1" si="12"/>
        <v>0</v>
      </c>
      <c r="L450">
        <f t="shared" ca="1" si="13"/>
        <v>11</v>
      </c>
      <c r="M450" t="s">
        <v>1810</v>
      </c>
      <c r="N450">
        <v>4</v>
      </c>
      <c r="O450" t="s">
        <v>1815</v>
      </c>
      <c r="P450" t="s">
        <v>1834</v>
      </c>
    </row>
    <row r="451" spans="1:16" x14ac:dyDescent="0.3">
      <c r="A451" t="s">
        <v>462</v>
      </c>
      <c r="B451" t="s">
        <v>1733</v>
      </c>
      <c r="C451">
        <v>44</v>
      </c>
      <c r="D451" t="s">
        <v>1784</v>
      </c>
      <c r="E451" t="s">
        <v>1791</v>
      </c>
      <c r="F451" t="s">
        <v>1797</v>
      </c>
      <c r="G451" s="5">
        <v>50859</v>
      </c>
      <c r="H451" t="s">
        <v>1803</v>
      </c>
      <c r="I451" t="s">
        <v>1806</v>
      </c>
      <c r="J451" s="2">
        <v>44230</v>
      </c>
      <c r="K451">
        <f t="shared" ref="K451:K514" ca="1" si="14">YEAR(TODAY()) - YEAR(J451)</f>
        <v>4</v>
      </c>
      <c r="L451">
        <f t="shared" ref="L451:L514" ca="1" si="15">DATEDIF(J451,TODAY(),"YM")</f>
        <v>10</v>
      </c>
      <c r="M451" t="s">
        <v>1810</v>
      </c>
      <c r="N451">
        <v>5</v>
      </c>
      <c r="O451" t="s">
        <v>1812</v>
      </c>
      <c r="P451" t="s">
        <v>1831</v>
      </c>
    </row>
    <row r="452" spans="1:16" x14ac:dyDescent="0.3">
      <c r="A452" t="s">
        <v>463</v>
      </c>
      <c r="B452" t="s">
        <v>1730</v>
      </c>
      <c r="C452">
        <v>31</v>
      </c>
      <c r="D452" t="s">
        <v>1785</v>
      </c>
      <c r="E452" t="s">
        <v>1789</v>
      </c>
      <c r="F452" t="s">
        <v>1794</v>
      </c>
      <c r="G452" s="5">
        <v>60425</v>
      </c>
      <c r="H452" t="s">
        <v>1803</v>
      </c>
      <c r="I452" t="s">
        <v>1808</v>
      </c>
      <c r="J452" s="2">
        <v>45843</v>
      </c>
      <c r="K452">
        <f t="shared" ca="1" si="14"/>
        <v>0</v>
      </c>
      <c r="L452">
        <f t="shared" ca="1" si="15"/>
        <v>5</v>
      </c>
      <c r="M452" t="s">
        <v>1809</v>
      </c>
      <c r="N452">
        <v>1</v>
      </c>
      <c r="O452" t="s">
        <v>1816</v>
      </c>
      <c r="P452" t="s">
        <v>1833</v>
      </c>
    </row>
    <row r="453" spans="1:16" x14ac:dyDescent="0.3">
      <c r="A453" t="s">
        <v>464</v>
      </c>
      <c r="B453" t="s">
        <v>1737</v>
      </c>
      <c r="C453">
        <v>36</v>
      </c>
      <c r="D453" t="s">
        <v>1785</v>
      </c>
      <c r="E453" t="s">
        <v>1789</v>
      </c>
      <c r="F453" t="s">
        <v>1797</v>
      </c>
      <c r="G453" s="5">
        <v>77517</v>
      </c>
      <c r="H453" t="s">
        <v>1805</v>
      </c>
      <c r="I453" t="s">
        <v>1808</v>
      </c>
      <c r="J453" s="2">
        <v>45443</v>
      </c>
      <c r="K453">
        <f t="shared" ca="1" si="14"/>
        <v>1</v>
      </c>
      <c r="L453">
        <f t="shared" ca="1" si="15"/>
        <v>6</v>
      </c>
      <c r="M453" t="s">
        <v>1809</v>
      </c>
      <c r="N453">
        <v>1</v>
      </c>
      <c r="O453" t="s">
        <v>1817</v>
      </c>
      <c r="P453" t="s">
        <v>1831</v>
      </c>
    </row>
    <row r="454" spans="1:16" x14ac:dyDescent="0.3">
      <c r="A454" t="s">
        <v>465</v>
      </c>
      <c r="B454" t="s">
        <v>1729</v>
      </c>
      <c r="C454">
        <v>40</v>
      </c>
      <c r="D454" t="s">
        <v>1785</v>
      </c>
      <c r="E454" t="s">
        <v>1793</v>
      </c>
      <c r="F454" t="s">
        <v>1795</v>
      </c>
      <c r="G454" s="5">
        <v>104283</v>
      </c>
      <c r="H454" t="s">
        <v>1803</v>
      </c>
      <c r="I454" t="s">
        <v>1807</v>
      </c>
      <c r="J454" s="2">
        <v>44584</v>
      </c>
      <c r="K454">
        <f t="shared" ca="1" si="14"/>
        <v>3</v>
      </c>
      <c r="L454">
        <f t="shared" ca="1" si="15"/>
        <v>10</v>
      </c>
      <c r="M454" t="s">
        <v>1810</v>
      </c>
      <c r="N454">
        <v>5</v>
      </c>
      <c r="O454" t="s">
        <v>1816</v>
      </c>
      <c r="P454" t="s">
        <v>1831</v>
      </c>
    </row>
    <row r="455" spans="1:16" x14ac:dyDescent="0.3">
      <c r="A455" t="s">
        <v>466</v>
      </c>
      <c r="B455" t="s">
        <v>1715</v>
      </c>
      <c r="C455">
        <v>40</v>
      </c>
      <c r="D455" t="s">
        <v>1784</v>
      </c>
      <c r="E455" t="s">
        <v>1789</v>
      </c>
      <c r="F455" t="s">
        <v>1797</v>
      </c>
      <c r="G455" s="5">
        <v>32478</v>
      </c>
      <c r="H455" t="s">
        <v>1805</v>
      </c>
      <c r="I455" t="s">
        <v>1806</v>
      </c>
      <c r="J455" s="2">
        <v>42711</v>
      </c>
      <c r="K455">
        <f t="shared" ca="1" si="14"/>
        <v>9</v>
      </c>
      <c r="L455">
        <f t="shared" ca="1" si="15"/>
        <v>0</v>
      </c>
      <c r="M455" t="s">
        <v>1809</v>
      </c>
      <c r="N455">
        <v>2</v>
      </c>
      <c r="O455" t="s">
        <v>1816</v>
      </c>
      <c r="P455" t="s">
        <v>1831</v>
      </c>
    </row>
    <row r="456" spans="1:16" x14ac:dyDescent="0.3">
      <c r="A456" t="s">
        <v>467</v>
      </c>
      <c r="B456" t="s">
        <v>1752</v>
      </c>
      <c r="C456">
        <v>26</v>
      </c>
      <c r="D456" t="s">
        <v>1784</v>
      </c>
      <c r="E456" t="s">
        <v>1786</v>
      </c>
      <c r="F456" t="s">
        <v>1797</v>
      </c>
      <c r="G456" s="5">
        <v>30943</v>
      </c>
      <c r="H456" t="s">
        <v>1805</v>
      </c>
      <c r="I456" t="s">
        <v>1806</v>
      </c>
      <c r="J456" s="2">
        <v>45863</v>
      </c>
      <c r="K456">
        <f t="shared" ca="1" si="14"/>
        <v>0</v>
      </c>
      <c r="L456">
        <f t="shared" ca="1" si="15"/>
        <v>4</v>
      </c>
      <c r="M456" t="s">
        <v>1810</v>
      </c>
      <c r="N456">
        <v>4</v>
      </c>
      <c r="O456" t="s">
        <v>1814</v>
      </c>
      <c r="P456" t="s">
        <v>1833</v>
      </c>
    </row>
    <row r="457" spans="1:16" x14ac:dyDescent="0.3">
      <c r="A457" t="s">
        <v>468</v>
      </c>
      <c r="B457" t="s">
        <v>1740</v>
      </c>
      <c r="C457">
        <v>34</v>
      </c>
      <c r="D457" t="s">
        <v>1785</v>
      </c>
      <c r="E457" t="s">
        <v>1793</v>
      </c>
      <c r="F457" t="s">
        <v>1798</v>
      </c>
      <c r="G457" s="5">
        <v>19715</v>
      </c>
      <c r="H457" t="s">
        <v>1803</v>
      </c>
      <c r="I457" t="s">
        <v>1807</v>
      </c>
      <c r="J457" s="2">
        <v>44355</v>
      </c>
      <c r="K457">
        <f t="shared" ca="1" si="14"/>
        <v>4</v>
      </c>
      <c r="L457">
        <f t="shared" ca="1" si="15"/>
        <v>6</v>
      </c>
      <c r="M457" t="s">
        <v>1809</v>
      </c>
      <c r="N457">
        <v>3</v>
      </c>
      <c r="O457" t="s">
        <v>1811</v>
      </c>
      <c r="P457" t="s">
        <v>1833</v>
      </c>
    </row>
    <row r="458" spans="1:16" x14ac:dyDescent="0.3">
      <c r="A458" t="s">
        <v>469</v>
      </c>
      <c r="B458" t="s">
        <v>1741</v>
      </c>
      <c r="C458">
        <v>23</v>
      </c>
      <c r="D458" t="s">
        <v>1785</v>
      </c>
      <c r="E458" t="s">
        <v>1788</v>
      </c>
      <c r="F458" t="s">
        <v>1797</v>
      </c>
      <c r="G458" s="5">
        <v>87339</v>
      </c>
      <c r="H458" t="s">
        <v>1801</v>
      </c>
      <c r="I458" t="s">
        <v>1808</v>
      </c>
      <c r="J458" s="2">
        <v>42757</v>
      </c>
      <c r="K458">
        <f t="shared" ca="1" si="14"/>
        <v>8</v>
      </c>
      <c r="L458">
        <f t="shared" ca="1" si="15"/>
        <v>10</v>
      </c>
      <c r="M458" t="s">
        <v>1809</v>
      </c>
      <c r="N458">
        <v>5</v>
      </c>
      <c r="O458" t="s">
        <v>1813</v>
      </c>
      <c r="P458" t="s">
        <v>1832</v>
      </c>
    </row>
    <row r="459" spans="1:16" x14ac:dyDescent="0.3">
      <c r="A459" t="s">
        <v>470</v>
      </c>
      <c r="B459" t="s">
        <v>1745</v>
      </c>
      <c r="C459">
        <v>34</v>
      </c>
      <c r="D459" t="s">
        <v>1785</v>
      </c>
      <c r="E459" t="s">
        <v>1787</v>
      </c>
      <c r="F459" t="s">
        <v>1798</v>
      </c>
      <c r="G459" s="5">
        <v>42832</v>
      </c>
      <c r="H459" t="s">
        <v>1805</v>
      </c>
      <c r="I459" t="s">
        <v>1806</v>
      </c>
      <c r="J459" s="2">
        <v>43456</v>
      </c>
      <c r="K459">
        <f t="shared" ca="1" si="14"/>
        <v>7</v>
      </c>
      <c r="L459">
        <f t="shared" ca="1" si="15"/>
        <v>11</v>
      </c>
      <c r="M459" t="s">
        <v>1809</v>
      </c>
      <c r="N459">
        <v>5</v>
      </c>
      <c r="O459" t="s">
        <v>1811</v>
      </c>
      <c r="P459" t="s">
        <v>1833</v>
      </c>
    </row>
    <row r="460" spans="1:16" x14ac:dyDescent="0.3">
      <c r="A460" t="s">
        <v>471</v>
      </c>
      <c r="B460" t="s">
        <v>1765</v>
      </c>
      <c r="C460">
        <v>56</v>
      </c>
      <c r="D460" t="s">
        <v>1784</v>
      </c>
      <c r="E460" t="s">
        <v>1790</v>
      </c>
      <c r="F460" t="s">
        <v>1794</v>
      </c>
      <c r="G460" s="5">
        <v>110084</v>
      </c>
      <c r="H460" t="s">
        <v>1803</v>
      </c>
      <c r="I460" t="s">
        <v>1807</v>
      </c>
      <c r="J460" s="2">
        <v>43121</v>
      </c>
      <c r="K460">
        <f t="shared" ca="1" si="14"/>
        <v>7</v>
      </c>
      <c r="L460">
        <f t="shared" ca="1" si="15"/>
        <v>10</v>
      </c>
      <c r="M460" t="s">
        <v>1809</v>
      </c>
      <c r="N460">
        <v>5</v>
      </c>
      <c r="O460" t="s">
        <v>1811</v>
      </c>
      <c r="P460" t="s">
        <v>1834</v>
      </c>
    </row>
    <row r="461" spans="1:16" x14ac:dyDescent="0.3">
      <c r="A461" t="s">
        <v>472</v>
      </c>
      <c r="B461" t="s">
        <v>1739</v>
      </c>
      <c r="C461">
        <v>30</v>
      </c>
      <c r="D461" t="s">
        <v>1785</v>
      </c>
      <c r="E461" t="s">
        <v>1790</v>
      </c>
      <c r="F461" t="s">
        <v>1796</v>
      </c>
      <c r="G461" s="5">
        <v>64179</v>
      </c>
      <c r="H461" t="s">
        <v>1805</v>
      </c>
      <c r="I461" t="s">
        <v>1808</v>
      </c>
      <c r="J461" s="2">
        <v>45898</v>
      </c>
      <c r="K461">
        <f t="shared" ca="1" si="14"/>
        <v>0</v>
      </c>
      <c r="L461">
        <f t="shared" ca="1" si="15"/>
        <v>3</v>
      </c>
      <c r="M461" t="s">
        <v>1810</v>
      </c>
      <c r="N461">
        <v>4</v>
      </c>
      <c r="O461" t="s">
        <v>1811</v>
      </c>
      <c r="P461" t="s">
        <v>1833</v>
      </c>
    </row>
    <row r="462" spans="1:16" x14ac:dyDescent="0.3">
      <c r="A462" t="s">
        <v>473</v>
      </c>
      <c r="B462" t="s">
        <v>1753</v>
      </c>
      <c r="C462">
        <v>35</v>
      </c>
      <c r="D462" t="s">
        <v>1785</v>
      </c>
      <c r="E462" t="s">
        <v>1786</v>
      </c>
      <c r="F462" t="s">
        <v>1799</v>
      </c>
      <c r="G462" s="5">
        <v>67160</v>
      </c>
      <c r="H462" t="s">
        <v>1805</v>
      </c>
      <c r="I462" t="s">
        <v>1806</v>
      </c>
      <c r="J462" s="2">
        <v>43478</v>
      </c>
      <c r="K462">
        <f t="shared" ca="1" si="14"/>
        <v>6</v>
      </c>
      <c r="L462">
        <f t="shared" ca="1" si="15"/>
        <v>10</v>
      </c>
      <c r="M462" t="s">
        <v>1810</v>
      </c>
      <c r="N462">
        <v>4</v>
      </c>
      <c r="O462" t="s">
        <v>1812</v>
      </c>
      <c r="P462" t="s">
        <v>1833</v>
      </c>
    </row>
    <row r="463" spans="1:16" x14ac:dyDescent="0.3">
      <c r="A463" t="s">
        <v>474</v>
      </c>
      <c r="B463" t="s">
        <v>1716</v>
      </c>
      <c r="C463">
        <v>22</v>
      </c>
      <c r="D463" t="s">
        <v>1784</v>
      </c>
      <c r="E463" t="s">
        <v>1792</v>
      </c>
      <c r="F463" t="s">
        <v>1798</v>
      </c>
      <c r="G463" s="5">
        <v>85844</v>
      </c>
      <c r="H463" t="s">
        <v>1804</v>
      </c>
      <c r="I463" t="s">
        <v>1807</v>
      </c>
      <c r="J463" s="2">
        <v>43668</v>
      </c>
      <c r="K463">
        <f t="shared" ca="1" si="14"/>
        <v>6</v>
      </c>
      <c r="L463">
        <f t="shared" ca="1" si="15"/>
        <v>4</v>
      </c>
      <c r="M463" t="s">
        <v>1809</v>
      </c>
      <c r="N463">
        <v>2</v>
      </c>
      <c r="O463" t="s">
        <v>1817</v>
      </c>
      <c r="P463" t="s">
        <v>1832</v>
      </c>
    </row>
    <row r="464" spans="1:16" x14ac:dyDescent="0.3">
      <c r="A464" t="s">
        <v>475</v>
      </c>
      <c r="B464" t="s">
        <v>1720</v>
      </c>
      <c r="C464">
        <v>37</v>
      </c>
      <c r="D464" t="s">
        <v>1785</v>
      </c>
      <c r="E464" t="s">
        <v>1791</v>
      </c>
      <c r="F464" t="s">
        <v>1797</v>
      </c>
      <c r="G464" s="5">
        <v>30358</v>
      </c>
      <c r="H464" t="s">
        <v>1803</v>
      </c>
      <c r="I464" t="s">
        <v>1808</v>
      </c>
      <c r="J464" s="2">
        <v>43077</v>
      </c>
      <c r="K464">
        <f t="shared" ca="1" si="14"/>
        <v>8</v>
      </c>
      <c r="L464">
        <f t="shared" ca="1" si="15"/>
        <v>0</v>
      </c>
      <c r="M464" t="s">
        <v>1809</v>
      </c>
      <c r="N464">
        <v>3</v>
      </c>
      <c r="O464" t="s">
        <v>1817</v>
      </c>
      <c r="P464" t="s">
        <v>1831</v>
      </c>
    </row>
    <row r="465" spans="1:16" x14ac:dyDescent="0.3">
      <c r="A465" t="s">
        <v>476</v>
      </c>
      <c r="B465" t="s">
        <v>1729</v>
      </c>
      <c r="C465">
        <v>34</v>
      </c>
      <c r="D465" t="s">
        <v>1784</v>
      </c>
      <c r="E465" t="s">
        <v>1788</v>
      </c>
      <c r="F465" t="s">
        <v>1795</v>
      </c>
      <c r="G465" s="5">
        <v>30046</v>
      </c>
      <c r="H465" t="s">
        <v>1803</v>
      </c>
      <c r="I465" t="s">
        <v>1806</v>
      </c>
      <c r="J465" s="2">
        <v>43328</v>
      </c>
      <c r="K465">
        <f t="shared" ca="1" si="14"/>
        <v>7</v>
      </c>
      <c r="L465">
        <f t="shared" ca="1" si="15"/>
        <v>3</v>
      </c>
      <c r="M465" t="s">
        <v>1809</v>
      </c>
      <c r="N465">
        <v>3</v>
      </c>
      <c r="O465" t="s">
        <v>1812</v>
      </c>
      <c r="P465" t="s">
        <v>1833</v>
      </c>
    </row>
    <row r="466" spans="1:16" x14ac:dyDescent="0.3">
      <c r="A466" t="s">
        <v>477</v>
      </c>
      <c r="B466" t="s">
        <v>1781</v>
      </c>
      <c r="C466">
        <v>56</v>
      </c>
      <c r="D466" t="s">
        <v>1783</v>
      </c>
      <c r="E466" t="s">
        <v>1788</v>
      </c>
      <c r="F466" t="s">
        <v>1794</v>
      </c>
      <c r="G466" s="5">
        <v>22898</v>
      </c>
      <c r="H466" t="s">
        <v>1805</v>
      </c>
      <c r="I466" t="s">
        <v>1808</v>
      </c>
      <c r="J466" s="2">
        <v>42759</v>
      </c>
      <c r="K466">
        <f t="shared" ca="1" si="14"/>
        <v>8</v>
      </c>
      <c r="L466">
        <f t="shared" ca="1" si="15"/>
        <v>10</v>
      </c>
      <c r="M466" t="s">
        <v>1809</v>
      </c>
      <c r="N466">
        <v>3</v>
      </c>
      <c r="O466" t="s">
        <v>1817</v>
      </c>
      <c r="P466" t="s">
        <v>1834</v>
      </c>
    </row>
    <row r="467" spans="1:16" x14ac:dyDescent="0.3">
      <c r="A467" t="s">
        <v>478</v>
      </c>
      <c r="B467" t="s">
        <v>1723</v>
      </c>
      <c r="C467">
        <v>27</v>
      </c>
      <c r="D467" t="s">
        <v>1783</v>
      </c>
      <c r="E467" t="s">
        <v>1792</v>
      </c>
      <c r="F467" t="s">
        <v>1799</v>
      </c>
      <c r="G467" s="5">
        <v>101084</v>
      </c>
      <c r="H467" t="s">
        <v>1803</v>
      </c>
      <c r="I467" t="s">
        <v>1807</v>
      </c>
      <c r="J467" s="2">
        <v>43686</v>
      </c>
      <c r="K467">
        <f t="shared" ca="1" si="14"/>
        <v>6</v>
      </c>
      <c r="L467">
        <f t="shared" ca="1" si="15"/>
        <v>4</v>
      </c>
      <c r="M467" t="s">
        <v>1809</v>
      </c>
      <c r="N467">
        <v>3</v>
      </c>
      <c r="O467" t="s">
        <v>1816</v>
      </c>
      <c r="P467" t="s">
        <v>1833</v>
      </c>
    </row>
    <row r="468" spans="1:16" x14ac:dyDescent="0.3">
      <c r="A468" t="s">
        <v>479</v>
      </c>
      <c r="B468" t="s">
        <v>1753</v>
      </c>
      <c r="C468">
        <v>34</v>
      </c>
      <c r="D468" t="s">
        <v>1783</v>
      </c>
      <c r="E468" t="s">
        <v>1792</v>
      </c>
      <c r="F468" t="s">
        <v>1794</v>
      </c>
      <c r="G468" s="5">
        <v>106294</v>
      </c>
      <c r="H468" t="s">
        <v>1803</v>
      </c>
      <c r="I468" t="s">
        <v>1808</v>
      </c>
      <c r="J468" s="2">
        <v>45521</v>
      </c>
      <c r="K468">
        <f t="shared" ca="1" si="14"/>
        <v>1</v>
      </c>
      <c r="L468">
        <f t="shared" ca="1" si="15"/>
        <v>3</v>
      </c>
      <c r="M468" t="s">
        <v>1809</v>
      </c>
      <c r="N468">
        <v>2</v>
      </c>
      <c r="O468" t="s">
        <v>1811</v>
      </c>
      <c r="P468" t="s">
        <v>1833</v>
      </c>
    </row>
    <row r="469" spans="1:16" x14ac:dyDescent="0.3">
      <c r="A469" t="s">
        <v>480</v>
      </c>
      <c r="B469" t="s">
        <v>1725</v>
      </c>
      <c r="C469">
        <v>45</v>
      </c>
      <c r="D469" t="s">
        <v>1783</v>
      </c>
      <c r="E469" t="s">
        <v>1791</v>
      </c>
      <c r="F469" t="s">
        <v>1797</v>
      </c>
      <c r="G469" s="5">
        <v>62062</v>
      </c>
      <c r="H469" t="s">
        <v>1803</v>
      </c>
      <c r="I469" t="s">
        <v>1806</v>
      </c>
      <c r="J469" s="2">
        <v>45490</v>
      </c>
      <c r="K469">
        <f t="shared" ca="1" si="14"/>
        <v>1</v>
      </c>
      <c r="L469">
        <f t="shared" ca="1" si="15"/>
        <v>4</v>
      </c>
      <c r="M469" t="s">
        <v>1809</v>
      </c>
      <c r="N469">
        <v>5</v>
      </c>
      <c r="O469" t="s">
        <v>1811</v>
      </c>
      <c r="P469" t="s">
        <v>1831</v>
      </c>
    </row>
    <row r="470" spans="1:16" x14ac:dyDescent="0.3">
      <c r="A470" t="s">
        <v>481</v>
      </c>
      <c r="B470" t="s">
        <v>1767</v>
      </c>
      <c r="C470">
        <v>45</v>
      </c>
      <c r="D470" t="s">
        <v>1785</v>
      </c>
      <c r="E470" t="s">
        <v>1787</v>
      </c>
      <c r="F470" t="s">
        <v>1794</v>
      </c>
      <c r="G470" s="5">
        <v>119426</v>
      </c>
      <c r="H470" t="s">
        <v>1802</v>
      </c>
      <c r="I470" t="s">
        <v>1807</v>
      </c>
      <c r="J470" s="2">
        <v>44407</v>
      </c>
      <c r="K470">
        <f t="shared" ca="1" si="14"/>
        <v>4</v>
      </c>
      <c r="L470">
        <f t="shared" ca="1" si="15"/>
        <v>4</v>
      </c>
      <c r="M470" t="s">
        <v>1809</v>
      </c>
      <c r="N470">
        <v>4</v>
      </c>
      <c r="O470" t="s">
        <v>1811</v>
      </c>
      <c r="P470" t="s">
        <v>1831</v>
      </c>
    </row>
    <row r="471" spans="1:16" x14ac:dyDescent="0.3">
      <c r="A471" t="s">
        <v>482</v>
      </c>
      <c r="B471" t="s">
        <v>1729</v>
      </c>
      <c r="C471">
        <v>55</v>
      </c>
      <c r="D471" t="s">
        <v>1785</v>
      </c>
      <c r="E471" t="s">
        <v>1786</v>
      </c>
      <c r="F471" t="s">
        <v>1797</v>
      </c>
      <c r="G471" s="5">
        <v>49760</v>
      </c>
      <c r="H471" t="s">
        <v>1804</v>
      </c>
      <c r="I471" t="s">
        <v>1808</v>
      </c>
      <c r="J471" s="2">
        <v>43762</v>
      </c>
      <c r="K471">
        <f t="shared" ca="1" si="14"/>
        <v>6</v>
      </c>
      <c r="L471">
        <f t="shared" ca="1" si="15"/>
        <v>1</v>
      </c>
      <c r="M471" t="s">
        <v>1809</v>
      </c>
      <c r="N471">
        <v>1</v>
      </c>
      <c r="O471" t="s">
        <v>1811</v>
      </c>
      <c r="P471" t="s">
        <v>1834</v>
      </c>
    </row>
    <row r="472" spans="1:16" x14ac:dyDescent="0.3">
      <c r="A472" t="s">
        <v>483</v>
      </c>
      <c r="B472" t="s">
        <v>1754</v>
      </c>
      <c r="C472">
        <v>42</v>
      </c>
      <c r="D472" t="s">
        <v>1783</v>
      </c>
      <c r="E472" t="s">
        <v>1789</v>
      </c>
      <c r="F472" t="s">
        <v>1795</v>
      </c>
      <c r="G472" s="5">
        <v>63157</v>
      </c>
      <c r="H472" t="s">
        <v>1801</v>
      </c>
      <c r="I472" t="s">
        <v>1808</v>
      </c>
      <c r="J472" s="2">
        <v>43131</v>
      </c>
      <c r="K472">
        <f t="shared" ca="1" si="14"/>
        <v>7</v>
      </c>
      <c r="L472">
        <f t="shared" ca="1" si="15"/>
        <v>10</v>
      </c>
      <c r="M472" t="s">
        <v>1810</v>
      </c>
      <c r="N472">
        <v>5</v>
      </c>
      <c r="O472" t="s">
        <v>1812</v>
      </c>
      <c r="P472" t="s">
        <v>1831</v>
      </c>
    </row>
    <row r="473" spans="1:16" x14ac:dyDescent="0.3">
      <c r="A473" t="s">
        <v>484</v>
      </c>
      <c r="B473" t="s">
        <v>1729</v>
      </c>
      <c r="C473">
        <v>48</v>
      </c>
      <c r="D473" t="s">
        <v>1783</v>
      </c>
      <c r="E473" t="s">
        <v>1786</v>
      </c>
      <c r="F473" t="s">
        <v>1794</v>
      </c>
      <c r="G473" s="5">
        <v>44173</v>
      </c>
      <c r="H473" t="s">
        <v>1804</v>
      </c>
      <c r="I473" t="s">
        <v>1807</v>
      </c>
      <c r="J473" s="2">
        <v>45541</v>
      </c>
      <c r="K473">
        <f t="shared" ca="1" si="14"/>
        <v>1</v>
      </c>
      <c r="L473">
        <f t="shared" ca="1" si="15"/>
        <v>3</v>
      </c>
      <c r="M473" t="s">
        <v>1809</v>
      </c>
      <c r="N473">
        <v>1</v>
      </c>
      <c r="O473" t="s">
        <v>1818</v>
      </c>
      <c r="P473" t="s">
        <v>1834</v>
      </c>
    </row>
    <row r="474" spans="1:16" x14ac:dyDescent="0.3">
      <c r="A474" t="s">
        <v>485</v>
      </c>
      <c r="B474" t="s">
        <v>1730</v>
      </c>
      <c r="C474">
        <v>29</v>
      </c>
      <c r="D474" t="s">
        <v>1784</v>
      </c>
      <c r="E474" t="s">
        <v>1792</v>
      </c>
      <c r="F474" t="s">
        <v>1794</v>
      </c>
      <c r="G474" s="5">
        <v>62993</v>
      </c>
      <c r="H474" t="s">
        <v>1801</v>
      </c>
      <c r="I474" t="s">
        <v>1808</v>
      </c>
      <c r="J474" s="2">
        <v>44281</v>
      </c>
      <c r="K474">
        <f t="shared" ca="1" si="14"/>
        <v>4</v>
      </c>
      <c r="L474">
        <f t="shared" ca="1" si="15"/>
        <v>8</v>
      </c>
      <c r="M474" t="s">
        <v>1810</v>
      </c>
      <c r="N474">
        <v>1</v>
      </c>
      <c r="O474" t="s">
        <v>1817</v>
      </c>
      <c r="P474" t="s">
        <v>1833</v>
      </c>
    </row>
    <row r="475" spans="1:16" x14ac:dyDescent="0.3">
      <c r="A475" t="s">
        <v>486</v>
      </c>
      <c r="B475" t="s">
        <v>1778</v>
      </c>
      <c r="C475">
        <v>54</v>
      </c>
      <c r="D475" t="s">
        <v>1783</v>
      </c>
      <c r="E475" t="s">
        <v>1786</v>
      </c>
      <c r="F475" t="s">
        <v>1795</v>
      </c>
      <c r="G475" s="5">
        <v>89620</v>
      </c>
      <c r="H475" t="s">
        <v>1804</v>
      </c>
      <c r="I475" t="s">
        <v>1806</v>
      </c>
      <c r="J475" s="2">
        <v>44416</v>
      </c>
      <c r="K475">
        <f t="shared" ca="1" si="14"/>
        <v>4</v>
      </c>
      <c r="L475">
        <f t="shared" ca="1" si="15"/>
        <v>4</v>
      </c>
      <c r="M475" t="s">
        <v>1809</v>
      </c>
      <c r="N475">
        <v>1</v>
      </c>
      <c r="O475" t="s">
        <v>1811</v>
      </c>
      <c r="P475" t="s">
        <v>1834</v>
      </c>
    </row>
    <row r="476" spans="1:16" x14ac:dyDescent="0.3">
      <c r="A476" t="s">
        <v>487</v>
      </c>
      <c r="B476" t="s">
        <v>1760</v>
      </c>
      <c r="C476">
        <v>53</v>
      </c>
      <c r="D476" t="s">
        <v>1783</v>
      </c>
      <c r="E476" t="s">
        <v>1788</v>
      </c>
      <c r="F476" t="s">
        <v>1797</v>
      </c>
      <c r="G476" s="5">
        <v>40324</v>
      </c>
      <c r="H476" t="s">
        <v>1804</v>
      </c>
      <c r="I476" t="s">
        <v>1807</v>
      </c>
      <c r="J476" s="2">
        <v>45670</v>
      </c>
      <c r="K476">
        <f t="shared" ca="1" si="14"/>
        <v>0</v>
      </c>
      <c r="L476">
        <f t="shared" ca="1" si="15"/>
        <v>10</v>
      </c>
      <c r="M476" t="s">
        <v>1810</v>
      </c>
      <c r="N476">
        <v>1</v>
      </c>
      <c r="O476" t="s">
        <v>1812</v>
      </c>
      <c r="P476" t="s">
        <v>1834</v>
      </c>
    </row>
    <row r="477" spans="1:16" x14ac:dyDescent="0.3">
      <c r="A477" t="s">
        <v>488</v>
      </c>
      <c r="B477" t="s">
        <v>1714</v>
      </c>
      <c r="C477">
        <v>44</v>
      </c>
      <c r="D477" t="s">
        <v>1785</v>
      </c>
      <c r="E477" t="s">
        <v>1788</v>
      </c>
      <c r="F477" t="s">
        <v>1799</v>
      </c>
      <c r="G477" s="5">
        <v>104898</v>
      </c>
      <c r="H477" t="s">
        <v>1804</v>
      </c>
      <c r="I477" t="s">
        <v>1807</v>
      </c>
      <c r="J477" s="2">
        <v>42516</v>
      </c>
      <c r="K477">
        <f t="shared" ca="1" si="14"/>
        <v>9</v>
      </c>
      <c r="L477">
        <f t="shared" ca="1" si="15"/>
        <v>6</v>
      </c>
      <c r="M477" t="s">
        <v>1810</v>
      </c>
      <c r="N477">
        <v>4</v>
      </c>
      <c r="O477" t="s">
        <v>1815</v>
      </c>
      <c r="P477" t="s">
        <v>1831</v>
      </c>
    </row>
    <row r="478" spans="1:16" x14ac:dyDescent="0.3">
      <c r="A478" t="s">
        <v>489</v>
      </c>
      <c r="B478" t="s">
        <v>1744</v>
      </c>
      <c r="C478">
        <v>26</v>
      </c>
      <c r="D478" t="s">
        <v>1784</v>
      </c>
      <c r="E478" t="s">
        <v>1790</v>
      </c>
      <c r="F478" t="s">
        <v>1795</v>
      </c>
      <c r="G478" s="5">
        <v>96263</v>
      </c>
      <c r="H478" t="s">
        <v>1801</v>
      </c>
      <c r="I478" t="s">
        <v>1807</v>
      </c>
      <c r="J478" s="2">
        <v>43252</v>
      </c>
      <c r="K478">
        <f t="shared" ca="1" si="14"/>
        <v>7</v>
      </c>
      <c r="L478">
        <f t="shared" ca="1" si="15"/>
        <v>6</v>
      </c>
      <c r="M478" t="s">
        <v>1810</v>
      </c>
      <c r="N478">
        <v>5</v>
      </c>
      <c r="O478" t="s">
        <v>1818</v>
      </c>
      <c r="P478" t="s">
        <v>1833</v>
      </c>
    </row>
    <row r="479" spans="1:16" x14ac:dyDescent="0.3">
      <c r="A479" t="s">
        <v>490</v>
      </c>
      <c r="B479" t="s">
        <v>1752</v>
      </c>
      <c r="C479">
        <v>53</v>
      </c>
      <c r="D479" t="s">
        <v>1784</v>
      </c>
      <c r="E479" t="s">
        <v>1789</v>
      </c>
      <c r="F479" t="s">
        <v>1800</v>
      </c>
      <c r="G479" s="5">
        <v>82216</v>
      </c>
      <c r="H479" t="s">
        <v>1802</v>
      </c>
      <c r="I479" t="s">
        <v>1807</v>
      </c>
      <c r="J479" s="2">
        <v>43858</v>
      </c>
      <c r="K479">
        <f t="shared" ca="1" si="14"/>
        <v>5</v>
      </c>
      <c r="L479">
        <f t="shared" ca="1" si="15"/>
        <v>10</v>
      </c>
      <c r="M479" t="s">
        <v>1810</v>
      </c>
      <c r="N479">
        <v>3</v>
      </c>
      <c r="O479" t="s">
        <v>1814</v>
      </c>
      <c r="P479" t="s">
        <v>1834</v>
      </c>
    </row>
    <row r="480" spans="1:16" x14ac:dyDescent="0.3">
      <c r="A480" t="s">
        <v>491</v>
      </c>
      <c r="B480" t="s">
        <v>1730</v>
      </c>
      <c r="C480">
        <v>37</v>
      </c>
      <c r="D480" t="s">
        <v>1783</v>
      </c>
      <c r="E480" t="s">
        <v>1788</v>
      </c>
      <c r="F480" t="s">
        <v>1799</v>
      </c>
      <c r="G480" s="5">
        <v>68747</v>
      </c>
      <c r="H480" t="s">
        <v>1801</v>
      </c>
      <c r="I480" t="s">
        <v>1806</v>
      </c>
      <c r="J480" s="2">
        <v>43585</v>
      </c>
      <c r="K480">
        <f t="shared" ca="1" si="14"/>
        <v>6</v>
      </c>
      <c r="L480">
        <f t="shared" ca="1" si="15"/>
        <v>7</v>
      </c>
      <c r="M480" t="s">
        <v>1809</v>
      </c>
      <c r="N480">
        <v>2</v>
      </c>
      <c r="O480" t="s">
        <v>1817</v>
      </c>
      <c r="P480" t="s">
        <v>1831</v>
      </c>
    </row>
    <row r="481" spans="1:16" x14ac:dyDescent="0.3">
      <c r="A481" t="s">
        <v>492</v>
      </c>
      <c r="B481" t="s">
        <v>1746</v>
      </c>
      <c r="C481">
        <v>28</v>
      </c>
      <c r="D481" t="s">
        <v>1783</v>
      </c>
      <c r="E481" t="s">
        <v>1787</v>
      </c>
      <c r="F481" t="s">
        <v>1794</v>
      </c>
      <c r="G481" s="5">
        <v>86251</v>
      </c>
      <c r="H481" t="s">
        <v>1805</v>
      </c>
      <c r="I481" t="s">
        <v>1806</v>
      </c>
      <c r="J481" s="2">
        <v>45249</v>
      </c>
      <c r="K481">
        <f t="shared" ca="1" si="14"/>
        <v>2</v>
      </c>
      <c r="L481">
        <f t="shared" ca="1" si="15"/>
        <v>0</v>
      </c>
      <c r="M481" t="s">
        <v>1809</v>
      </c>
      <c r="N481">
        <v>4</v>
      </c>
      <c r="O481" t="s">
        <v>1815</v>
      </c>
      <c r="P481" t="s">
        <v>1833</v>
      </c>
    </row>
    <row r="482" spans="1:16" x14ac:dyDescent="0.3">
      <c r="A482" t="s">
        <v>493</v>
      </c>
      <c r="B482" t="s">
        <v>1729</v>
      </c>
      <c r="C482">
        <v>47</v>
      </c>
      <c r="D482" t="s">
        <v>1784</v>
      </c>
      <c r="E482" t="s">
        <v>1789</v>
      </c>
      <c r="F482" t="s">
        <v>1795</v>
      </c>
      <c r="G482" s="5">
        <v>76873</v>
      </c>
      <c r="H482" t="s">
        <v>1802</v>
      </c>
      <c r="I482" t="s">
        <v>1807</v>
      </c>
      <c r="J482" s="2">
        <v>45110</v>
      </c>
      <c r="K482">
        <f t="shared" ca="1" si="14"/>
        <v>2</v>
      </c>
      <c r="L482">
        <f t="shared" ca="1" si="15"/>
        <v>5</v>
      </c>
      <c r="M482" t="s">
        <v>1809</v>
      </c>
      <c r="N482">
        <v>5</v>
      </c>
      <c r="O482" t="s">
        <v>1815</v>
      </c>
      <c r="P482" t="s">
        <v>1834</v>
      </c>
    </row>
    <row r="483" spans="1:16" x14ac:dyDescent="0.3">
      <c r="A483" t="s">
        <v>494</v>
      </c>
      <c r="B483" t="s">
        <v>1738</v>
      </c>
      <c r="C483">
        <v>53</v>
      </c>
      <c r="D483" t="s">
        <v>1783</v>
      </c>
      <c r="E483" t="s">
        <v>1787</v>
      </c>
      <c r="F483" t="s">
        <v>1798</v>
      </c>
      <c r="G483" s="5">
        <v>118931</v>
      </c>
      <c r="H483" t="s">
        <v>1805</v>
      </c>
      <c r="I483" t="s">
        <v>1807</v>
      </c>
      <c r="J483" s="2">
        <v>43738</v>
      </c>
      <c r="K483">
        <f t="shared" ca="1" si="14"/>
        <v>6</v>
      </c>
      <c r="L483">
        <f t="shared" ca="1" si="15"/>
        <v>2</v>
      </c>
      <c r="M483" t="s">
        <v>1809</v>
      </c>
      <c r="N483">
        <v>5</v>
      </c>
      <c r="O483" t="s">
        <v>1813</v>
      </c>
      <c r="P483" t="s">
        <v>1834</v>
      </c>
    </row>
    <row r="484" spans="1:16" x14ac:dyDescent="0.3">
      <c r="A484" t="s">
        <v>495</v>
      </c>
      <c r="B484" t="s">
        <v>1738</v>
      </c>
      <c r="C484">
        <v>29</v>
      </c>
      <c r="D484" t="s">
        <v>1785</v>
      </c>
      <c r="E484" t="s">
        <v>1792</v>
      </c>
      <c r="F484" t="s">
        <v>1796</v>
      </c>
      <c r="G484" s="5">
        <v>118327</v>
      </c>
      <c r="H484" t="s">
        <v>1803</v>
      </c>
      <c r="I484" t="s">
        <v>1808</v>
      </c>
      <c r="J484" s="2">
        <v>43680</v>
      </c>
      <c r="K484">
        <f t="shared" ca="1" si="14"/>
        <v>6</v>
      </c>
      <c r="L484">
        <f t="shared" ca="1" si="15"/>
        <v>4</v>
      </c>
      <c r="M484" t="s">
        <v>1810</v>
      </c>
      <c r="N484">
        <v>3</v>
      </c>
      <c r="O484" t="s">
        <v>1816</v>
      </c>
      <c r="P484" t="s">
        <v>1833</v>
      </c>
    </row>
    <row r="485" spans="1:16" x14ac:dyDescent="0.3">
      <c r="A485" t="s">
        <v>496</v>
      </c>
      <c r="B485" t="s">
        <v>1779</v>
      </c>
      <c r="C485">
        <v>28</v>
      </c>
      <c r="D485" t="s">
        <v>1783</v>
      </c>
      <c r="E485" t="s">
        <v>1792</v>
      </c>
      <c r="F485" t="s">
        <v>1795</v>
      </c>
      <c r="G485" s="5">
        <v>117935</v>
      </c>
      <c r="H485" t="s">
        <v>1805</v>
      </c>
      <c r="I485" t="s">
        <v>1808</v>
      </c>
      <c r="J485" s="2">
        <v>44918</v>
      </c>
      <c r="K485">
        <f t="shared" ca="1" si="14"/>
        <v>3</v>
      </c>
      <c r="L485">
        <f t="shared" ca="1" si="15"/>
        <v>11</v>
      </c>
      <c r="M485" t="s">
        <v>1809</v>
      </c>
      <c r="N485">
        <v>5</v>
      </c>
      <c r="O485" t="s">
        <v>1815</v>
      </c>
      <c r="P485" t="s">
        <v>1833</v>
      </c>
    </row>
    <row r="486" spans="1:16" x14ac:dyDescent="0.3">
      <c r="A486" t="s">
        <v>497</v>
      </c>
      <c r="B486" t="s">
        <v>1778</v>
      </c>
      <c r="C486">
        <v>21</v>
      </c>
      <c r="D486" t="s">
        <v>1784</v>
      </c>
      <c r="E486" t="s">
        <v>1793</v>
      </c>
      <c r="F486" t="s">
        <v>1799</v>
      </c>
      <c r="G486" s="5">
        <v>108196</v>
      </c>
      <c r="H486" t="s">
        <v>1803</v>
      </c>
      <c r="I486" t="s">
        <v>1807</v>
      </c>
      <c r="J486" s="2">
        <v>44495</v>
      </c>
      <c r="K486">
        <f t="shared" ca="1" si="14"/>
        <v>4</v>
      </c>
      <c r="L486">
        <f t="shared" ca="1" si="15"/>
        <v>1</v>
      </c>
      <c r="M486" t="s">
        <v>1810</v>
      </c>
      <c r="N486">
        <v>3</v>
      </c>
      <c r="O486" t="s">
        <v>1816</v>
      </c>
      <c r="P486" t="s">
        <v>1832</v>
      </c>
    </row>
    <row r="487" spans="1:16" x14ac:dyDescent="0.3">
      <c r="A487" t="s">
        <v>498</v>
      </c>
      <c r="B487" t="s">
        <v>1723</v>
      </c>
      <c r="C487">
        <v>50</v>
      </c>
      <c r="D487" t="s">
        <v>1783</v>
      </c>
      <c r="E487" t="s">
        <v>1791</v>
      </c>
      <c r="F487" t="s">
        <v>1798</v>
      </c>
      <c r="G487" s="5">
        <v>43330</v>
      </c>
      <c r="H487" t="s">
        <v>1801</v>
      </c>
      <c r="I487" t="s">
        <v>1808</v>
      </c>
      <c r="J487" s="2">
        <v>45569</v>
      </c>
      <c r="K487">
        <f t="shared" ca="1" si="14"/>
        <v>1</v>
      </c>
      <c r="L487">
        <f t="shared" ca="1" si="15"/>
        <v>2</v>
      </c>
      <c r="M487" t="s">
        <v>1809</v>
      </c>
      <c r="N487">
        <v>3</v>
      </c>
      <c r="O487" t="s">
        <v>1811</v>
      </c>
      <c r="P487" t="s">
        <v>1834</v>
      </c>
    </row>
    <row r="488" spans="1:16" x14ac:dyDescent="0.3">
      <c r="A488" t="s">
        <v>499</v>
      </c>
      <c r="B488" t="s">
        <v>1778</v>
      </c>
      <c r="C488">
        <v>32</v>
      </c>
      <c r="D488" t="s">
        <v>1783</v>
      </c>
      <c r="E488" t="s">
        <v>1793</v>
      </c>
      <c r="F488" t="s">
        <v>1800</v>
      </c>
      <c r="G488" s="5">
        <v>41209</v>
      </c>
      <c r="H488" t="s">
        <v>1805</v>
      </c>
      <c r="I488" t="s">
        <v>1808</v>
      </c>
      <c r="J488" s="2">
        <v>45255</v>
      </c>
      <c r="K488">
        <f t="shared" ca="1" si="14"/>
        <v>2</v>
      </c>
      <c r="L488">
        <f t="shared" ca="1" si="15"/>
        <v>0</v>
      </c>
      <c r="M488" t="s">
        <v>1810</v>
      </c>
      <c r="N488">
        <v>4</v>
      </c>
      <c r="O488" t="s">
        <v>1815</v>
      </c>
      <c r="P488" t="s">
        <v>1833</v>
      </c>
    </row>
    <row r="489" spans="1:16" x14ac:dyDescent="0.3">
      <c r="A489" t="s">
        <v>500</v>
      </c>
      <c r="B489" t="s">
        <v>1723</v>
      </c>
      <c r="C489">
        <v>22</v>
      </c>
      <c r="D489" t="s">
        <v>1785</v>
      </c>
      <c r="E489" t="s">
        <v>1787</v>
      </c>
      <c r="F489" t="s">
        <v>1796</v>
      </c>
      <c r="G489" s="5">
        <v>112398</v>
      </c>
      <c r="H489" t="s">
        <v>1803</v>
      </c>
      <c r="I489" t="s">
        <v>1806</v>
      </c>
      <c r="J489" s="2">
        <v>45479</v>
      </c>
      <c r="K489">
        <f t="shared" ca="1" si="14"/>
        <v>1</v>
      </c>
      <c r="L489">
        <f t="shared" ca="1" si="15"/>
        <v>5</v>
      </c>
      <c r="M489" t="s">
        <v>1809</v>
      </c>
      <c r="N489">
        <v>5</v>
      </c>
      <c r="O489" t="s">
        <v>1813</v>
      </c>
      <c r="P489" t="s">
        <v>1832</v>
      </c>
    </row>
    <row r="490" spans="1:16" x14ac:dyDescent="0.3">
      <c r="A490" t="s">
        <v>501</v>
      </c>
      <c r="B490" t="s">
        <v>1774</v>
      </c>
      <c r="C490">
        <v>22</v>
      </c>
      <c r="D490" t="s">
        <v>1783</v>
      </c>
      <c r="E490" t="s">
        <v>1787</v>
      </c>
      <c r="F490" t="s">
        <v>1797</v>
      </c>
      <c r="G490" s="5">
        <v>114360</v>
      </c>
      <c r="H490" t="s">
        <v>1805</v>
      </c>
      <c r="I490" t="s">
        <v>1808</v>
      </c>
      <c r="J490" s="2">
        <v>44552</v>
      </c>
      <c r="K490">
        <f t="shared" ca="1" si="14"/>
        <v>4</v>
      </c>
      <c r="L490">
        <f t="shared" ca="1" si="15"/>
        <v>11</v>
      </c>
      <c r="M490" t="s">
        <v>1809</v>
      </c>
      <c r="N490">
        <v>2</v>
      </c>
      <c r="O490" t="s">
        <v>1814</v>
      </c>
      <c r="P490" t="s">
        <v>1832</v>
      </c>
    </row>
    <row r="491" spans="1:16" x14ac:dyDescent="0.3">
      <c r="A491" t="s">
        <v>502</v>
      </c>
      <c r="B491" t="s">
        <v>1774</v>
      </c>
      <c r="C491">
        <v>39</v>
      </c>
      <c r="D491" t="s">
        <v>1784</v>
      </c>
      <c r="E491" t="s">
        <v>1790</v>
      </c>
      <c r="F491" t="s">
        <v>1800</v>
      </c>
      <c r="G491" s="5">
        <v>39821</v>
      </c>
      <c r="H491" t="s">
        <v>1804</v>
      </c>
      <c r="I491" t="s">
        <v>1806</v>
      </c>
      <c r="J491" s="2">
        <v>42661</v>
      </c>
      <c r="K491">
        <f t="shared" ca="1" si="14"/>
        <v>9</v>
      </c>
      <c r="L491">
        <f t="shared" ca="1" si="15"/>
        <v>1</v>
      </c>
      <c r="M491" t="s">
        <v>1809</v>
      </c>
      <c r="N491">
        <v>4</v>
      </c>
      <c r="O491" t="s">
        <v>1812</v>
      </c>
      <c r="P491" t="s">
        <v>1831</v>
      </c>
    </row>
    <row r="492" spans="1:16" x14ac:dyDescent="0.3">
      <c r="A492" t="s">
        <v>503</v>
      </c>
      <c r="B492" t="s">
        <v>1745</v>
      </c>
      <c r="C492">
        <v>52</v>
      </c>
      <c r="D492" t="s">
        <v>1783</v>
      </c>
      <c r="E492" t="s">
        <v>1791</v>
      </c>
      <c r="F492" t="s">
        <v>1794</v>
      </c>
      <c r="G492" s="5">
        <v>94735</v>
      </c>
      <c r="H492" t="s">
        <v>1805</v>
      </c>
      <c r="I492" t="s">
        <v>1807</v>
      </c>
      <c r="J492" s="2">
        <v>44048</v>
      </c>
      <c r="K492">
        <f t="shared" ca="1" si="14"/>
        <v>5</v>
      </c>
      <c r="L492">
        <f t="shared" ca="1" si="15"/>
        <v>4</v>
      </c>
      <c r="M492" t="s">
        <v>1810</v>
      </c>
      <c r="N492">
        <v>3</v>
      </c>
      <c r="O492" t="s">
        <v>1812</v>
      </c>
      <c r="P492" t="s">
        <v>1834</v>
      </c>
    </row>
    <row r="493" spans="1:16" x14ac:dyDescent="0.3">
      <c r="A493" t="s">
        <v>504</v>
      </c>
      <c r="B493" t="s">
        <v>1752</v>
      </c>
      <c r="C493">
        <v>49</v>
      </c>
      <c r="D493" t="s">
        <v>1785</v>
      </c>
      <c r="E493" t="s">
        <v>1786</v>
      </c>
      <c r="F493" t="s">
        <v>1797</v>
      </c>
      <c r="G493" s="5">
        <v>77596</v>
      </c>
      <c r="H493" t="s">
        <v>1804</v>
      </c>
      <c r="I493" t="s">
        <v>1808</v>
      </c>
      <c r="J493" s="2">
        <v>45271</v>
      </c>
      <c r="K493">
        <f t="shared" ca="1" si="14"/>
        <v>2</v>
      </c>
      <c r="L493">
        <f t="shared" ca="1" si="15"/>
        <v>11</v>
      </c>
      <c r="M493" t="s">
        <v>1809</v>
      </c>
      <c r="N493">
        <v>1</v>
      </c>
      <c r="O493" t="s">
        <v>1813</v>
      </c>
      <c r="P493" t="s">
        <v>1834</v>
      </c>
    </row>
    <row r="494" spans="1:16" x14ac:dyDescent="0.3">
      <c r="A494" t="s">
        <v>505</v>
      </c>
      <c r="B494" t="s">
        <v>1745</v>
      </c>
      <c r="C494">
        <v>48</v>
      </c>
      <c r="D494" t="s">
        <v>1785</v>
      </c>
      <c r="E494" t="s">
        <v>1789</v>
      </c>
      <c r="F494" t="s">
        <v>1795</v>
      </c>
      <c r="G494" s="5">
        <v>29181</v>
      </c>
      <c r="H494" t="s">
        <v>1803</v>
      </c>
      <c r="I494" t="s">
        <v>1806</v>
      </c>
      <c r="J494" s="2">
        <v>45678</v>
      </c>
      <c r="K494">
        <f t="shared" ca="1" si="14"/>
        <v>0</v>
      </c>
      <c r="L494">
        <f t="shared" ca="1" si="15"/>
        <v>10</v>
      </c>
      <c r="M494" t="s">
        <v>1809</v>
      </c>
      <c r="N494">
        <v>4</v>
      </c>
      <c r="O494" t="s">
        <v>1811</v>
      </c>
      <c r="P494" t="s">
        <v>1834</v>
      </c>
    </row>
    <row r="495" spans="1:16" x14ac:dyDescent="0.3">
      <c r="A495" t="s">
        <v>506</v>
      </c>
      <c r="B495" t="s">
        <v>1720</v>
      </c>
      <c r="C495">
        <v>30</v>
      </c>
      <c r="D495" t="s">
        <v>1784</v>
      </c>
      <c r="E495" t="s">
        <v>1791</v>
      </c>
      <c r="F495" t="s">
        <v>1799</v>
      </c>
      <c r="G495" s="5">
        <v>39249</v>
      </c>
      <c r="H495" t="s">
        <v>1802</v>
      </c>
      <c r="I495" t="s">
        <v>1807</v>
      </c>
      <c r="J495" s="2">
        <v>45588</v>
      </c>
      <c r="K495">
        <f t="shared" ca="1" si="14"/>
        <v>1</v>
      </c>
      <c r="L495">
        <f t="shared" ca="1" si="15"/>
        <v>1</v>
      </c>
      <c r="M495" t="s">
        <v>1809</v>
      </c>
      <c r="N495">
        <v>4</v>
      </c>
      <c r="O495" t="s">
        <v>1814</v>
      </c>
      <c r="P495" t="s">
        <v>1833</v>
      </c>
    </row>
    <row r="496" spans="1:16" x14ac:dyDescent="0.3">
      <c r="A496" t="s">
        <v>507</v>
      </c>
      <c r="B496" t="s">
        <v>1780</v>
      </c>
      <c r="C496">
        <v>48</v>
      </c>
      <c r="D496" t="s">
        <v>1784</v>
      </c>
      <c r="E496" t="s">
        <v>1791</v>
      </c>
      <c r="F496" t="s">
        <v>1798</v>
      </c>
      <c r="G496" s="5">
        <v>33408</v>
      </c>
      <c r="H496" t="s">
        <v>1802</v>
      </c>
      <c r="I496" t="s">
        <v>1807</v>
      </c>
      <c r="J496" s="2">
        <v>44988</v>
      </c>
      <c r="K496">
        <f t="shared" ca="1" si="14"/>
        <v>2</v>
      </c>
      <c r="L496">
        <f t="shared" ca="1" si="15"/>
        <v>9</v>
      </c>
      <c r="M496" t="s">
        <v>1810</v>
      </c>
      <c r="N496">
        <v>1</v>
      </c>
      <c r="O496" t="s">
        <v>1812</v>
      </c>
      <c r="P496" t="s">
        <v>1834</v>
      </c>
    </row>
    <row r="497" spans="1:16" x14ac:dyDescent="0.3">
      <c r="A497" t="s">
        <v>508</v>
      </c>
      <c r="B497" t="s">
        <v>1755</v>
      </c>
      <c r="C497">
        <v>51</v>
      </c>
      <c r="D497" t="s">
        <v>1785</v>
      </c>
      <c r="E497" t="s">
        <v>1792</v>
      </c>
      <c r="F497" t="s">
        <v>1800</v>
      </c>
      <c r="G497" s="5">
        <v>97689</v>
      </c>
      <c r="H497" t="s">
        <v>1802</v>
      </c>
      <c r="I497" t="s">
        <v>1807</v>
      </c>
      <c r="J497" s="2">
        <v>44849</v>
      </c>
      <c r="K497">
        <f t="shared" ca="1" si="14"/>
        <v>3</v>
      </c>
      <c r="L497">
        <f t="shared" ca="1" si="15"/>
        <v>1</v>
      </c>
      <c r="M497" t="s">
        <v>1810</v>
      </c>
      <c r="N497">
        <v>4</v>
      </c>
      <c r="O497" t="s">
        <v>1811</v>
      </c>
      <c r="P497" t="s">
        <v>1834</v>
      </c>
    </row>
    <row r="498" spans="1:16" x14ac:dyDescent="0.3">
      <c r="A498" t="s">
        <v>509</v>
      </c>
      <c r="B498" t="s">
        <v>1726</v>
      </c>
      <c r="C498">
        <v>58</v>
      </c>
      <c r="D498" t="s">
        <v>1785</v>
      </c>
      <c r="E498" t="s">
        <v>1792</v>
      </c>
      <c r="F498" t="s">
        <v>1795</v>
      </c>
      <c r="G498" s="5">
        <v>50075</v>
      </c>
      <c r="H498" t="s">
        <v>1804</v>
      </c>
      <c r="I498" t="s">
        <v>1806</v>
      </c>
      <c r="J498" s="2">
        <v>45012</v>
      </c>
      <c r="K498">
        <f t="shared" ca="1" si="14"/>
        <v>2</v>
      </c>
      <c r="L498">
        <f t="shared" ca="1" si="15"/>
        <v>8</v>
      </c>
      <c r="M498" t="s">
        <v>1809</v>
      </c>
      <c r="N498">
        <v>1</v>
      </c>
      <c r="O498" t="s">
        <v>1816</v>
      </c>
      <c r="P498" t="s">
        <v>1834</v>
      </c>
    </row>
    <row r="499" spans="1:16" x14ac:dyDescent="0.3">
      <c r="A499" t="s">
        <v>510</v>
      </c>
      <c r="B499" t="s">
        <v>1761</v>
      </c>
      <c r="C499">
        <v>42</v>
      </c>
      <c r="D499" t="s">
        <v>1783</v>
      </c>
      <c r="E499" t="s">
        <v>1791</v>
      </c>
      <c r="F499" t="s">
        <v>1794</v>
      </c>
      <c r="G499" s="5">
        <v>22250</v>
      </c>
      <c r="H499" t="s">
        <v>1805</v>
      </c>
      <c r="I499" t="s">
        <v>1806</v>
      </c>
      <c r="J499" s="2">
        <v>43660</v>
      </c>
      <c r="K499">
        <f t="shared" ca="1" si="14"/>
        <v>6</v>
      </c>
      <c r="L499">
        <f t="shared" ca="1" si="15"/>
        <v>4</v>
      </c>
      <c r="M499" t="s">
        <v>1810</v>
      </c>
      <c r="N499">
        <v>1</v>
      </c>
      <c r="O499" t="s">
        <v>1818</v>
      </c>
      <c r="P499" t="s">
        <v>1831</v>
      </c>
    </row>
    <row r="500" spans="1:16" x14ac:dyDescent="0.3">
      <c r="A500" t="s">
        <v>511</v>
      </c>
      <c r="B500" t="s">
        <v>1718</v>
      </c>
      <c r="C500">
        <v>31</v>
      </c>
      <c r="D500" t="s">
        <v>1783</v>
      </c>
      <c r="E500" t="s">
        <v>1788</v>
      </c>
      <c r="F500" t="s">
        <v>1794</v>
      </c>
      <c r="G500" s="5">
        <v>98096</v>
      </c>
      <c r="H500" t="s">
        <v>1805</v>
      </c>
      <c r="I500" t="s">
        <v>1806</v>
      </c>
      <c r="J500" s="2">
        <v>45662</v>
      </c>
      <c r="K500">
        <f t="shared" ca="1" si="14"/>
        <v>0</v>
      </c>
      <c r="L500">
        <f t="shared" ca="1" si="15"/>
        <v>11</v>
      </c>
      <c r="M500" t="s">
        <v>1809</v>
      </c>
      <c r="N500">
        <v>4</v>
      </c>
      <c r="O500" t="s">
        <v>1817</v>
      </c>
      <c r="P500" t="s">
        <v>1833</v>
      </c>
    </row>
    <row r="501" spans="1:16" x14ac:dyDescent="0.3">
      <c r="A501" t="s">
        <v>512</v>
      </c>
      <c r="B501" t="s">
        <v>1714</v>
      </c>
      <c r="C501">
        <v>39</v>
      </c>
      <c r="D501" t="s">
        <v>1784</v>
      </c>
      <c r="E501" t="s">
        <v>1789</v>
      </c>
      <c r="F501" t="s">
        <v>1799</v>
      </c>
      <c r="G501" s="5">
        <v>67668</v>
      </c>
      <c r="H501" t="s">
        <v>1801</v>
      </c>
      <c r="I501" t="s">
        <v>1808</v>
      </c>
      <c r="J501" s="2">
        <v>45892</v>
      </c>
      <c r="K501">
        <f t="shared" ca="1" si="14"/>
        <v>0</v>
      </c>
      <c r="L501">
        <f t="shared" ca="1" si="15"/>
        <v>3</v>
      </c>
      <c r="M501" t="s">
        <v>1809</v>
      </c>
      <c r="N501">
        <v>3</v>
      </c>
      <c r="O501" t="s">
        <v>1812</v>
      </c>
      <c r="P501" t="s">
        <v>1831</v>
      </c>
    </row>
    <row r="502" spans="1:16" x14ac:dyDescent="0.3">
      <c r="A502" t="s">
        <v>513</v>
      </c>
      <c r="B502" t="s">
        <v>1761</v>
      </c>
      <c r="C502">
        <v>37</v>
      </c>
      <c r="D502" t="s">
        <v>1784</v>
      </c>
      <c r="E502" t="s">
        <v>1787</v>
      </c>
      <c r="F502" t="s">
        <v>1798</v>
      </c>
      <c r="G502" s="5">
        <v>86766</v>
      </c>
      <c r="H502" t="s">
        <v>1802</v>
      </c>
      <c r="I502" t="s">
        <v>1806</v>
      </c>
      <c r="J502" s="2">
        <v>42676</v>
      </c>
      <c r="K502">
        <f t="shared" ca="1" si="14"/>
        <v>9</v>
      </c>
      <c r="L502">
        <f t="shared" ca="1" si="15"/>
        <v>1</v>
      </c>
      <c r="M502" t="s">
        <v>1809</v>
      </c>
      <c r="N502">
        <v>5</v>
      </c>
      <c r="O502" t="s">
        <v>1813</v>
      </c>
      <c r="P502" t="s">
        <v>1831</v>
      </c>
    </row>
    <row r="503" spans="1:16" x14ac:dyDescent="0.3">
      <c r="A503" t="s">
        <v>514</v>
      </c>
      <c r="B503" t="s">
        <v>1747</v>
      </c>
      <c r="C503">
        <v>58</v>
      </c>
      <c r="D503" t="s">
        <v>1785</v>
      </c>
      <c r="E503" t="s">
        <v>1788</v>
      </c>
      <c r="F503" t="s">
        <v>1795</v>
      </c>
      <c r="G503" s="5">
        <v>73974</v>
      </c>
      <c r="H503" t="s">
        <v>1804</v>
      </c>
      <c r="I503" t="s">
        <v>1808</v>
      </c>
      <c r="J503" s="2">
        <v>44590</v>
      </c>
      <c r="K503">
        <f t="shared" ca="1" si="14"/>
        <v>3</v>
      </c>
      <c r="L503">
        <f t="shared" ca="1" si="15"/>
        <v>10</v>
      </c>
      <c r="M503" t="s">
        <v>1810</v>
      </c>
      <c r="N503">
        <v>2</v>
      </c>
      <c r="O503" t="s">
        <v>1812</v>
      </c>
      <c r="P503" t="s">
        <v>1834</v>
      </c>
    </row>
    <row r="504" spans="1:16" x14ac:dyDescent="0.3">
      <c r="A504" t="s">
        <v>515</v>
      </c>
      <c r="B504" t="s">
        <v>1719</v>
      </c>
      <c r="C504">
        <v>51</v>
      </c>
      <c r="D504" t="s">
        <v>1784</v>
      </c>
      <c r="E504" t="s">
        <v>1791</v>
      </c>
      <c r="F504" t="s">
        <v>1798</v>
      </c>
      <c r="G504" s="5">
        <v>97876</v>
      </c>
      <c r="H504" t="s">
        <v>1804</v>
      </c>
      <c r="I504" t="s">
        <v>1807</v>
      </c>
      <c r="J504" s="2">
        <v>42444</v>
      </c>
      <c r="K504">
        <f t="shared" ca="1" si="14"/>
        <v>9</v>
      </c>
      <c r="L504">
        <f t="shared" ca="1" si="15"/>
        <v>8</v>
      </c>
      <c r="M504" t="s">
        <v>1809</v>
      </c>
      <c r="N504">
        <v>1</v>
      </c>
      <c r="O504" t="s">
        <v>1812</v>
      </c>
      <c r="P504" t="s">
        <v>1834</v>
      </c>
    </row>
    <row r="505" spans="1:16" x14ac:dyDescent="0.3">
      <c r="A505" t="s">
        <v>516</v>
      </c>
      <c r="B505" t="s">
        <v>1745</v>
      </c>
      <c r="C505">
        <v>33</v>
      </c>
      <c r="D505" t="s">
        <v>1785</v>
      </c>
      <c r="E505" t="s">
        <v>1787</v>
      </c>
      <c r="F505" t="s">
        <v>1797</v>
      </c>
      <c r="G505" s="5">
        <v>72269</v>
      </c>
      <c r="H505" t="s">
        <v>1804</v>
      </c>
      <c r="I505" t="s">
        <v>1808</v>
      </c>
      <c r="J505" s="2">
        <v>44733</v>
      </c>
      <c r="K505">
        <f t="shared" ca="1" si="14"/>
        <v>3</v>
      </c>
      <c r="L505">
        <f t="shared" ca="1" si="15"/>
        <v>5</v>
      </c>
      <c r="M505" t="s">
        <v>1809</v>
      </c>
      <c r="N505">
        <v>1</v>
      </c>
      <c r="O505" t="s">
        <v>1815</v>
      </c>
      <c r="P505" t="s">
        <v>1833</v>
      </c>
    </row>
    <row r="506" spans="1:16" x14ac:dyDescent="0.3">
      <c r="A506" t="s">
        <v>517</v>
      </c>
      <c r="B506" t="s">
        <v>1766</v>
      </c>
      <c r="C506">
        <v>24</v>
      </c>
      <c r="D506" t="s">
        <v>1784</v>
      </c>
      <c r="E506" t="s">
        <v>1788</v>
      </c>
      <c r="F506" t="s">
        <v>1795</v>
      </c>
      <c r="G506" s="5">
        <v>84412</v>
      </c>
      <c r="H506" t="s">
        <v>1804</v>
      </c>
      <c r="I506" t="s">
        <v>1807</v>
      </c>
      <c r="J506" s="2">
        <v>42904</v>
      </c>
      <c r="K506">
        <f t="shared" ca="1" si="14"/>
        <v>8</v>
      </c>
      <c r="L506">
        <f t="shared" ca="1" si="15"/>
        <v>5</v>
      </c>
      <c r="M506" t="s">
        <v>1810</v>
      </c>
      <c r="N506">
        <v>3</v>
      </c>
      <c r="O506" t="s">
        <v>1811</v>
      </c>
      <c r="P506" t="s">
        <v>1832</v>
      </c>
    </row>
    <row r="507" spans="1:16" x14ac:dyDescent="0.3">
      <c r="A507" t="s">
        <v>518</v>
      </c>
      <c r="B507" t="s">
        <v>1759</v>
      </c>
      <c r="C507">
        <v>21</v>
      </c>
      <c r="D507" t="s">
        <v>1783</v>
      </c>
      <c r="E507" t="s">
        <v>1786</v>
      </c>
      <c r="F507" t="s">
        <v>1799</v>
      </c>
      <c r="G507" s="5">
        <v>61321</v>
      </c>
      <c r="H507" t="s">
        <v>1804</v>
      </c>
      <c r="I507" t="s">
        <v>1806</v>
      </c>
      <c r="J507" s="2">
        <v>44400</v>
      </c>
      <c r="K507">
        <f t="shared" ca="1" si="14"/>
        <v>4</v>
      </c>
      <c r="L507">
        <f t="shared" ca="1" si="15"/>
        <v>4</v>
      </c>
      <c r="M507" t="s">
        <v>1810</v>
      </c>
      <c r="N507">
        <v>1</v>
      </c>
      <c r="O507" t="s">
        <v>1816</v>
      </c>
      <c r="P507" t="s">
        <v>1832</v>
      </c>
    </row>
    <row r="508" spans="1:16" x14ac:dyDescent="0.3">
      <c r="A508" t="s">
        <v>519</v>
      </c>
      <c r="B508" t="s">
        <v>1721</v>
      </c>
      <c r="C508">
        <v>49</v>
      </c>
      <c r="D508" t="s">
        <v>1785</v>
      </c>
      <c r="E508" t="s">
        <v>1789</v>
      </c>
      <c r="F508" t="s">
        <v>1799</v>
      </c>
      <c r="G508" s="5">
        <v>78616</v>
      </c>
      <c r="H508" t="s">
        <v>1803</v>
      </c>
      <c r="I508" t="s">
        <v>1806</v>
      </c>
      <c r="J508" s="2">
        <v>42667</v>
      </c>
      <c r="K508">
        <f t="shared" ca="1" si="14"/>
        <v>9</v>
      </c>
      <c r="L508">
        <f t="shared" ca="1" si="15"/>
        <v>1</v>
      </c>
      <c r="M508" t="s">
        <v>1810</v>
      </c>
      <c r="N508">
        <v>5</v>
      </c>
      <c r="O508" t="s">
        <v>1817</v>
      </c>
      <c r="P508" t="s">
        <v>1834</v>
      </c>
    </row>
    <row r="509" spans="1:16" x14ac:dyDescent="0.3">
      <c r="A509" t="s">
        <v>520</v>
      </c>
      <c r="B509" t="s">
        <v>1771</v>
      </c>
      <c r="C509">
        <v>21</v>
      </c>
      <c r="D509" t="s">
        <v>1783</v>
      </c>
      <c r="E509" t="s">
        <v>1789</v>
      </c>
      <c r="F509" t="s">
        <v>1797</v>
      </c>
      <c r="G509" s="5">
        <v>64346</v>
      </c>
      <c r="H509" t="s">
        <v>1802</v>
      </c>
      <c r="I509" t="s">
        <v>1808</v>
      </c>
      <c r="J509" s="2">
        <v>45881</v>
      </c>
      <c r="K509">
        <f t="shared" ca="1" si="14"/>
        <v>0</v>
      </c>
      <c r="L509">
        <f t="shared" ca="1" si="15"/>
        <v>3</v>
      </c>
      <c r="M509" t="s">
        <v>1809</v>
      </c>
      <c r="N509">
        <v>3</v>
      </c>
      <c r="O509" t="s">
        <v>1811</v>
      </c>
      <c r="P509" t="s">
        <v>1832</v>
      </c>
    </row>
    <row r="510" spans="1:16" x14ac:dyDescent="0.3">
      <c r="A510" t="s">
        <v>521</v>
      </c>
      <c r="B510" t="s">
        <v>1727</v>
      </c>
      <c r="C510">
        <v>30</v>
      </c>
      <c r="D510" t="s">
        <v>1785</v>
      </c>
      <c r="E510" t="s">
        <v>1787</v>
      </c>
      <c r="F510" t="s">
        <v>1795</v>
      </c>
      <c r="G510" s="5">
        <v>42560</v>
      </c>
      <c r="H510" t="s">
        <v>1801</v>
      </c>
      <c r="I510" t="s">
        <v>1808</v>
      </c>
      <c r="J510" s="2">
        <v>45326</v>
      </c>
      <c r="K510">
        <f t="shared" ca="1" si="14"/>
        <v>1</v>
      </c>
      <c r="L510">
        <f t="shared" ca="1" si="15"/>
        <v>10</v>
      </c>
      <c r="M510" t="s">
        <v>1810</v>
      </c>
      <c r="N510">
        <v>1</v>
      </c>
      <c r="O510" t="s">
        <v>1814</v>
      </c>
      <c r="P510" t="s">
        <v>1833</v>
      </c>
    </row>
    <row r="511" spans="1:16" x14ac:dyDescent="0.3">
      <c r="A511" t="s">
        <v>522</v>
      </c>
      <c r="B511" t="s">
        <v>1716</v>
      </c>
      <c r="C511">
        <v>51</v>
      </c>
      <c r="D511" t="s">
        <v>1783</v>
      </c>
      <c r="E511" t="s">
        <v>1789</v>
      </c>
      <c r="F511" t="s">
        <v>1799</v>
      </c>
      <c r="G511" s="5">
        <v>77232</v>
      </c>
      <c r="H511" t="s">
        <v>1804</v>
      </c>
      <c r="I511" t="s">
        <v>1807</v>
      </c>
      <c r="J511" s="2">
        <v>44588</v>
      </c>
      <c r="K511">
        <f t="shared" ca="1" si="14"/>
        <v>3</v>
      </c>
      <c r="L511">
        <f t="shared" ca="1" si="15"/>
        <v>10</v>
      </c>
      <c r="M511" t="s">
        <v>1810</v>
      </c>
      <c r="N511">
        <v>2</v>
      </c>
      <c r="O511" t="s">
        <v>1813</v>
      </c>
      <c r="P511" t="s">
        <v>1834</v>
      </c>
    </row>
    <row r="512" spans="1:16" x14ac:dyDescent="0.3">
      <c r="A512" t="s">
        <v>523</v>
      </c>
      <c r="B512" t="s">
        <v>1741</v>
      </c>
      <c r="C512">
        <v>22</v>
      </c>
      <c r="D512" t="s">
        <v>1783</v>
      </c>
      <c r="E512" t="s">
        <v>1793</v>
      </c>
      <c r="F512" t="s">
        <v>1795</v>
      </c>
      <c r="G512" s="5">
        <v>76166</v>
      </c>
      <c r="H512" t="s">
        <v>1801</v>
      </c>
      <c r="I512" t="s">
        <v>1808</v>
      </c>
      <c r="J512" s="2">
        <v>44486</v>
      </c>
      <c r="K512">
        <f t="shared" ca="1" si="14"/>
        <v>4</v>
      </c>
      <c r="L512">
        <f t="shared" ca="1" si="15"/>
        <v>1</v>
      </c>
      <c r="M512" t="s">
        <v>1809</v>
      </c>
      <c r="N512">
        <v>2</v>
      </c>
      <c r="O512" t="s">
        <v>1817</v>
      </c>
      <c r="P512" t="s">
        <v>1832</v>
      </c>
    </row>
    <row r="513" spans="1:16" x14ac:dyDescent="0.3">
      <c r="A513" t="s">
        <v>524</v>
      </c>
      <c r="B513" t="s">
        <v>1747</v>
      </c>
      <c r="C513">
        <v>53</v>
      </c>
      <c r="D513" t="s">
        <v>1784</v>
      </c>
      <c r="E513" t="s">
        <v>1789</v>
      </c>
      <c r="F513" t="s">
        <v>1799</v>
      </c>
      <c r="G513" s="5">
        <v>36781</v>
      </c>
      <c r="H513" t="s">
        <v>1801</v>
      </c>
      <c r="I513" t="s">
        <v>1806</v>
      </c>
      <c r="J513" s="2">
        <v>45209</v>
      </c>
      <c r="K513">
        <f t="shared" ca="1" si="14"/>
        <v>2</v>
      </c>
      <c r="L513">
        <f t="shared" ca="1" si="15"/>
        <v>2</v>
      </c>
      <c r="M513" t="s">
        <v>1809</v>
      </c>
      <c r="N513">
        <v>2</v>
      </c>
      <c r="O513" t="s">
        <v>1818</v>
      </c>
      <c r="P513" t="s">
        <v>1834</v>
      </c>
    </row>
    <row r="514" spans="1:16" x14ac:dyDescent="0.3">
      <c r="A514" t="s">
        <v>525</v>
      </c>
      <c r="B514" t="s">
        <v>1774</v>
      </c>
      <c r="C514">
        <v>53</v>
      </c>
      <c r="D514" t="s">
        <v>1783</v>
      </c>
      <c r="E514" t="s">
        <v>1792</v>
      </c>
      <c r="F514" t="s">
        <v>1797</v>
      </c>
      <c r="G514" s="5">
        <v>58760</v>
      </c>
      <c r="H514" t="s">
        <v>1805</v>
      </c>
      <c r="I514" t="s">
        <v>1807</v>
      </c>
      <c r="J514" s="2">
        <v>43803</v>
      </c>
      <c r="K514">
        <f t="shared" ca="1" si="14"/>
        <v>6</v>
      </c>
      <c r="L514">
        <f t="shared" ca="1" si="15"/>
        <v>0</v>
      </c>
      <c r="M514" t="s">
        <v>1810</v>
      </c>
      <c r="N514">
        <v>1</v>
      </c>
      <c r="O514" t="s">
        <v>1813</v>
      </c>
      <c r="P514" t="s">
        <v>1834</v>
      </c>
    </row>
    <row r="515" spans="1:16" x14ac:dyDescent="0.3">
      <c r="A515" t="s">
        <v>526</v>
      </c>
      <c r="B515" t="s">
        <v>1727</v>
      </c>
      <c r="C515">
        <v>39</v>
      </c>
      <c r="D515" t="s">
        <v>1783</v>
      </c>
      <c r="E515" t="s">
        <v>1788</v>
      </c>
      <c r="F515" t="s">
        <v>1798</v>
      </c>
      <c r="G515" s="5">
        <v>101735</v>
      </c>
      <c r="H515" t="s">
        <v>1804</v>
      </c>
      <c r="I515" t="s">
        <v>1807</v>
      </c>
      <c r="J515" s="2">
        <v>43226</v>
      </c>
      <c r="K515">
        <f t="shared" ref="K515:K578" ca="1" si="16">YEAR(TODAY()) - YEAR(J515)</f>
        <v>7</v>
      </c>
      <c r="L515">
        <f t="shared" ref="L515:L578" ca="1" si="17">DATEDIF(J515,TODAY(),"YM")</f>
        <v>7</v>
      </c>
      <c r="M515" t="s">
        <v>1810</v>
      </c>
      <c r="N515">
        <v>3</v>
      </c>
      <c r="O515" t="s">
        <v>1817</v>
      </c>
      <c r="P515" t="s">
        <v>1831</v>
      </c>
    </row>
    <row r="516" spans="1:16" x14ac:dyDescent="0.3">
      <c r="A516" t="s">
        <v>527</v>
      </c>
      <c r="B516" t="s">
        <v>1747</v>
      </c>
      <c r="C516">
        <v>27</v>
      </c>
      <c r="D516" t="s">
        <v>1784</v>
      </c>
      <c r="E516" t="s">
        <v>1791</v>
      </c>
      <c r="F516" t="s">
        <v>1796</v>
      </c>
      <c r="G516" s="5">
        <v>38643</v>
      </c>
      <c r="H516" t="s">
        <v>1801</v>
      </c>
      <c r="I516" t="s">
        <v>1807</v>
      </c>
      <c r="J516" s="2">
        <v>44989</v>
      </c>
      <c r="K516">
        <f t="shared" ca="1" si="16"/>
        <v>2</v>
      </c>
      <c r="L516">
        <f t="shared" ca="1" si="17"/>
        <v>9</v>
      </c>
      <c r="M516" t="s">
        <v>1809</v>
      </c>
      <c r="N516">
        <v>2</v>
      </c>
      <c r="O516" t="s">
        <v>1817</v>
      </c>
      <c r="P516" t="s">
        <v>1833</v>
      </c>
    </row>
    <row r="517" spans="1:16" x14ac:dyDescent="0.3">
      <c r="A517" t="s">
        <v>528</v>
      </c>
      <c r="B517" t="s">
        <v>1739</v>
      </c>
      <c r="C517">
        <v>37</v>
      </c>
      <c r="D517" t="s">
        <v>1783</v>
      </c>
      <c r="E517" t="s">
        <v>1788</v>
      </c>
      <c r="F517" t="s">
        <v>1798</v>
      </c>
      <c r="G517" s="5">
        <v>93246</v>
      </c>
      <c r="H517" t="s">
        <v>1802</v>
      </c>
      <c r="I517" t="s">
        <v>1807</v>
      </c>
      <c r="J517" s="2">
        <v>43713</v>
      </c>
      <c r="K517">
        <f t="shared" ca="1" si="16"/>
        <v>6</v>
      </c>
      <c r="L517">
        <f t="shared" ca="1" si="17"/>
        <v>3</v>
      </c>
      <c r="M517" t="s">
        <v>1810</v>
      </c>
      <c r="N517">
        <v>5</v>
      </c>
      <c r="O517" t="s">
        <v>1812</v>
      </c>
      <c r="P517" t="s">
        <v>1831</v>
      </c>
    </row>
    <row r="518" spans="1:16" x14ac:dyDescent="0.3">
      <c r="A518" t="s">
        <v>529</v>
      </c>
      <c r="B518" t="s">
        <v>1752</v>
      </c>
      <c r="C518">
        <v>21</v>
      </c>
      <c r="D518" t="s">
        <v>1784</v>
      </c>
      <c r="E518" t="s">
        <v>1792</v>
      </c>
      <c r="F518" t="s">
        <v>1800</v>
      </c>
      <c r="G518" s="5">
        <v>31884</v>
      </c>
      <c r="H518" t="s">
        <v>1801</v>
      </c>
      <c r="I518" t="s">
        <v>1807</v>
      </c>
      <c r="J518" s="2">
        <v>44184</v>
      </c>
      <c r="K518">
        <f t="shared" ca="1" si="16"/>
        <v>5</v>
      </c>
      <c r="L518">
        <f t="shared" ca="1" si="17"/>
        <v>11</v>
      </c>
      <c r="M518" t="s">
        <v>1810</v>
      </c>
      <c r="N518">
        <v>2</v>
      </c>
      <c r="O518" t="s">
        <v>1812</v>
      </c>
      <c r="P518" t="s">
        <v>1832</v>
      </c>
    </row>
    <row r="519" spans="1:16" x14ac:dyDescent="0.3">
      <c r="A519" t="s">
        <v>530</v>
      </c>
      <c r="B519" t="s">
        <v>1715</v>
      </c>
      <c r="C519">
        <v>39</v>
      </c>
      <c r="D519" t="s">
        <v>1784</v>
      </c>
      <c r="E519" t="s">
        <v>1786</v>
      </c>
      <c r="F519" t="s">
        <v>1799</v>
      </c>
      <c r="G519" s="5">
        <v>111441</v>
      </c>
      <c r="H519" t="s">
        <v>1805</v>
      </c>
      <c r="I519" t="s">
        <v>1807</v>
      </c>
      <c r="J519" s="2">
        <v>45533</v>
      </c>
      <c r="K519">
        <f t="shared" ca="1" si="16"/>
        <v>1</v>
      </c>
      <c r="L519">
        <f t="shared" ca="1" si="17"/>
        <v>3</v>
      </c>
      <c r="M519" t="s">
        <v>1810</v>
      </c>
      <c r="N519">
        <v>5</v>
      </c>
      <c r="O519" t="s">
        <v>1816</v>
      </c>
      <c r="P519" t="s">
        <v>1831</v>
      </c>
    </row>
    <row r="520" spans="1:16" x14ac:dyDescent="0.3">
      <c r="A520" t="s">
        <v>531</v>
      </c>
      <c r="B520" t="s">
        <v>1765</v>
      </c>
      <c r="C520">
        <v>49</v>
      </c>
      <c r="D520" t="s">
        <v>1783</v>
      </c>
      <c r="E520" t="s">
        <v>1790</v>
      </c>
      <c r="F520" t="s">
        <v>1794</v>
      </c>
      <c r="G520" s="5">
        <v>58683</v>
      </c>
      <c r="H520" t="s">
        <v>1803</v>
      </c>
      <c r="I520" t="s">
        <v>1808</v>
      </c>
      <c r="J520" s="2">
        <v>43387</v>
      </c>
      <c r="K520">
        <f t="shared" ca="1" si="16"/>
        <v>7</v>
      </c>
      <c r="L520">
        <f t="shared" ca="1" si="17"/>
        <v>1</v>
      </c>
      <c r="M520" t="s">
        <v>1809</v>
      </c>
      <c r="N520">
        <v>2</v>
      </c>
      <c r="O520" t="s">
        <v>1814</v>
      </c>
      <c r="P520" t="s">
        <v>1834</v>
      </c>
    </row>
    <row r="521" spans="1:16" x14ac:dyDescent="0.3">
      <c r="A521" t="s">
        <v>532</v>
      </c>
      <c r="B521" t="s">
        <v>1731</v>
      </c>
      <c r="C521">
        <v>31</v>
      </c>
      <c r="D521" t="s">
        <v>1785</v>
      </c>
      <c r="E521" t="s">
        <v>1789</v>
      </c>
      <c r="F521" t="s">
        <v>1800</v>
      </c>
      <c r="G521" s="5">
        <v>60567</v>
      </c>
      <c r="H521" t="s">
        <v>1803</v>
      </c>
      <c r="I521" t="s">
        <v>1807</v>
      </c>
      <c r="J521" s="2">
        <v>42705</v>
      </c>
      <c r="K521">
        <f t="shared" ca="1" si="16"/>
        <v>9</v>
      </c>
      <c r="L521">
        <f t="shared" ca="1" si="17"/>
        <v>0</v>
      </c>
      <c r="M521" t="s">
        <v>1810</v>
      </c>
      <c r="N521">
        <v>1</v>
      </c>
      <c r="O521" t="s">
        <v>1817</v>
      </c>
      <c r="P521" t="s">
        <v>1833</v>
      </c>
    </row>
    <row r="522" spans="1:16" x14ac:dyDescent="0.3">
      <c r="A522" t="s">
        <v>533</v>
      </c>
      <c r="B522" t="s">
        <v>1774</v>
      </c>
      <c r="C522">
        <v>30</v>
      </c>
      <c r="D522" t="s">
        <v>1784</v>
      </c>
      <c r="E522" t="s">
        <v>1789</v>
      </c>
      <c r="F522" t="s">
        <v>1795</v>
      </c>
      <c r="G522" s="5">
        <v>97225</v>
      </c>
      <c r="H522" t="s">
        <v>1802</v>
      </c>
      <c r="I522" t="s">
        <v>1806</v>
      </c>
      <c r="J522" s="2">
        <v>42859</v>
      </c>
      <c r="K522">
        <f t="shared" ca="1" si="16"/>
        <v>8</v>
      </c>
      <c r="L522">
        <f t="shared" ca="1" si="17"/>
        <v>7</v>
      </c>
      <c r="M522" t="s">
        <v>1810</v>
      </c>
      <c r="N522">
        <v>1</v>
      </c>
      <c r="O522" t="s">
        <v>1817</v>
      </c>
      <c r="P522" t="s">
        <v>1833</v>
      </c>
    </row>
    <row r="523" spans="1:16" x14ac:dyDescent="0.3">
      <c r="A523" t="s">
        <v>534</v>
      </c>
      <c r="B523" t="s">
        <v>1719</v>
      </c>
      <c r="C523">
        <v>24</v>
      </c>
      <c r="D523" t="s">
        <v>1784</v>
      </c>
      <c r="E523" t="s">
        <v>1790</v>
      </c>
      <c r="F523" t="s">
        <v>1795</v>
      </c>
      <c r="G523" s="5">
        <v>70535</v>
      </c>
      <c r="H523" t="s">
        <v>1803</v>
      </c>
      <c r="I523" t="s">
        <v>1807</v>
      </c>
      <c r="J523" s="2">
        <v>44981</v>
      </c>
      <c r="K523">
        <f t="shared" ca="1" si="16"/>
        <v>2</v>
      </c>
      <c r="L523">
        <f t="shared" ca="1" si="17"/>
        <v>9</v>
      </c>
      <c r="M523" t="s">
        <v>1809</v>
      </c>
      <c r="N523">
        <v>5</v>
      </c>
      <c r="O523" t="s">
        <v>1816</v>
      </c>
      <c r="P523" t="s">
        <v>1832</v>
      </c>
    </row>
    <row r="524" spans="1:16" x14ac:dyDescent="0.3">
      <c r="A524" t="s">
        <v>535</v>
      </c>
      <c r="B524" t="s">
        <v>1774</v>
      </c>
      <c r="C524">
        <v>24</v>
      </c>
      <c r="D524" t="s">
        <v>1784</v>
      </c>
      <c r="E524" t="s">
        <v>1786</v>
      </c>
      <c r="F524" t="s">
        <v>1795</v>
      </c>
      <c r="G524" s="5">
        <v>108971</v>
      </c>
      <c r="H524" t="s">
        <v>1803</v>
      </c>
      <c r="I524" t="s">
        <v>1808</v>
      </c>
      <c r="J524" s="2">
        <v>44761</v>
      </c>
      <c r="K524">
        <f t="shared" ca="1" si="16"/>
        <v>3</v>
      </c>
      <c r="L524">
        <f t="shared" ca="1" si="17"/>
        <v>4</v>
      </c>
      <c r="M524" t="s">
        <v>1810</v>
      </c>
      <c r="N524">
        <v>5</v>
      </c>
      <c r="O524" t="s">
        <v>1815</v>
      </c>
      <c r="P524" t="s">
        <v>1832</v>
      </c>
    </row>
    <row r="525" spans="1:16" x14ac:dyDescent="0.3">
      <c r="A525" t="s">
        <v>536</v>
      </c>
      <c r="B525" t="s">
        <v>1749</v>
      </c>
      <c r="C525">
        <v>24</v>
      </c>
      <c r="D525" t="s">
        <v>1785</v>
      </c>
      <c r="E525" t="s">
        <v>1790</v>
      </c>
      <c r="F525" t="s">
        <v>1795</v>
      </c>
      <c r="G525" s="5">
        <v>32984</v>
      </c>
      <c r="H525" t="s">
        <v>1805</v>
      </c>
      <c r="I525" t="s">
        <v>1808</v>
      </c>
      <c r="J525" s="2">
        <v>43770</v>
      </c>
      <c r="K525">
        <f t="shared" ca="1" si="16"/>
        <v>6</v>
      </c>
      <c r="L525">
        <f t="shared" ca="1" si="17"/>
        <v>1</v>
      </c>
      <c r="M525" t="s">
        <v>1809</v>
      </c>
      <c r="N525">
        <v>4</v>
      </c>
      <c r="O525" t="s">
        <v>1816</v>
      </c>
      <c r="P525" t="s">
        <v>1832</v>
      </c>
    </row>
    <row r="526" spans="1:16" x14ac:dyDescent="0.3">
      <c r="A526" t="s">
        <v>537</v>
      </c>
      <c r="B526" t="s">
        <v>1728</v>
      </c>
      <c r="C526">
        <v>24</v>
      </c>
      <c r="D526" t="s">
        <v>1785</v>
      </c>
      <c r="E526" t="s">
        <v>1793</v>
      </c>
      <c r="F526" t="s">
        <v>1799</v>
      </c>
      <c r="G526" s="5">
        <v>107850</v>
      </c>
      <c r="H526" t="s">
        <v>1805</v>
      </c>
      <c r="I526" t="s">
        <v>1808</v>
      </c>
      <c r="J526" s="2">
        <v>43779</v>
      </c>
      <c r="K526">
        <f t="shared" ca="1" si="16"/>
        <v>6</v>
      </c>
      <c r="L526">
        <f t="shared" ca="1" si="17"/>
        <v>1</v>
      </c>
      <c r="M526" t="s">
        <v>1810</v>
      </c>
      <c r="N526">
        <v>1</v>
      </c>
      <c r="O526" t="s">
        <v>1813</v>
      </c>
      <c r="P526" t="s">
        <v>1832</v>
      </c>
    </row>
    <row r="527" spans="1:16" x14ac:dyDescent="0.3">
      <c r="A527" t="s">
        <v>538</v>
      </c>
      <c r="B527" t="s">
        <v>1742</v>
      </c>
      <c r="C527">
        <v>28</v>
      </c>
      <c r="D527" t="s">
        <v>1785</v>
      </c>
      <c r="E527" t="s">
        <v>1792</v>
      </c>
      <c r="F527" t="s">
        <v>1798</v>
      </c>
      <c r="G527" s="5">
        <v>117231</v>
      </c>
      <c r="H527" t="s">
        <v>1802</v>
      </c>
      <c r="I527" t="s">
        <v>1808</v>
      </c>
      <c r="J527" s="2">
        <v>44614</v>
      </c>
      <c r="K527">
        <f t="shared" ca="1" si="16"/>
        <v>3</v>
      </c>
      <c r="L527">
        <f t="shared" ca="1" si="17"/>
        <v>9</v>
      </c>
      <c r="M527" t="s">
        <v>1810</v>
      </c>
      <c r="N527">
        <v>4</v>
      </c>
      <c r="O527" t="s">
        <v>1812</v>
      </c>
      <c r="P527" t="s">
        <v>1833</v>
      </c>
    </row>
    <row r="528" spans="1:16" x14ac:dyDescent="0.3">
      <c r="A528" t="s">
        <v>539</v>
      </c>
      <c r="B528" t="s">
        <v>1732</v>
      </c>
      <c r="C528">
        <v>40</v>
      </c>
      <c r="D528" t="s">
        <v>1784</v>
      </c>
      <c r="E528" t="s">
        <v>1788</v>
      </c>
      <c r="F528" t="s">
        <v>1794</v>
      </c>
      <c r="G528" s="5">
        <v>74980</v>
      </c>
      <c r="H528" t="s">
        <v>1804</v>
      </c>
      <c r="I528" t="s">
        <v>1807</v>
      </c>
      <c r="J528" s="2">
        <v>44824</v>
      </c>
      <c r="K528">
        <f t="shared" ca="1" si="16"/>
        <v>3</v>
      </c>
      <c r="L528">
        <f t="shared" ca="1" si="17"/>
        <v>2</v>
      </c>
      <c r="M528" t="s">
        <v>1809</v>
      </c>
      <c r="N528">
        <v>5</v>
      </c>
      <c r="O528" t="s">
        <v>1811</v>
      </c>
      <c r="P528" t="s">
        <v>1831</v>
      </c>
    </row>
    <row r="529" spans="1:16" x14ac:dyDescent="0.3">
      <c r="A529" t="s">
        <v>540</v>
      </c>
      <c r="B529" t="s">
        <v>1751</v>
      </c>
      <c r="C529">
        <v>38</v>
      </c>
      <c r="D529" t="s">
        <v>1783</v>
      </c>
      <c r="E529" t="s">
        <v>1789</v>
      </c>
      <c r="F529" t="s">
        <v>1797</v>
      </c>
      <c r="G529" s="5">
        <v>89943</v>
      </c>
      <c r="H529" t="s">
        <v>1801</v>
      </c>
      <c r="I529" t="s">
        <v>1806</v>
      </c>
      <c r="J529" s="2">
        <v>44731</v>
      </c>
      <c r="K529">
        <f t="shared" ca="1" si="16"/>
        <v>3</v>
      </c>
      <c r="L529">
        <f t="shared" ca="1" si="17"/>
        <v>5</v>
      </c>
      <c r="M529" t="s">
        <v>1810</v>
      </c>
      <c r="N529">
        <v>1</v>
      </c>
      <c r="O529" t="s">
        <v>1814</v>
      </c>
      <c r="P529" t="s">
        <v>1831</v>
      </c>
    </row>
    <row r="530" spans="1:16" x14ac:dyDescent="0.3">
      <c r="A530" t="s">
        <v>541</v>
      </c>
      <c r="B530" t="s">
        <v>1752</v>
      </c>
      <c r="C530">
        <v>47</v>
      </c>
      <c r="D530" t="s">
        <v>1785</v>
      </c>
      <c r="E530" t="s">
        <v>1787</v>
      </c>
      <c r="F530" t="s">
        <v>1796</v>
      </c>
      <c r="G530" s="5">
        <v>99948</v>
      </c>
      <c r="H530" t="s">
        <v>1803</v>
      </c>
      <c r="I530" t="s">
        <v>1808</v>
      </c>
      <c r="J530" s="2">
        <v>44000</v>
      </c>
      <c r="K530">
        <f t="shared" ca="1" si="16"/>
        <v>5</v>
      </c>
      <c r="L530">
        <f t="shared" ca="1" si="17"/>
        <v>5</v>
      </c>
      <c r="M530" t="s">
        <v>1810</v>
      </c>
      <c r="N530">
        <v>5</v>
      </c>
      <c r="O530" t="s">
        <v>1815</v>
      </c>
      <c r="P530" t="s">
        <v>1834</v>
      </c>
    </row>
    <row r="531" spans="1:16" x14ac:dyDescent="0.3">
      <c r="A531" t="s">
        <v>542</v>
      </c>
      <c r="B531" t="s">
        <v>1781</v>
      </c>
      <c r="C531">
        <v>28</v>
      </c>
      <c r="D531" t="s">
        <v>1783</v>
      </c>
      <c r="E531" t="s">
        <v>1787</v>
      </c>
      <c r="F531" t="s">
        <v>1799</v>
      </c>
      <c r="G531" s="5">
        <v>65223</v>
      </c>
      <c r="H531" t="s">
        <v>1803</v>
      </c>
      <c r="I531" t="s">
        <v>1807</v>
      </c>
      <c r="J531" s="2">
        <v>43619</v>
      </c>
      <c r="K531">
        <f t="shared" ca="1" si="16"/>
        <v>6</v>
      </c>
      <c r="L531">
        <f t="shared" ca="1" si="17"/>
        <v>6</v>
      </c>
      <c r="M531" t="s">
        <v>1809</v>
      </c>
      <c r="N531">
        <v>2</v>
      </c>
      <c r="O531" t="s">
        <v>1818</v>
      </c>
      <c r="P531" t="s">
        <v>1833</v>
      </c>
    </row>
    <row r="532" spans="1:16" x14ac:dyDescent="0.3">
      <c r="A532" t="s">
        <v>543</v>
      </c>
      <c r="B532" t="s">
        <v>1745</v>
      </c>
      <c r="C532">
        <v>21</v>
      </c>
      <c r="D532" t="s">
        <v>1783</v>
      </c>
      <c r="E532" t="s">
        <v>1790</v>
      </c>
      <c r="F532" t="s">
        <v>1800</v>
      </c>
      <c r="G532" s="5">
        <v>104235</v>
      </c>
      <c r="H532" t="s">
        <v>1802</v>
      </c>
      <c r="I532" t="s">
        <v>1807</v>
      </c>
      <c r="J532" s="2">
        <v>43000</v>
      </c>
      <c r="K532">
        <f t="shared" ca="1" si="16"/>
        <v>8</v>
      </c>
      <c r="L532">
        <f t="shared" ca="1" si="17"/>
        <v>2</v>
      </c>
      <c r="M532" t="s">
        <v>1810</v>
      </c>
      <c r="N532">
        <v>4</v>
      </c>
      <c r="O532" t="s">
        <v>1811</v>
      </c>
      <c r="P532" t="s">
        <v>1832</v>
      </c>
    </row>
    <row r="533" spans="1:16" x14ac:dyDescent="0.3">
      <c r="A533" t="s">
        <v>544</v>
      </c>
      <c r="B533" t="s">
        <v>1729</v>
      </c>
      <c r="C533">
        <v>49</v>
      </c>
      <c r="D533" t="s">
        <v>1785</v>
      </c>
      <c r="E533" t="s">
        <v>1787</v>
      </c>
      <c r="F533" t="s">
        <v>1799</v>
      </c>
      <c r="G533" s="5">
        <v>90358</v>
      </c>
      <c r="H533" t="s">
        <v>1803</v>
      </c>
      <c r="I533" t="s">
        <v>1808</v>
      </c>
      <c r="J533" s="2">
        <v>43893</v>
      </c>
      <c r="K533">
        <f t="shared" ca="1" si="16"/>
        <v>5</v>
      </c>
      <c r="L533">
        <f t="shared" ca="1" si="17"/>
        <v>9</v>
      </c>
      <c r="M533" t="s">
        <v>1809</v>
      </c>
      <c r="N533">
        <v>2</v>
      </c>
      <c r="O533" t="s">
        <v>1811</v>
      </c>
      <c r="P533" t="s">
        <v>1834</v>
      </c>
    </row>
    <row r="534" spans="1:16" x14ac:dyDescent="0.3">
      <c r="A534" t="s">
        <v>545</v>
      </c>
      <c r="B534" t="s">
        <v>1736</v>
      </c>
      <c r="C534">
        <v>56</v>
      </c>
      <c r="D534" t="s">
        <v>1784</v>
      </c>
      <c r="E534" t="s">
        <v>1786</v>
      </c>
      <c r="F534" t="s">
        <v>1795</v>
      </c>
      <c r="G534" s="5">
        <v>111340</v>
      </c>
      <c r="H534" t="s">
        <v>1804</v>
      </c>
      <c r="I534" t="s">
        <v>1808</v>
      </c>
      <c r="J534" s="2">
        <v>44675</v>
      </c>
      <c r="K534">
        <f t="shared" ca="1" si="16"/>
        <v>3</v>
      </c>
      <c r="L534">
        <f t="shared" ca="1" si="17"/>
        <v>7</v>
      </c>
      <c r="M534" t="s">
        <v>1810</v>
      </c>
      <c r="N534">
        <v>1</v>
      </c>
      <c r="O534" t="s">
        <v>1818</v>
      </c>
      <c r="P534" t="s">
        <v>1834</v>
      </c>
    </row>
    <row r="535" spans="1:16" x14ac:dyDescent="0.3">
      <c r="A535" t="s">
        <v>546</v>
      </c>
      <c r="B535" t="s">
        <v>1770</v>
      </c>
      <c r="C535">
        <v>43</v>
      </c>
      <c r="D535" t="s">
        <v>1783</v>
      </c>
      <c r="E535" t="s">
        <v>1790</v>
      </c>
      <c r="F535" t="s">
        <v>1797</v>
      </c>
      <c r="G535" s="5">
        <v>108504</v>
      </c>
      <c r="H535" t="s">
        <v>1802</v>
      </c>
      <c r="I535" t="s">
        <v>1806</v>
      </c>
      <c r="J535" s="2">
        <v>45433</v>
      </c>
      <c r="K535">
        <f t="shared" ca="1" si="16"/>
        <v>1</v>
      </c>
      <c r="L535">
        <f t="shared" ca="1" si="17"/>
        <v>6</v>
      </c>
      <c r="M535" t="s">
        <v>1810</v>
      </c>
      <c r="N535">
        <v>4</v>
      </c>
      <c r="O535" t="s">
        <v>1813</v>
      </c>
      <c r="P535" t="s">
        <v>1831</v>
      </c>
    </row>
    <row r="536" spans="1:16" x14ac:dyDescent="0.3">
      <c r="A536" t="s">
        <v>547</v>
      </c>
      <c r="B536" t="s">
        <v>1771</v>
      </c>
      <c r="C536">
        <v>25</v>
      </c>
      <c r="D536" t="s">
        <v>1783</v>
      </c>
      <c r="E536" t="s">
        <v>1790</v>
      </c>
      <c r="F536" t="s">
        <v>1794</v>
      </c>
      <c r="G536" s="5">
        <v>100662</v>
      </c>
      <c r="H536" t="s">
        <v>1801</v>
      </c>
      <c r="I536" t="s">
        <v>1806</v>
      </c>
      <c r="J536" s="2">
        <v>45033</v>
      </c>
      <c r="K536">
        <f t="shared" ca="1" si="16"/>
        <v>2</v>
      </c>
      <c r="L536">
        <f t="shared" ca="1" si="17"/>
        <v>7</v>
      </c>
      <c r="M536" t="s">
        <v>1810</v>
      </c>
      <c r="N536">
        <v>5</v>
      </c>
      <c r="O536" t="s">
        <v>1818</v>
      </c>
      <c r="P536" t="s">
        <v>1832</v>
      </c>
    </row>
    <row r="537" spans="1:16" x14ac:dyDescent="0.3">
      <c r="A537" t="s">
        <v>548</v>
      </c>
      <c r="B537" t="s">
        <v>1753</v>
      </c>
      <c r="C537">
        <v>20</v>
      </c>
      <c r="D537" t="s">
        <v>1784</v>
      </c>
      <c r="E537" t="s">
        <v>1790</v>
      </c>
      <c r="F537" t="s">
        <v>1800</v>
      </c>
      <c r="G537" s="5">
        <v>85195</v>
      </c>
      <c r="H537" t="s">
        <v>1805</v>
      </c>
      <c r="I537" t="s">
        <v>1806</v>
      </c>
      <c r="J537" s="2">
        <v>43795</v>
      </c>
      <c r="K537">
        <f t="shared" ca="1" si="16"/>
        <v>6</v>
      </c>
      <c r="L537">
        <f t="shared" ca="1" si="17"/>
        <v>0</v>
      </c>
      <c r="M537" t="s">
        <v>1810</v>
      </c>
      <c r="N537">
        <v>3</v>
      </c>
      <c r="O537" t="s">
        <v>1814</v>
      </c>
      <c r="P537" t="s">
        <v>1832</v>
      </c>
    </row>
    <row r="538" spans="1:16" x14ac:dyDescent="0.3">
      <c r="A538" t="s">
        <v>549</v>
      </c>
      <c r="B538" t="s">
        <v>1734</v>
      </c>
      <c r="C538">
        <v>22</v>
      </c>
      <c r="D538" t="s">
        <v>1785</v>
      </c>
      <c r="E538" t="s">
        <v>1788</v>
      </c>
      <c r="F538" t="s">
        <v>1799</v>
      </c>
      <c r="G538" s="5">
        <v>113285</v>
      </c>
      <c r="H538" t="s">
        <v>1805</v>
      </c>
      <c r="I538" t="s">
        <v>1808</v>
      </c>
      <c r="J538" s="2">
        <v>42689</v>
      </c>
      <c r="K538">
        <f t="shared" ca="1" si="16"/>
        <v>9</v>
      </c>
      <c r="L538">
        <f t="shared" ca="1" si="17"/>
        <v>0</v>
      </c>
      <c r="M538" t="s">
        <v>1810</v>
      </c>
      <c r="N538">
        <v>5</v>
      </c>
      <c r="O538" t="s">
        <v>1816</v>
      </c>
      <c r="P538" t="s">
        <v>1832</v>
      </c>
    </row>
    <row r="539" spans="1:16" x14ac:dyDescent="0.3">
      <c r="A539" t="s">
        <v>550</v>
      </c>
      <c r="B539" t="s">
        <v>1736</v>
      </c>
      <c r="C539">
        <v>38</v>
      </c>
      <c r="D539" t="s">
        <v>1785</v>
      </c>
      <c r="E539" t="s">
        <v>1792</v>
      </c>
      <c r="F539" t="s">
        <v>1800</v>
      </c>
      <c r="G539" s="5">
        <v>55593</v>
      </c>
      <c r="H539" t="s">
        <v>1801</v>
      </c>
      <c r="I539" t="s">
        <v>1807</v>
      </c>
      <c r="J539" s="2">
        <v>44508</v>
      </c>
      <c r="K539">
        <f t="shared" ca="1" si="16"/>
        <v>4</v>
      </c>
      <c r="L539">
        <f t="shared" ca="1" si="17"/>
        <v>1</v>
      </c>
      <c r="M539" t="s">
        <v>1809</v>
      </c>
      <c r="N539">
        <v>3</v>
      </c>
      <c r="O539" t="s">
        <v>1814</v>
      </c>
      <c r="P539" t="s">
        <v>1831</v>
      </c>
    </row>
    <row r="540" spans="1:16" x14ac:dyDescent="0.3">
      <c r="A540" t="s">
        <v>551</v>
      </c>
      <c r="B540" t="s">
        <v>1772</v>
      </c>
      <c r="C540">
        <v>37</v>
      </c>
      <c r="D540" t="s">
        <v>1784</v>
      </c>
      <c r="E540" t="s">
        <v>1788</v>
      </c>
      <c r="F540" t="s">
        <v>1794</v>
      </c>
      <c r="G540" s="5">
        <v>19861</v>
      </c>
      <c r="H540" t="s">
        <v>1801</v>
      </c>
      <c r="I540" t="s">
        <v>1806</v>
      </c>
      <c r="J540" s="2">
        <v>43153</v>
      </c>
      <c r="K540">
        <f t="shared" ca="1" si="16"/>
        <v>7</v>
      </c>
      <c r="L540">
        <f t="shared" ca="1" si="17"/>
        <v>9</v>
      </c>
      <c r="M540" t="s">
        <v>1809</v>
      </c>
      <c r="N540">
        <v>4</v>
      </c>
      <c r="O540" t="s">
        <v>1817</v>
      </c>
      <c r="P540" t="s">
        <v>1831</v>
      </c>
    </row>
    <row r="541" spans="1:16" x14ac:dyDescent="0.3">
      <c r="A541" t="s">
        <v>552</v>
      </c>
      <c r="B541" t="s">
        <v>1738</v>
      </c>
      <c r="C541">
        <v>35</v>
      </c>
      <c r="D541" t="s">
        <v>1784</v>
      </c>
      <c r="E541" t="s">
        <v>1791</v>
      </c>
      <c r="F541" t="s">
        <v>1799</v>
      </c>
      <c r="G541" s="5">
        <v>87125</v>
      </c>
      <c r="H541" t="s">
        <v>1801</v>
      </c>
      <c r="I541" t="s">
        <v>1808</v>
      </c>
      <c r="J541" s="2">
        <v>42783</v>
      </c>
      <c r="K541">
        <f t="shared" ca="1" si="16"/>
        <v>8</v>
      </c>
      <c r="L541">
        <f t="shared" ca="1" si="17"/>
        <v>9</v>
      </c>
      <c r="M541" t="s">
        <v>1809</v>
      </c>
      <c r="N541">
        <v>5</v>
      </c>
      <c r="O541" t="s">
        <v>1816</v>
      </c>
      <c r="P541" t="s">
        <v>1833</v>
      </c>
    </row>
    <row r="542" spans="1:16" x14ac:dyDescent="0.3">
      <c r="A542" t="s">
        <v>553</v>
      </c>
      <c r="B542" t="s">
        <v>1755</v>
      </c>
      <c r="C542">
        <v>46</v>
      </c>
      <c r="D542" t="s">
        <v>1784</v>
      </c>
      <c r="E542" t="s">
        <v>1786</v>
      </c>
      <c r="F542" t="s">
        <v>1800</v>
      </c>
      <c r="G542" s="5">
        <v>104594</v>
      </c>
      <c r="H542" t="s">
        <v>1802</v>
      </c>
      <c r="I542" t="s">
        <v>1807</v>
      </c>
      <c r="J542" s="2">
        <v>44804</v>
      </c>
      <c r="K542">
        <f t="shared" ca="1" si="16"/>
        <v>3</v>
      </c>
      <c r="L542">
        <f t="shared" ca="1" si="17"/>
        <v>3</v>
      </c>
      <c r="M542" t="s">
        <v>1810</v>
      </c>
      <c r="N542">
        <v>1</v>
      </c>
      <c r="O542" t="s">
        <v>1814</v>
      </c>
      <c r="P542" t="s">
        <v>1834</v>
      </c>
    </row>
    <row r="543" spans="1:16" x14ac:dyDescent="0.3">
      <c r="A543" t="s">
        <v>554</v>
      </c>
      <c r="B543" t="s">
        <v>1713</v>
      </c>
      <c r="C543">
        <v>30</v>
      </c>
      <c r="D543" t="s">
        <v>1784</v>
      </c>
      <c r="E543" t="s">
        <v>1787</v>
      </c>
      <c r="F543" t="s">
        <v>1796</v>
      </c>
      <c r="G543" s="5">
        <v>80420</v>
      </c>
      <c r="H543" t="s">
        <v>1803</v>
      </c>
      <c r="I543" t="s">
        <v>1806</v>
      </c>
      <c r="J543" s="2">
        <v>45519</v>
      </c>
      <c r="K543">
        <f t="shared" ca="1" si="16"/>
        <v>1</v>
      </c>
      <c r="L543">
        <f t="shared" ca="1" si="17"/>
        <v>3</v>
      </c>
      <c r="M543" t="s">
        <v>1809</v>
      </c>
      <c r="N543">
        <v>4</v>
      </c>
      <c r="O543" t="s">
        <v>1811</v>
      </c>
      <c r="P543" t="s">
        <v>1833</v>
      </c>
    </row>
    <row r="544" spans="1:16" x14ac:dyDescent="0.3">
      <c r="A544" t="s">
        <v>555</v>
      </c>
      <c r="B544" t="s">
        <v>1737</v>
      </c>
      <c r="C544">
        <v>29</v>
      </c>
      <c r="D544" t="s">
        <v>1785</v>
      </c>
      <c r="E544" t="s">
        <v>1787</v>
      </c>
      <c r="F544" t="s">
        <v>1796</v>
      </c>
      <c r="G544" s="5">
        <v>19554</v>
      </c>
      <c r="H544" t="s">
        <v>1803</v>
      </c>
      <c r="I544" t="s">
        <v>1808</v>
      </c>
      <c r="J544" s="2">
        <v>45217</v>
      </c>
      <c r="K544">
        <f t="shared" ca="1" si="16"/>
        <v>2</v>
      </c>
      <c r="L544">
        <f t="shared" ca="1" si="17"/>
        <v>1</v>
      </c>
      <c r="M544" t="s">
        <v>1810</v>
      </c>
      <c r="N544">
        <v>5</v>
      </c>
      <c r="O544" t="s">
        <v>1818</v>
      </c>
      <c r="P544" t="s">
        <v>1833</v>
      </c>
    </row>
    <row r="545" spans="1:16" x14ac:dyDescent="0.3">
      <c r="A545" t="s">
        <v>556</v>
      </c>
      <c r="B545" t="s">
        <v>1777</v>
      </c>
      <c r="C545">
        <v>42</v>
      </c>
      <c r="D545" t="s">
        <v>1784</v>
      </c>
      <c r="E545" t="s">
        <v>1788</v>
      </c>
      <c r="F545" t="s">
        <v>1796</v>
      </c>
      <c r="G545" s="5">
        <v>61904</v>
      </c>
      <c r="H545" t="s">
        <v>1804</v>
      </c>
      <c r="I545" t="s">
        <v>1807</v>
      </c>
      <c r="J545" s="2">
        <v>43483</v>
      </c>
      <c r="K545">
        <f t="shared" ca="1" si="16"/>
        <v>6</v>
      </c>
      <c r="L545">
        <f t="shared" ca="1" si="17"/>
        <v>10</v>
      </c>
      <c r="M545" t="s">
        <v>1810</v>
      </c>
      <c r="N545">
        <v>4</v>
      </c>
      <c r="O545" t="s">
        <v>1815</v>
      </c>
      <c r="P545" t="s">
        <v>1831</v>
      </c>
    </row>
    <row r="546" spans="1:16" x14ac:dyDescent="0.3">
      <c r="A546" t="s">
        <v>557</v>
      </c>
      <c r="B546" t="s">
        <v>1717</v>
      </c>
      <c r="C546">
        <v>32</v>
      </c>
      <c r="D546" t="s">
        <v>1785</v>
      </c>
      <c r="E546" t="s">
        <v>1789</v>
      </c>
      <c r="F546" t="s">
        <v>1794</v>
      </c>
      <c r="G546" s="5">
        <v>106829</v>
      </c>
      <c r="H546" t="s">
        <v>1802</v>
      </c>
      <c r="I546" t="s">
        <v>1808</v>
      </c>
      <c r="J546" s="2">
        <v>44681</v>
      </c>
      <c r="K546">
        <f t="shared" ca="1" si="16"/>
        <v>3</v>
      </c>
      <c r="L546">
        <f t="shared" ca="1" si="17"/>
        <v>7</v>
      </c>
      <c r="M546" t="s">
        <v>1809</v>
      </c>
      <c r="N546">
        <v>1</v>
      </c>
      <c r="O546" t="s">
        <v>1813</v>
      </c>
      <c r="P546" t="s">
        <v>1833</v>
      </c>
    </row>
    <row r="547" spans="1:16" x14ac:dyDescent="0.3">
      <c r="A547" t="s">
        <v>558</v>
      </c>
      <c r="B547" t="s">
        <v>1768</v>
      </c>
      <c r="C547">
        <v>26</v>
      </c>
      <c r="D547" t="s">
        <v>1785</v>
      </c>
      <c r="E547" t="s">
        <v>1793</v>
      </c>
      <c r="F547" t="s">
        <v>1800</v>
      </c>
      <c r="G547" s="5">
        <v>107849</v>
      </c>
      <c r="H547" t="s">
        <v>1804</v>
      </c>
      <c r="I547" t="s">
        <v>1807</v>
      </c>
      <c r="J547" s="2">
        <v>45408</v>
      </c>
      <c r="K547">
        <f t="shared" ca="1" si="16"/>
        <v>1</v>
      </c>
      <c r="L547">
        <f t="shared" ca="1" si="17"/>
        <v>7</v>
      </c>
      <c r="M547" t="s">
        <v>1810</v>
      </c>
      <c r="N547">
        <v>3</v>
      </c>
      <c r="O547" t="s">
        <v>1815</v>
      </c>
      <c r="P547" t="s">
        <v>1833</v>
      </c>
    </row>
    <row r="548" spans="1:16" x14ac:dyDescent="0.3">
      <c r="A548" t="s">
        <v>559</v>
      </c>
      <c r="B548" t="s">
        <v>1714</v>
      </c>
      <c r="C548">
        <v>25</v>
      </c>
      <c r="D548" t="s">
        <v>1783</v>
      </c>
      <c r="E548" t="s">
        <v>1786</v>
      </c>
      <c r="F548" t="s">
        <v>1794</v>
      </c>
      <c r="G548" s="5">
        <v>96562</v>
      </c>
      <c r="H548" t="s">
        <v>1801</v>
      </c>
      <c r="I548" t="s">
        <v>1806</v>
      </c>
      <c r="J548" s="2">
        <v>42929</v>
      </c>
      <c r="K548">
        <f t="shared" ca="1" si="16"/>
        <v>8</v>
      </c>
      <c r="L548">
        <f t="shared" ca="1" si="17"/>
        <v>4</v>
      </c>
      <c r="M548" t="s">
        <v>1809</v>
      </c>
      <c r="N548">
        <v>5</v>
      </c>
      <c r="O548" t="s">
        <v>1816</v>
      </c>
      <c r="P548" t="s">
        <v>1832</v>
      </c>
    </row>
    <row r="549" spans="1:16" x14ac:dyDescent="0.3">
      <c r="A549" t="s">
        <v>560</v>
      </c>
      <c r="B549" t="s">
        <v>1746</v>
      </c>
      <c r="C549">
        <v>56</v>
      </c>
      <c r="D549" t="s">
        <v>1783</v>
      </c>
      <c r="E549" t="s">
        <v>1793</v>
      </c>
      <c r="F549" t="s">
        <v>1798</v>
      </c>
      <c r="G549" s="5">
        <v>109180</v>
      </c>
      <c r="H549" t="s">
        <v>1804</v>
      </c>
      <c r="I549" t="s">
        <v>1808</v>
      </c>
      <c r="J549" s="2">
        <v>44350</v>
      </c>
      <c r="K549">
        <f t="shared" ca="1" si="16"/>
        <v>4</v>
      </c>
      <c r="L549">
        <f t="shared" ca="1" si="17"/>
        <v>6</v>
      </c>
      <c r="M549" t="s">
        <v>1809</v>
      </c>
      <c r="N549">
        <v>4</v>
      </c>
      <c r="O549" t="s">
        <v>1814</v>
      </c>
      <c r="P549" t="s">
        <v>1834</v>
      </c>
    </row>
    <row r="550" spans="1:16" x14ac:dyDescent="0.3">
      <c r="A550" t="s">
        <v>561</v>
      </c>
      <c r="B550" t="s">
        <v>1746</v>
      </c>
      <c r="C550">
        <v>40</v>
      </c>
      <c r="D550" t="s">
        <v>1784</v>
      </c>
      <c r="E550" t="s">
        <v>1791</v>
      </c>
      <c r="F550" t="s">
        <v>1796</v>
      </c>
      <c r="G550" s="5">
        <v>27698</v>
      </c>
      <c r="H550" t="s">
        <v>1801</v>
      </c>
      <c r="I550" t="s">
        <v>1808</v>
      </c>
      <c r="J550" s="2">
        <v>44029</v>
      </c>
      <c r="K550">
        <f t="shared" ca="1" si="16"/>
        <v>5</v>
      </c>
      <c r="L550">
        <f t="shared" ca="1" si="17"/>
        <v>4</v>
      </c>
      <c r="M550" t="s">
        <v>1810</v>
      </c>
      <c r="N550">
        <v>1</v>
      </c>
      <c r="O550" t="s">
        <v>1814</v>
      </c>
      <c r="P550" t="s">
        <v>1831</v>
      </c>
    </row>
    <row r="551" spans="1:16" x14ac:dyDescent="0.3">
      <c r="A551" t="s">
        <v>562</v>
      </c>
      <c r="B551" t="s">
        <v>1734</v>
      </c>
      <c r="C551">
        <v>48</v>
      </c>
      <c r="D551" t="s">
        <v>1783</v>
      </c>
      <c r="E551" t="s">
        <v>1790</v>
      </c>
      <c r="F551" t="s">
        <v>1795</v>
      </c>
      <c r="G551" s="5">
        <v>44302</v>
      </c>
      <c r="H551" t="s">
        <v>1803</v>
      </c>
      <c r="I551" t="s">
        <v>1807</v>
      </c>
      <c r="J551" s="2">
        <v>45081</v>
      </c>
      <c r="K551">
        <f t="shared" ca="1" si="16"/>
        <v>2</v>
      </c>
      <c r="L551">
        <f t="shared" ca="1" si="17"/>
        <v>6</v>
      </c>
      <c r="M551" t="s">
        <v>1810</v>
      </c>
      <c r="N551">
        <v>1</v>
      </c>
      <c r="O551" t="s">
        <v>1816</v>
      </c>
      <c r="P551" t="s">
        <v>1834</v>
      </c>
    </row>
    <row r="552" spans="1:16" x14ac:dyDescent="0.3">
      <c r="A552" t="s">
        <v>563</v>
      </c>
      <c r="B552" t="s">
        <v>1727</v>
      </c>
      <c r="C552">
        <v>47</v>
      </c>
      <c r="D552" t="s">
        <v>1783</v>
      </c>
      <c r="E552" t="s">
        <v>1793</v>
      </c>
      <c r="F552" t="s">
        <v>1794</v>
      </c>
      <c r="G552" s="5">
        <v>75878</v>
      </c>
      <c r="H552" t="s">
        <v>1804</v>
      </c>
      <c r="I552" t="s">
        <v>1807</v>
      </c>
      <c r="J552" s="2">
        <v>42580</v>
      </c>
      <c r="K552">
        <f t="shared" ca="1" si="16"/>
        <v>9</v>
      </c>
      <c r="L552">
        <f t="shared" ca="1" si="17"/>
        <v>4</v>
      </c>
      <c r="M552" t="s">
        <v>1809</v>
      </c>
      <c r="N552">
        <v>1</v>
      </c>
      <c r="O552" t="s">
        <v>1814</v>
      </c>
      <c r="P552" t="s">
        <v>1834</v>
      </c>
    </row>
    <row r="553" spans="1:16" x14ac:dyDescent="0.3">
      <c r="A553" t="s">
        <v>564</v>
      </c>
      <c r="B553" t="s">
        <v>1726</v>
      </c>
      <c r="C553">
        <v>51</v>
      </c>
      <c r="D553" t="s">
        <v>1783</v>
      </c>
      <c r="E553" t="s">
        <v>1792</v>
      </c>
      <c r="F553" t="s">
        <v>1794</v>
      </c>
      <c r="G553" s="5">
        <v>22959</v>
      </c>
      <c r="H553" t="s">
        <v>1803</v>
      </c>
      <c r="I553" t="s">
        <v>1808</v>
      </c>
      <c r="J553" s="2">
        <v>43058</v>
      </c>
      <c r="K553">
        <f t="shared" ca="1" si="16"/>
        <v>8</v>
      </c>
      <c r="L553">
        <f t="shared" ca="1" si="17"/>
        <v>0</v>
      </c>
      <c r="M553" t="s">
        <v>1810</v>
      </c>
      <c r="N553">
        <v>4</v>
      </c>
      <c r="O553" t="s">
        <v>1818</v>
      </c>
      <c r="P553" t="s">
        <v>1834</v>
      </c>
    </row>
    <row r="554" spans="1:16" x14ac:dyDescent="0.3">
      <c r="A554" t="s">
        <v>565</v>
      </c>
      <c r="B554" t="s">
        <v>1719</v>
      </c>
      <c r="C554">
        <v>51</v>
      </c>
      <c r="D554" t="s">
        <v>1784</v>
      </c>
      <c r="E554" t="s">
        <v>1787</v>
      </c>
      <c r="F554" t="s">
        <v>1799</v>
      </c>
      <c r="G554" s="5">
        <v>70941</v>
      </c>
      <c r="H554" t="s">
        <v>1801</v>
      </c>
      <c r="I554" t="s">
        <v>1806</v>
      </c>
      <c r="J554" s="2">
        <v>43363</v>
      </c>
      <c r="K554">
        <f t="shared" ca="1" si="16"/>
        <v>7</v>
      </c>
      <c r="L554">
        <f t="shared" ca="1" si="17"/>
        <v>2</v>
      </c>
      <c r="M554" t="s">
        <v>1809</v>
      </c>
      <c r="N554">
        <v>4</v>
      </c>
      <c r="O554" t="s">
        <v>1812</v>
      </c>
      <c r="P554" t="s">
        <v>1834</v>
      </c>
    </row>
    <row r="555" spans="1:16" x14ac:dyDescent="0.3">
      <c r="A555" t="s">
        <v>566</v>
      </c>
      <c r="B555" t="s">
        <v>1777</v>
      </c>
      <c r="C555">
        <v>54</v>
      </c>
      <c r="D555" t="s">
        <v>1784</v>
      </c>
      <c r="E555" t="s">
        <v>1789</v>
      </c>
      <c r="F555" t="s">
        <v>1796</v>
      </c>
      <c r="G555" s="5">
        <v>107369</v>
      </c>
      <c r="H555" t="s">
        <v>1803</v>
      </c>
      <c r="I555" t="s">
        <v>1807</v>
      </c>
      <c r="J555" s="2">
        <v>45027</v>
      </c>
      <c r="K555">
        <f t="shared" ca="1" si="16"/>
        <v>2</v>
      </c>
      <c r="L555">
        <f t="shared" ca="1" si="17"/>
        <v>7</v>
      </c>
      <c r="M555" t="s">
        <v>1809</v>
      </c>
      <c r="N555">
        <v>3</v>
      </c>
      <c r="O555" t="s">
        <v>1817</v>
      </c>
      <c r="P555" t="s">
        <v>1834</v>
      </c>
    </row>
    <row r="556" spans="1:16" x14ac:dyDescent="0.3">
      <c r="A556" t="s">
        <v>567</v>
      </c>
      <c r="B556" t="s">
        <v>1765</v>
      </c>
      <c r="C556">
        <v>49</v>
      </c>
      <c r="D556" t="s">
        <v>1784</v>
      </c>
      <c r="E556" t="s">
        <v>1786</v>
      </c>
      <c r="F556" t="s">
        <v>1795</v>
      </c>
      <c r="G556" s="5">
        <v>41149</v>
      </c>
      <c r="H556" t="s">
        <v>1801</v>
      </c>
      <c r="I556" t="s">
        <v>1808</v>
      </c>
      <c r="J556" s="2">
        <v>45144</v>
      </c>
      <c r="K556">
        <f t="shared" ca="1" si="16"/>
        <v>2</v>
      </c>
      <c r="L556">
        <f t="shared" ca="1" si="17"/>
        <v>4</v>
      </c>
      <c r="M556" t="s">
        <v>1809</v>
      </c>
      <c r="N556">
        <v>3</v>
      </c>
      <c r="O556" t="s">
        <v>1811</v>
      </c>
      <c r="P556" t="s">
        <v>1834</v>
      </c>
    </row>
    <row r="557" spans="1:16" x14ac:dyDescent="0.3">
      <c r="A557" t="s">
        <v>568</v>
      </c>
      <c r="B557" t="s">
        <v>1745</v>
      </c>
      <c r="C557">
        <v>42</v>
      </c>
      <c r="D557" t="s">
        <v>1784</v>
      </c>
      <c r="E557" t="s">
        <v>1793</v>
      </c>
      <c r="F557" t="s">
        <v>1800</v>
      </c>
      <c r="G557" s="5">
        <v>100941</v>
      </c>
      <c r="H557" t="s">
        <v>1802</v>
      </c>
      <c r="I557" t="s">
        <v>1807</v>
      </c>
      <c r="J557" s="2">
        <v>42584</v>
      </c>
      <c r="K557">
        <f t="shared" ca="1" si="16"/>
        <v>9</v>
      </c>
      <c r="L557">
        <f t="shared" ca="1" si="17"/>
        <v>4</v>
      </c>
      <c r="M557" t="s">
        <v>1809</v>
      </c>
      <c r="N557">
        <v>1</v>
      </c>
      <c r="O557" t="s">
        <v>1815</v>
      </c>
      <c r="P557" t="s">
        <v>1831</v>
      </c>
    </row>
    <row r="558" spans="1:16" x14ac:dyDescent="0.3">
      <c r="A558" t="s">
        <v>569</v>
      </c>
      <c r="B558" t="s">
        <v>1774</v>
      </c>
      <c r="C558">
        <v>24</v>
      </c>
      <c r="D558" t="s">
        <v>1785</v>
      </c>
      <c r="E558" t="s">
        <v>1788</v>
      </c>
      <c r="F558" t="s">
        <v>1795</v>
      </c>
      <c r="G558" s="5">
        <v>83494</v>
      </c>
      <c r="H558" t="s">
        <v>1803</v>
      </c>
      <c r="I558" t="s">
        <v>1807</v>
      </c>
      <c r="J558" s="2">
        <v>42589</v>
      </c>
      <c r="K558">
        <f t="shared" ca="1" si="16"/>
        <v>9</v>
      </c>
      <c r="L558">
        <f t="shared" ca="1" si="17"/>
        <v>4</v>
      </c>
      <c r="M558" t="s">
        <v>1810</v>
      </c>
      <c r="N558">
        <v>1</v>
      </c>
      <c r="O558" t="s">
        <v>1817</v>
      </c>
      <c r="P558" t="s">
        <v>1832</v>
      </c>
    </row>
    <row r="559" spans="1:16" x14ac:dyDescent="0.3">
      <c r="A559" t="s">
        <v>570</v>
      </c>
      <c r="B559" t="s">
        <v>1768</v>
      </c>
      <c r="C559">
        <v>27</v>
      </c>
      <c r="D559" t="s">
        <v>1783</v>
      </c>
      <c r="E559" t="s">
        <v>1790</v>
      </c>
      <c r="F559" t="s">
        <v>1799</v>
      </c>
      <c r="G559" s="5">
        <v>106877</v>
      </c>
      <c r="H559" t="s">
        <v>1805</v>
      </c>
      <c r="I559" t="s">
        <v>1807</v>
      </c>
      <c r="J559" s="2">
        <v>45473</v>
      </c>
      <c r="K559">
        <f t="shared" ca="1" si="16"/>
        <v>1</v>
      </c>
      <c r="L559">
        <f t="shared" ca="1" si="17"/>
        <v>5</v>
      </c>
      <c r="M559" t="s">
        <v>1809</v>
      </c>
      <c r="N559">
        <v>1</v>
      </c>
      <c r="O559" t="s">
        <v>1818</v>
      </c>
      <c r="P559" t="s">
        <v>1833</v>
      </c>
    </row>
    <row r="560" spans="1:16" x14ac:dyDescent="0.3">
      <c r="A560" t="s">
        <v>571</v>
      </c>
      <c r="B560" t="s">
        <v>1781</v>
      </c>
      <c r="C560">
        <v>21</v>
      </c>
      <c r="D560" t="s">
        <v>1784</v>
      </c>
      <c r="E560" t="s">
        <v>1792</v>
      </c>
      <c r="F560" t="s">
        <v>1794</v>
      </c>
      <c r="G560" s="5">
        <v>49808</v>
      </c>
      <c r="H560" t="s">
        <v>1802</v>
      </c>
      <c r="I560" t="s">
        <v>1807</v>
      </c>
      <c r="J560" s="2">
        <v>43143</v>
      </c>
      <c r="K560">
        <f t="shared" ca="1" si="16"/>
        <v>7</v>
      </c>
      <c r="L560">
        <f t="shared" ca="1" si="17"/>
        <v>9</v>
      </c>
      <c r="M560" t="s">
        <v>1809</v>
      </c>
      <c r="N560">
        <v>3</v>
      </c>
      <c r="O560" t="s">
        <v>1813</v>
      </c>
      <c r="P560" t="s">
        <v>1832</v>
      </c>
    </row>
    <row r="561" spans="1:16" x14ac:dyDescent="0.3">
      <c r="A561" t="s">
        <v>572</v>
      </c>
      <c r="B561" t="s">
        <v>1773</v>
      </c>
      <c r="C561">
        <v>30</v>
      </c>
      <c r="D561" t="s">
        <v>1785</v>
      </c>
      <c r="E561" t="s">
        <v>1793</v>
      </c>
      <c r="F561" t="s">
        <v>1797</v>
      </c>
      <c r="G561" s="5">
        <v>31937</v>
      </c>
      <c r="H561" t="s">
        <v>1803</v>
      </c>
      <c r="I561" t="s">
        <v>1806</v>
      </c>
      <c r="J561" s="2">
        <v>45711</v>
      </c>
      <c r="K561">
        <f t="shared" ca="1" si="16"/>
        <v>0</v>
      </c>
      <c r="L561">
        <f t="shared" ca="1" si="17"/>
        <v>9</v>
      </c>
      <c r="M561" t="s">
        <v>1809</v>
      </c>
      <c r="N561">
        <v>1</v>
      </c>
      <c r="O561" t="s">
        <v>1815</v>
      </c>
      <c r="P561" t="s">
        <v>1833</v>
      </c>
    </row>
    <row r="562" spans="1:16" x14ac:dyDescent="0.3">
      <c r="A562" t="s">
        <v>573</v>
      </c>
      <c r="B562" t="s">
        <v>1754</v>
      </c>
      <c r="C562">
        <v>45</v>
      </c>
      <c r="D562" t="s">
        <v>1784</v>
      </c>
      <c r="E562" t="s">
        <v>1793</v>
      </c>
      <c r="F562" t="s">
        <v>1795</v>
      </c>
      <c r="G562" s="5">
        <v>107664</v>
      </c>
      <c r="H562" t="s">
        <v>1805</v>
      </c>
      <c r="I562" t="s">
        <v>1807</v>
      </c>
      <c r="J562" s="2">
        <v>43755</v>
      </c>
      <c r="K562">
        <f t="shared" ca="1" si="16"/>
        <v>6</v>
      </c>
      <c r="L562">
        <f t="shared" ca="1" si="17"/>
        <v>1</v>
      </c>
      <c r="M562" t="s">
        <v>1809</v>
      </c>
      <c r="N562">
        <v>1</v>
      </c>
      <c r="O562" t="s">
        <v>1816</v>
      </c>
      <c r="P562" t="s">
        <v>1831</v>
      </c>
    </row>
    <row r="563" spans="1:16" x14ac:dyDescent="0.3">
      <c r="A563" t="s">
        <v>574</v>
      </c>
      <c r="B563" t="s">
        <v>1724</v>
      </c>
      <c r="C563">
        <v>27</v>
      </c>
      <c r="D563" t="s">
        <v>1784</v>
      </c>
      <c r="E563" t="s">
        <v>1791</v>
      </c>
      <c r="F563" t="s">
        <v>1800</v>
      </c>
      <c r="G563" s="5">
        <v>117293</v>
      </c>
      <c r="H563" t="s">
        <v>1802</v>
      </c>
      <c r="I563" t="s">
        <v>1806</v>
      </c>
      <c r="J563" s="2">
        <v>43953</v>
      </c>
      <c r="K563">
        <f t="shared" ca="1" si="16"/>
        <v>5</v>
      </c>
      <c r="L563">
        <f t="shared" ca="1" si="17"/>
        <v>7</v>
      </c>
      <c r="M563" t="s">
        <v>1809</v>
      </c>
      <c r="N563">
        <v>4</v>
      </c>
      <c r="O563" t="s">
        <v>1815</v>
      </c>
      <c r="P563" t="s">
        <v>1833</v>
      </c>
    </row>
    <row r="564" spans="1:16" x14ac:dyDescent="0.3">
      <c r="A564" t="s">
        <v>575</v>
      </c>
      <c r="B564" t="s">
        <v>1736</v>
      </c>
      <c r="C564">
        <v>28</v>
      </c>
      <c r="D564" t="s">
        <v>1783</v>
      </c>
      <c r="E564" t="s">
        <v>1787</v>
      </c>
      <c r="F564" t="s">
        <v>1798</v>
      </c>
      <c r="G564" s="5">
        <v>119929</v>
      </c>
      <c r="H564" t="s">
        <v>1801</v>
      </c>
      <c r="I564" t="s">
        <v>1808</v>
      </c>
      <c r="J564" s="2">
        <v>42768</v>
      </c>
      <c r="K564">
        <f t="shared" ca="1" si="16"/>
        <v>8</v>
      </c>
      <c r="L564">
        <f t="shared" ca="1" si="17"/>
        <v>10</v>
      </c>
      <c r="M564" t="s">
        <v>1809</v>
      </c>
      <c r="N564">
        <v>1</v>
      </c>
      <c r="O564" t="s">
        <v>1816</v>
      </c>
      <c r="P564" t="s">
        <v>1833</v>
      </c>
    </row>
    <row r="565" spans="1:16" x14ac:dyDescent="0.3">
      <c r="A565" t="s">
        <v>576</v>
      </c>
      <c r="B565" t="s">
        <v>1745</v>
      </c>
      <c r="C565">
        <v>57</v>
      </c>
      <c r="D565" t="s">
        <v>1784</v>
      </c>
      <c r="E565" t="s">
        <v>1787</v>
      </c>
      <c r="F565" t="s">
        <v>1799</v>
      </c>
      <c r="G565" s="5">
        <v>108898</v>
      </c>
      <c r="H565" t="s">
        <v>1803</v>
      </c>
      <c r="I565" t="s">
        <v>1806</v>
      </c>
      <c r="J565" s="2">
        <v>42957</v>
      </c>
      <c r="K565">
        <f t="shared" ca="1" si="16"/>
        <v>8</v>
      </c>
      <c r="L565">
        <f t="shared" ca="1" si="17"/>
        <v>4</v>
      </c>
      <c r="M565" t="s">
        <v>1809</v>
      </c>
      <c r="N565">
        <v>2</v>
      </c>
      <c r="O565" t="s">
        <v>1814</v>
      </c>
      <c r="P565" t="s">
        <v>1834</v>
      </c>
    </row>
    <row r="566" spans="1:16" x14ac:dyDescent="0.3">
      <c r="A566" t="s">
        <v>577</v>
      </c>
      <c r="B566" t="s">
        <v>1748</v>
      </c>
      <c r="C566">
        <v>46</v>
      </c>
      <c r="D566" t="s">
        <v>1783</v>
      </c>
      <c r="E566" t="s">
        <v>1791</v>
      </c>
      <c r="F566" t="s">
        <v>1794</v>
      </c>
      <c r="G566" s="5">
        <v>98024</v>
      </c>
      <c r="H566" t="s">
        <v>1801</v>
      </c>
      <c r="I566" t="s">
        <v>1806</v>
      </c>
      <c r="J566" s="2">
        <v>43175</v>
      </c>
      <c r="K566">
        <f t="shared" ca="1" si="16"/>
        <v>7</v>
      </c>
      <c r="L566">
        <f t="shared" ca="1" si="17"/>
        <v>8</v>
      </c>
      <c r="M566" t="s">
        <v>1810</v>
      </c>
      <c r="N566">
        <v>5</v>
      </c>
      <c r="O566" t="s">
        <v>1813</v>
      </c>
      <c r="P566" t="s">
        <v>1834</v>
      </c>
    </row>
    <row r="567" spans="1:16" x14ac:dyDescent="0.3">
      <c r="A567" t="s">
        <v>578</v>
      </c>
      <c r="B567" t="s">
        <v>1766</v>
      </c>
      <c r="C567">
        <v>46</v>
      </c>
      <c r="D567" t="s">
        <v>1783</v>
      </c>
      <c r="E567" t="s">
        <v>1786</v>
      </c>
      <c r="F567" t="s">
        <v>1797</v>
      </c>
      <c r="G567" s="5">
        <v>43153</v>
      </c>
      <c r="H567" t="s">
        <v>1805</v>
      </c>
      <c r="I567" t="s">
        <v>1807</v>
      </c>
      <c r="J567" s="2">
        <v>44973</v>
      </c>
      <c r="K567">
        <f t="shared" ca="1" si="16"/>
        <v>2</v>
      </c>
      <c r="L567">
        <f t="shared" ca="1" si="17"/>
        <v>9</v>
      </c>
      <c r="M567" t="s">
        <v>1810</v>
      </c>
      <c r="N567">
        <v>5</v>
      </c>
      <c r="O567" t="s">
        <v>1815</v>
      </c>
      <c r="P567" t="s">
        <v>1834</v>
      </c>
    </row>
    <row r="568" spans="1:16" x14ac:dyDescent="0.3">
      <c r="A568" t="s">
        <v>579</v>
      </c>
      <c r="B568" t="s">
        <v>1755</v>
      </c>
      <c r="C568">
        <v>33</v>
      </c>
      <c r="D568" t="s">
        <v>1784</v>
      </c>
      <c r="E568" t="s">
        <v>1792</v>
      </c>
      <c r="F568" t="s">
        <v>1797</v>
      </c>
      <c r="G568" s="5">
        <v>43391</v>
      </c>
      <c r="H568" t="s">
        <v>1802</v>
      </c>
      <c r="I568" t="s">
        <v>1806</v>
      </c>
      <c r="J568" s="2">
        <v>45894</v>
      </c>
      <c r="K568">
        <f t="shared" ca="1" si="16"/>
        <v>0</v>
      </c>
      <c r="L568">
        <f t="shared" ca="1" si="17"/>
        <v>3</v>
      </c>
      <c r="M568" t="s">
        <v>1810</v>
      </c>
      <c r="N568">
        <v>4</v>
      </c>
      <c r="O568" t="s">
        <v>1816</v>
      </c>
      <c r="P568" t="s">
        <v>1833</v>
      </c>
    </row>
    <row r="569" spans="1:16" x14ac:dyDescent="0.3">
      <c r="A569" t="s">
        <v>580</v>
      </c>
      <c r="B569" t="s">
        <v>1749</v>
      </c>
      <c r="C569">
        <v>22</v>
      </c>
      <c r="D569" t="s">
        <v>1783</v>
      </c>
      <c r="E569" t="s">
        <v>1789</v>
      </c>
      <c r="F569" t="s">
        <v>1798</v>
      </c>
      <c r="G569" s="5">
        <v>55363</v>
      </c>
      <c r="H569" t="s">
        <v>1803</v>
      </c>
      <c r="I569" t="s">
        <v>1808</v>
      </c>
      <c r="J569" s="2">
        <v>43807</v>
      </c>
      <c r="K569">
        <f t="shared" ca="1" si="16"/>
        <v>6</v>
      </c>
      <c r="L569">
        <f t="shared" ca="1" si="17"/>
        <v>0</v>
      </c>
      <c r="M569" t="s">
        <v>1810</v>
      </c>
      <c r="N569">
        <v>1</v>
      </c>
      <c r="O569" t="s">
        <v>1813</v>
      </c>
      <c r="P569" t="s">
        <v>1832</v>
      </c>
    </row>
    <row r="570" spans="1:16" x14ac:dyDescent="0.3">
      <c r="A570" t="s">
        <v>581</v>
      </c>
      <c r="B570" t="s">
        <v>1735</v>
      </c>
      <c r="C570">
        <v>31</v>
      </c>
      <c r="D570" t="s">
        <v>1783</v>
      </c>
      <c r="E570" t="s">
        <v>1792</v>
      </c>
      <c r="F570" t="s">
        <v>1795</v>
      </c>
      <c r="G570" s="5">
        <v>81577</v>
      </c>
      <c r="H570" t="s">
        <v>1801</v>
      </c>
      <c r="I570" t="s">
        <v>1807</v>
      </c>
      <c r="J570" s="2">
        <v>43401</v>
      </c>
      <c r="K570">
        <f t="shared" ca="1" si="16"/>
        <v>7</v>
      </c>
      <c r="L570">
        <f t="shared" ca="1" si="17"/>
        <v>1</v>
      </c>
      <c r="M570" t="s">
        <v>1810</v>
      </c>
      <c r="N570">
        <v>5</v>
      </c>
      <c r="O570" t="s">
        <v>1817</v>
      </c>
      <c r="P570" t="s">
        <v>1833</v>
      </c>
    </row>
    <row r="571" spans="1:16" x14ac:dyDescent="0.3">
      <c r="A571" t="s">
        <v>582</v>
      </c>
      <c r="B571" t="s">
        <v>1782</v>
      </c>
      <c r="C571">
        <v>40</v>
      </c>
      <c r="D571" t="s">
        <v>1783</v>
      </c>
      <c r="E571" t="s">
        <v>1793</v>
      </c>
      <c r="F571" t="s">
        <v>1798</v>
      </c>
      <c r="G571" s="5">
        <v>60746</v>
      </c>
      <c r="H571" t="s">
        <v>1801</v>
      </c>
      <c r="I571" t="s">
        <v>1807</v>
      </c>
      <c r="J571" s="2">
        <v>45459</v>
      </c>
      <c r="K571">
        <f t="shared" ca="1" si="16"/>
        <v>1</v>
      </c>
      <c r="L571">
        <f t="shared" ca="1" si="17"/>
        <v>5</v>
      </c>
      <c r="M571" t="s">
        <v>1810</v>
      </c>
      <c r="N571">
        <v>2</v>
      </c>
      <c r="O571" t="s">
        <v>1811</v>
      </c>
      <c r="P571" t="s">
        <v>1831</v>
      </c>
    </row>
    <row r="572" spans="1:16" x14ac:dyDescent="0.3">
      <c r="A572" t="s">
        <v>583</v>
      </c>
      <c r="B572" t="s">
        <v>1779</v>
      </c>
      <c r="C572">
        <v>50</v>
      </c>
      <c r="D572" t="s">
        <v>1785</v>
      </c>
      <c r="E572" t="s">
        <v>1790</v>
      </c>
      <c r="F572" t="s">
        <v>1800</v>
      </c>
      <c r="G572" s="5">
        <v>25122</v>
      </c>
      <c r="H572" t="s">
        <v>1802</v>
      </c>
      <c r="I572" t="s">
        <v>1807</v>
      </c>
      <c r="J572" s="2">
        <v>44934</v>
      </c>
      <c r="K572">
        <f t="shared" ca="1" si="16"/>
        <v>2</v>
      </c>
      <c r="L572">
        <f t="shared" ca="1" si="17"/>
        <v>11</v>
      </c>
      <c r="M572" t="s">
        <v>1810</v>
      </c>
      <c r="N572">
        <v>2</v>
      </c>
      <c r="O572" t="s">
        <v>1811</v>
      </c>
      <c r="P572" t="s">
        <v>1834</v>
      </c>
    </row>
    <row r="573" spans="1:16" x14ac:dyDescent="0.3">
      <c r="A573" t="s">
        <v>584</v>
      </c>
      <c r="B573" t="s">
        <v>1722</v>
      </c>
      <c r="C573">
        <v>49</v>
      </c>
      <c r="D573" t="s">
        <v>1785</v>
      </c>
      <c r="E573" t="s">
        <v>1786</v>
      </c>
      <c r="F573" t="s">
        <v>1796</v>
      </c>
      <c r="G573" s="5">
        <v>100840</v>
      </c>
      <c r="H573" t="s">
        <v>1804</v>
      </c>
      <c r="I573" t="s">
        <v>1807</v>
      </c>
      <c r="J573" s="2">
        <v>43813</v>
      </c>
      <c r="K573">
        <f t="shared" ca="1" si="16"/>
        <v>6</v>
      </c>
      <c r="L573">
        <f t="shared" ca="1" si="17"/>
        <v>11</v>
      </c>
      <c r="M573" t="s">
        <v>1809</v>
      </c>
      <c r="N573">
        <v>1</v>
      </c>
      <c r="O573" t="s">
        <v>1818</v>
      </c>
      <c r="P573" t="s">
        <v>1834</v>
      </c>
    </row>
    <row r="574" spans="1:16" x14ac:dyDescent="0.3">
      <c r="A574" t="s">
        <v>585</v>
      </c>
      <c r="B574" t="s">
        <v>1734</v>
      </c>
      <c r="C574">
        <v>27</v>
      </c>
      <c r="D574" t="s">
        <v>1784</v>
      </c>
      <c r="E574" t="s">
        <v>1790</v>
      </c>
      <c r="F574" t="s">
        <v>1798</v>
      </c>
      <c r="G574" s="5">
        <v>72817</v>
      </c>
      <c r="H574" t="s">
        <v>1804</v>
      </c>
      <c r="I574" t="s">
        <v>1807</v>
      </c>
      <c r="J574" s="2">
        <v>43646</v>
      </c>
      <c r="K574">
        <f t="shared" ca="1" si="16"/>
        <v>6</v>
      </c>
      <c r="L574">
        <f t="shared" ca="1" si="17"/>
        <v>5</v>
      </c>
      <c r="M574" t="s">
        <v>1809</v>
      </c>
      <c r="N574">
        <v>5</v>
      </c>
      <c r="O574" t="s">
        <v>1816</v>
      </c>
      <c r="P574" t="s">
        <v>1833</v>
      </c>
    </row>
    <row r="575" spans="1:16" x14ac:dyDescent="0.3">
      <c r="A575" t="s">
        <v>586</v>
      </c>
      <c r="B575" t="s">
        <v>1759</v>
      </c>
      <c r="C575">
        <v>34</v>
      </c>
      <c r="D575" t="s">
        <v>1783</v>
      </c>
      <c r="E575" t="s">
        <v>1787</v>
      </c>
      <c r="F575" t="s">
        <v>1800</v>
      </c>
      <c r="G575" s="5">
        <v>86389</v>
      </c>
      <c r="H575" t="s">
        <v>1802</v>
      </c>
      <c r="I575" t="s">
        <v>1806</v>
      </c>
      <c r="J575" s="2">
        <v>44377</v>
      </c>
      <c r="K575">
        <f t="shared" ca="1" si="16"/>
        <v>4</v>
      </c>
      <c r="L575">
        <f t="shared" ca="1" si="17"/>
        <v>5</v>
      </c>
      <c r="M575" t="s">
        <v>1810</v>
      </c>
      <c r="N575">
        <v>3</v>
      </c>
      <c r="O575" t="s">
        <v>1818</v>
      </c>
      <c r="P575" t="s">
        <v>1833</v>
      </c>
    </row>
    <row r="576" spans="1:16" x14ac:dyDescent="0.3">
      <c r="A576" t="s">
        <v>587</v>
      </c>
      <c r="B576" t="s">
        <v>1746</v>
      </c>
      <c r="C576">
        <v>35</v>
      </c>
      <c r="D576" t="s">
        <v>1783</v>
      </c>
      <c r="E576" t="s">
        <v>1789</v>
      </c>
      <c r="F576" t="s">
        <v>1795</v>
      </c>
      <c r="G576" s="5">
        <v>74917</v>
      </c>
      <c r="H576" t="s">
        <v>1802</v>
      </c>
      <c r="I576" t="s">
        <v>1806</v>
      </c>
      <c r="J576" s="2">
        <v>43048</v>
      </c>
      <c r="K576">
        <f t="shared" ca="1" si="16"/>
        <v>8</v>
      </c>
      <c r="L576">
        <f t="shared" ca="1" si="17"/>
        <v>1</v>
      </c>
      <c r="M576" t="s">
        <v>1809</v>
      </c>
      <c r="N576">
        <v>4</v>
      </c>
      <c r="O576" t="s">
        <v>1818</v>
      </c>
      <c r="P576" t="s">
        <v>1833</v>
      </c>
    </row>
    <row r="577" spans="1:16" x14ac:dyDescent="0.3">
      <c r="A577" t="s">
        <v>588</v>
      </c>
      <c r="B577" t="s">
        <v>1768</v>
      </c>
      <c r="C577">
        <v>52</v>
      </c>
      <c r="D577" t="s">
        <v>1783</v>
      </c>
      <c r="E577" t="s">
        <v>1787</v>
      </c>
      <c r="F577" t="s">
        <v>1800</v>
      </c>
      <c r="G577" s="5">
        <v>87615</v>
      </c>
      <c r="H577" t="s">
        <v>1803</v>
      </c>
      <c r="I577" t="s">
        <v>1806</v>
      </c>
      <c r="J577" s="2">
        <v>45802</v>
      </c>
      <c r="K577">
        <f t="shared" ca="1" si="16"/>
        <v>0</v>
      </c>
      <c r="L577">
        <f t="shared" ca="1" si="17"/>
        <v>6</v>
      </c>
      <c r="M577" t="s">
        <v>1809</v>
      </c>
      <c r="N577">
        <v>4</v>
      </c>
      <c r="O577" t="s">
        <v>1812</v>
      </c>
      <c r="P577" t="s">
        <v>1834</v>
      </c>
    </row>
    <row r="578" spans="1:16" x14ac:dyDescent="0.3">
      <c r="A578" t="s">
        <v>589</v>
      </c>
      <c r="B578" t="s">
        <v>1779</v>
      </c>
      <c r="C578">
        <v>55</v>
      </c>
      <c r="D578" t="s">
        <v>1783</v>
      </c>
      <c r="E578" t="s">
        <v>1787</v>
      </c>
      <c r="F578" t="s">
        <v>1798</v>
      </c>
      <c r="G578" s="5">
        <v>46574</v>
      </c>
      <c r="H578" t="s">
        <v>1804</v>
      </c>
      <c r="I578" t="s">
        <v>1808</v>
      </c>
      <c r="J578" s="2">
        <v>43417</v>
      </c>
      <c r="K578">
        <f t="shared" ca="1" si="16"/>
        <v>7</v>
      </c>
      <c r="L578">
        <f t="shared" ca="1" si="17"/>
        <v>0</v>
      </c>
      <c r="M578" t="s">
        <v>1809</v>
      </c>
      <c r="N578">
        <v>1</v>
      </c>
      <c r="O578" t="s">
        <v>1812</v>
      </c>
      <c r="P578" t="s">
        <v>1834</v>
      </c>
    </row>
    <row r="579" spans="1:16" x14ac:dyDescent="0.3">
      <c r="A579" t="s">
        <v>590</v>
      </c>
      <c r="B579" t="s">
        <v>1734</v>
      </c>
      <c r="C579">
        <v>49</v>
      </c>
      <c r="D579" t="s">
        <v>1785</v>
      </c>
      <c r="E579" t="s">
        <v>1792</v>
      </c>
      <c r="F579" t="s">
        <v>1800</v>
      </c>
      <c r="G579" s="5">
        <v>77616</v>
      </c>
      <c r="H579" t="s">
        <v>1802</v>
      </c>
      <c r="I579" t="s">
        <v>1806</v>
      </c>
      <c r="J579" s="2">
        <v>44098</v>
      </c>
      <c r="K579">
        <f t="shared" ref="K579:K642" ca="1" si="18">YEAR(TODAY()) - YEAR(J579)</f>
        <v>5</v>
      </c>
      <c r="L579">
        <f t="shared" ref="L579:L642" ca="1" si="19">DATEDIF(J579,TODAY(),"YM")</f>
        <v>2</v>
      </c>
      <c r="M579" t="s">
        <v>1809</v>
      </c>
      <c r="N579">
        <v>3</v>
      </c>
      <c r="O579" t="s">
        <v>1812</v>
      </c>
      <c r="P579" t="s">
        <v>1834</v>
      </c>
    </row>
    <row r="580" spans="1:16" x14ac:dyDescent="0.3">
      <c r="A580" t="s">
        <v>591</v>
      </c>
      <c r="B580" t="s">
        <v>1720</v>
      </c>
      <c r="C580">
        <v>24</v>
      </c>
      <c r="D580" t="s">
        <v>1784</v>
      </c>
      <c r="E580" t="s">
        <v>1789</v>
      </c>
      <c r="F580" t="s">
        <v>1797</v>
      </c>
      <c r="G580" s="5">
        <v>87588</v>
      </c>
      <c r="H580" t="s">
        <v>1804</v>
      </c>
      <c r="I580" t="s">
        <v>1808</v>
      </c>
      <c r="J580" s="2">
        <v>45521</v>
      </c>
      <c r="K580">
        <f t="shared" ca="1" si="18"/>
        <v>1</v>
      </c>
      <c r="L580">
        <f t="shared" ca="1" si="19"/>
        <v>3</v>
      </c>
      <c r="M580" t="s">
        <v>1810</v>
      </c>
      <c r="N580">
        <v>5</v>
      </c>
      <c r="O580" t="s">
        <v>1815</v>
      </c>
      <c r="P580" t="s">
        <v>1832</v>
      </c>
    </row>
    <row r="581" spans="1:16" x14ac:dyDescent="0.3">
      <c r="A581" t="s">
        <v>592</v>
      </c>
      <c r="B581" t="s">
        <v>1777</v>
      </c>
      <c r="C581">
        <v>41</v>
      </c>
      <c r="D581" t="s">
        <v>1785</v>
      </c>
      <c r="E581" t="s">
        <v>1792</v>
      </c>
      <c r="F581" t="s">
        <v>1794</v>
      </c>
      <c r="G581" s="5">
        <v>85467</v>
      </c>
      <c r="H581" t="s">
        <v>1804</v>
      </c>
      <c r="I581" t="s">
        <v>1807</v>
      </c>
      <c r="J581" s="2">
        <v>42892</v>
      </c>
      <c r="K581">
        <f t="shared" ca="1" si="18"/>
        <v>8</v>
      </c>
      <c r="L581">
        <f t="shared" ca="1" si="19"/>
        <v>6</v>
      </c>
      <c r="M581" t="s">
        <v>1810</v>
      </c>
      <c r="N581">
        <v>3</v>
      </c>
      <c r="O581" t="s">
        <v>1812</v>
      </c>
      <c r="P581" t="s">
        <v>1831</v>
      </c>
    </row>
    <row r="582" spans="1:16" x14ac:dyDescent="0.3">
      <c r="A582" t="s">
        <v>593</v>
      </c>
      <c r="B582" t="s">
        <v>1736</v>
      </c>
      <c r="C582">
        <v>43</v>
      </c>
      <c r="D582" t="s">
        <v>1784</v>
      </c>
      <c r="E582" t="s">
        <v>1791</v>
      </c>
      <c r="F582" t="s">
        <v>1795</v>
      </c>
      <c r="G582" s="5">
        <v>102957</v>
      </c>
      <c r="H582" t="s">
        <v>1801</v>
      </c>
      <c r="I582" t="s">
        <v>1806</v>
      </c>
      <c r="J582" s="2">
        <v>45343</v>
      </c>
      <c r="K582">
        <f t="shared" ca="1" si="18"/>
        <v>1</v>
      </c>
      <c r="L582">
        <f t="shared" ca="1" si="19"/>
        <v>9</v>
      </c>
      <c r="M582" t="s">
        <v>1809</v>
      </c>
      <c r="N582">
        <v>2</v>
      </c>
      <c r="O582" t="s">
        <v>1817</v>
      </c>
      <c r="P582" t="s">
        <v>1831</v>
      </c>
    </row>
    <row r="583" spans="1:16" x14ac:dyDescent="0.3">
      <c r="A583" t="s">
        <v>594</v>
      </c>
      <c r="B583" t="s">
        <v>1730</v>
      </c>
      <c r="C583">
        <v>27</v>
      </c>
      <c r="D583" t="s">
        <v>1785</v>
      </c>
      <c r="E583" t="s">
        <v>1790</v>
      </c>
      <c r="F583" t="s">
        <v>1799</v>
      </c>
      <c r="G583" s="5">
        <v>114649</v>
      </c>
      <c r="H583" t="s">
        <v>1805</v>
      </c>
      <c r="I583" t="s">
        <v>1806</v>
      </c>
      <c r="J583" s="2">
        <v>43297</v>
      </c>
      <c r="K583">
        <f t="shared" ca="1" si="18"/>
        <v>7</v>
      </c>
      <c r="L583">
        <f t="shared" ca="1" si="19"/>
        <v>4</v>
      </c>
      <c r="M583" t="s">
        <v>1809</v>
      </c>
      <c r="N583">
        <v>3</v>
      </c>
      <c r="O583" t="s">
        <v>1817</v>
      </c>
      <c r="P583" t="s">
        <v>1833</v>
      </c>
    </row>
    <row r="584" spans="1:16" x14ac:dyDescent="0.3">
      <c r="A584" t="s">
        <v>595</v>
      </c>
      <c r="B584" t="s">
        <v>1763</v>
      </c>
      <c r="C584">
        <v>47</v>
      </c>
      <c r="D584" t="s">
        <v>1784</v>
      </c>
      <c r="E584" t="s">
        <v>1792</v>
      </c>
      <c r="F584" t="s">
        <v>1796</v>
      </c>
      <c r="G584" s="5">
        <v>26305</v>
      </c>
      <c r="H584" t="s">
        <v>1804</v>
      </c>
      <c r="I584" t="s">
        <v>1808</v>
      </c>
      <c r="J584" s="2">
        <v>44429</v>
      </c>
      <c r="K584">
        <f t="shared" ca="1" si="18"/>
        <v>4</v>
      </c>
      <c r="L584">
        <f t="shared" ca="1" si="19"/>
        <v>3</v>
      </c>
      <c r="M584" t="s">
        <v>1809</v>
      </c>
      <c r="N584">
        <v>4</v>
      </c>
      <c r="O584" t="s">
        <v>1814</v>
      </c>
      <c r="P584" t="s">
        <v>1834</v>
      </c>
    </row>
    <row r="585" spans="1:16" x14ac:dyDescent="0.3">
      <c r="A585" t="s">
        <v>596</v>
      </c>
      <c r="B585" t="s">
        <v>1773</v>
      </c>
      <c r="C585">
        <v>43</v>
      </c>
      <c r="D585" t="s">
        <v>1785</v>
      </c>
      <c r="E585" t="s">
        <v>1793</v>
      </c>
      <c r="F585" t="s">
        <v>1800</v>
      </c>
      <c r="G585" s="5">
        <v>42687</v>
      </c>
      <c r="H585" t="s">
        <v>1801</v>
      </c>
      <c r="I585" t="s">
        <v>1807</v>
      </c>
      <c r="J585" s="2">
        <v>44038</v>
      </c>
      <c r="K585">
        <f t="shared" ca="1" si="18"/>
        <v>5</v>
      </c>
      <c r="L585">
        <f t="shared" ca="1" si="19"/>
        <v>4</v>
      </c>
      <c r="M585" t="s">
        <v>1809</v>
      </c>
      <c r="N585">
        <v>3</v>
      </c>
      <c r="O585" t="s">
        <v>1813</v>
      </c>
      <c r="P585" t="s">
        <v>1831</v>
      </c>
    </row>
    <row r="586" spans="1:16" x14ac:dyDescent="0.3">
      <c r="A586" t="s">
        <v>597</v>
      </c>
      <c r="B586" t="s">
        <v>1769</v>
      </c>
      <c r="C586">
        <v>37</v>
      </c>
      <c r="D586" t="s">
        <v>1783</v>
      </c>
      <c r="E586" t="s">
        <v>1791</v>
      </c>
      <c r="F586" t="s">
        <v>1798</v>
      </c>
      <c r="G586" s="5">
        <v>83054</v>
      </c>
      <c r="H586" t="s">
        <v>1802</v>
      </c>
      <c r="I586" t="s">
        <v>1806</v>
      </c>
      <c r="J586" s="2">
        <v>45007</v>
      </c>
      <c r="K586">
        <f t="shared" ca="1" si="18"/>
        <v>2</v>
      </c>
      <c r="L586">
        <f t="shared" ca="1" si="19"/>
        <v>8</v>
      </c>
      <c r="M586" t="s">
        <v>1809</v>
      </c>
      <c r="N586">
        <v>3</v>
      </c>
      <c r="O586" t="s">
        <v>1811</v>
      </c>
      <c r="P586" t="s">
        <v>1831</v>
      </c>
    </row>
    <row r="587" spans="1:16" x14ac:dyDescent="0.3">
      <c r="A587" t="s">
        <v>598</v>
      </c>
      <c r="B587" t="s">
        <v>1756</v>
      </c>
      <c r="C587">
        <v>50</v>
      </c>
      <c r="D587" t="s">
        <v>1784</v>
      </c>
      <c r="E587" t="s">
        <v>1787</v>
      </c>
      <c r="F587" t="s">
        <v>1794</v>
      </c>
      <c r="G587" s="5">
        <v>76177</v>
      </c>
      <c r="H587" t="s">
        <v>1801</v>
      </c>
      <c r="I587" t="s">
        <v>1808</v>
      </c>
      <c r="J587" s="2">
        <v>43212</v>
      </c>
      <c r="K587">
        <f t="shared" ca="1" si="18"/>
        <v>7</v>
      </c>
      <c r="L587">
        <f t="shared" ca="1" si="19"/>
        <v>7</v>
      </c>
      <c r="M587" t="s">
        <v>1809</v>
      </c>
      <c r="N587">
        <v>1</v>
      </c>
      <c r="O587" t="s">
        <v>1815</v>
      </c>
      <c r="P587" t="s">
        <v>1834</v>
      </c>
    </row>
    <row r="588" spans="1:16" x14ac:dyDescent="0.3">
      <c r="A588" t="s">
        <v>599</v>
      </c>
      <c r="B588" t="s">
        <v>1719</v>
      </c>
      <c r="C588">
        <v>41</v>
      </c>
      <c r="D588" t="s">
        <v>1784</v>
      </c>
      <c r="E588" t="s">
        <v>1789</v>
      </c>
      <c r="F588" t="s">
        <v>1794</v>
      </c>
      <c r="G588" s="5">
        <v>103951</v>
      </c>
      <c r="H588" t="s">
        <v>1804</v>
      </c>
      <c r="I588" t="s">
        <v>1808</v>
      </c>
      <c r="J588" s="2">
        <v>44868</v>
      </c>
      <c r="K588">
        <f t="shared" ca="1" si="18"/>
        <v>3</v>
      </c>
      <c r="L588">
        <f t="shared" ca="1" si="19"/>
        <v>1</v>
      </c>
      <c r="M588" t="s">
        <v>1810</v>
      </c>
      <c r="N588">
        <v>4</v>
      </c>
      <c r="O588" t="s">
        <v>1814</v>
      </c>
      <c r="P588" t="s">
        <v>1831</v>
      </c>
    </row>
    <row r="589" spans="1:16" x14ac:dyDescent="0.3">
      <c r="A589" t="s">
        <v>600</v>
      </c>
      <c r="B589" t="s">
        <v>1729</v>
      </c>
      <c r="C589">
        <v>39</v>
      </c>
      <c r="D589" t="s">
        <v>1783</v>
      </c>
      <c r="E589" t="s">
        <v>1788</v>
      </c>
      <c r="F589" t="s">
        <v>1800</v>
      </c>
      <c r="G589" s="5">
        <v>47724</v>
      </c>
      <c r="H589" t="s">
        <v>1804</v>
      </c>
      <c r="I589" t="s">
        <v>1808</v>
      </c>
      <c r="J589" s="2">
        <v>45590</v>
      </c>
      <c r="K589">
        <f t="shared" ca="1" si="18"/>
        <v>1</v>
      </c>
      <c r="L589">
        <f t="shared" ca="1" si="19"/>
        <v>1</v>
      </c>
      <c r="M589" t="s">
        <v>1809</v>
      </c>
      <c r="N589">
        <v>2</v>
      </c>
      <c r="O589" t="s">
        <v>1817</v>
      </c>
      <c r="P589" t="s">
        <v>1831</v>
      </c>
    </row>
    <row r="590" spans="1:16" x14ac:dyDescent="0.3">
      <c r="A590" t="s">
        <v>601</v>
      </c>
      <c r="B590" t="s">
        <v>1728</v>
      </c>
      <c r="C590">
        <v>30</v>
      </c>
      <c r="D590" t="s">
        <v>1785</v>
      </c>
      <c r="E590" t="s">
        <v>1791</v>
      </c>
      <c r="F590" t="s">
        <v>1795</v>
      </c>
      <c r="G590" s="5">
        <v>111298</v>
      </c>
      <c r="H590" t="s">
        <v>1804</v>
      </c>
      <c r="I590" t="s">
        <v>1807</v>
      </c>
      <c r="J590" s="2">
        <v>43156</v>
      </c>
      <c r="K590">
        <f t="shared" ca="1" si="18"/>
        <v>7</v>
      </c>
      <c r="L590">
        <f t="shared" ca="1" si="19"/>
        <v>9</v>
      </c>
      <c r="M590" t="s">
        <v>1809</v>
      </c>
      <c r="N590">
        <v>2</v>
      </c>
      <c r="O590" t="s">
        <v>1815</v>
      </c>
      <c r="P590" t="s">
        <v>1833</v>
      </c>
    </row>
    <row r="591" spans="1:16" x14ac:dyDescent="0.3">
      <c r="A591" t="s">
        <v>602</v>
      </c>
      <c r="B591" t="s">
        <v>1713</v>
      </c>
      <c r="C591">
        <v>40</v>
      </c>
      <c r="D591" t="s">
        <v>1785</v>
      </c>
      <c r="E591" t="s">
        <v>1791</v>
      </c>
      <c r="F591" t="s">
        <v>1796</v>
      </c>
      <c r="G591" s="5">
        <v>75788</v>
      </c>
      <c r="H591" t="s">
        <v>1804</v>
      </c>
      <c r="I591" t="s">
        <v>1807</v>
      </c>
      <c r="J591" s="2">
        <v>43278</v>
      </c>
      <c r="K591">
        <f t="shared" ca="1" si="18"/>
        <v>7</v>
      </c>
      <c r="L591">
        <f t="shared" ca="1" si="19"/>
        <v>5</v>
      </c>
      <c r="M591" t="s">
        <v>1809</v>
      </c>
      <c r="N591">
        <v>3</v>
      </c>
      <c r="O591" t="s">
        <v>1817</v>
      </c>
      <c r="P591" t="s">
        <v>1831</v>
      </c>
    </row>
    <row r="592" spans="1:16" x14ac:dyDescent="0.3">
      <c r="A592" t="s">
        <v>603</v>
      </c>
      <c r="B592" t="s">
        <v>1738</v>
      </c>
      <c r="C592">
        <v>48</v>
      </c>
      <c r="D592" t="s">
        <v>1785</v>
      </c>
      <c r="E592" t="s">
        <v>1791</v>
      </c>
      <c r="F592" t="s">
        <v>1796</v>
      </c>
      <c r="G592" s="5">
        <v>87945</v>
      </c>
      <c r="H592" t="s">
        <v>1801</v>
      </c>
      <c r="I592" t="s">
        <v>1807</v>
      </c>
      <c r="J592" s="2">
        <v>44095</v>
      </c>
      <c r="K592">
        <f t="shared" ca="1" si="18"/>
        <v>5</v>
      </c>
      <c r="L592">
        <f t="shared" ca="1" si="19"/>
        <v>2</v>
      </c>
      <c r="M592" t="s">
        <v>1810</v>
      </c>
      <c r="N592">
        <v>2</v>
      </c>
      <c r="O592" t="s">
        <v>1812</v>
      </c>
      <c r="P592" t="s">
        <v>1834</v>
      </c>
    </row>
    <row r="593" spans="1:16" x14ac:dyDescent="0.3">
      <c r="A593" t="s">
        <v>604</v>
      </c>
      <c r="B593" t="s">
        <v>1722</v>
      </c>
      <c r="C593">
        <v>20</v>
      </c>
      <c r="D593" t="s">
        <v>1785</v>
      </c>
      <c r="E593" t="s">
        <v>1789</v>
      </c>
      <c r="F593" t="s">
        <v>1794</v>
      </c>
      <c r="G593" s="5">
        <v>102835</v>
      </c>
      <c r="H593" t="s">
        <v>1804</v>
      </c>
      <c r="I593" t="s">
        <v>1808</v>
      </c>
      <c r="J593" s="2">
        <v>43625</v>
      </c>
      <c r="K593">
        <f t="shared" ca="1" si="18"/>
        <v>6</v>
      </c>
      <c r="L593">
        <f t="shared" ca="1" si="19"/>
        <v>6</v>
      </c>
      <c r="M593" t="s">
        <v>1809</v>
      </c>
      <c r="N593">
        <v>5</v>
      </c>
      <c r="O593" t="s">
        <v>1812</v>
      </c>
      <c r="P593" t="s">
        <v>1832</v>
      </c>
    </row>
    <row r="594" spans="1:16" x14ac:dyDescent="0.3">
      <c r="A594" t="s">
        <v>605</v>
      </c>
      <c r="B594" t="s">
        <v>1758</v>
      </c>
      <c r="C594">
        <v>27</v>
      </c>
      <c r="D594" t="s">
        <v>1785</v>
      </c>
      <c r="E594" t="s">
        <v>1790</v>
      </c>
      <c r="F594" t="s">
        <v>1798</v>
      </c>
      <c r="G594" s="5">
        <v>23253</v>
      </c>
      <c r="H594" t="s">
        <v>1805</v>
      </c>
      <c r="I594" t="s">
        <v>1807</v>
      </c>
      <c r="J594" s="2">
        <v>43699</v>
      </c>
      <c r="K594">
        <f t="shared" ca="1" si="18"/>
        <v>6</v>
      </c>
      <c r="L594">
        <f t="shared" ca="1" si="19"/>
        <v>3</v>
      </c>
      <c r="M594" t="s">
        <v>1809</v>
      </c>
      <c r="N594">
        <v>4</v>
      </c>
      <c r="O594" t="s">
        <v>1815</v>
      </c>
      <c r="P594" t="s">
        <v>1833</v>
      </c>
    </row>
    <row r="595" spans="1:16" x14ac:dyDescent="0.3">
      <c r="A595" t="s">
        <v>606</v>
      </c>
      <c r="B595" t="s">
        <v>1737</v>
      </c>
      <c r="C595">
        <v>25</v>
      </c>
      <c r="D595" t="s">
        <v>1784</v>
      </c>
      <c r="E595" t="s">
        <v>1792</v>
      </c>
      <c r="F595" t="s">
        <v>1794</v>
      </c>
      <c r="G595" s="5">
        <v>97711</v>
      </c>
      <c r="H595" t="s">
        <v>1802</v>
      </c>
      <c r="I595" t="s">
        <v>1806</v>
      </c>
      <c r="J595" s="2">
        <v>44594</v>
      </c>
      <c r="K595">
        <f t="shared" ca="1" si="18"/>
        <v>3</v>
      </c>
      <c r="L595">
        <f t="shared" ca="1" si="19"/>
        <v>10</v>
      </c>
      <c r="M595" t="s">
        <v>1809</v>
      </c>
      <c r="N595">
        <v>3</v>
      </c>
      <c r="O595" t="s">
        <v>1815</v>
      </c>
      <c r="P595" t="s">
        <v>1832</v>
      </c>
    </row>
    <row r="596" spans="1:16" x14ac:dyDescent="0.3">
      <c r="A596" t="s">
        <v>607</v>
      </c>
      <c r="B596" t="s">
        <v>1714</v>
      </c>
      <c r="C596">
        <v>54</v>
      </c>
      <c r="D596" t="s">
        <v>1784</v>
      </c>
      <c r="E596" t="s">
        <v>1793</v>
      </c>
      <c r="F596" t="s">
        <v>1800</v>
      </c>
      <c r="G596" s="5">
        <v>85081</v>
      </c>
      <c r="H596" t="s">
        <v>1802</v>
      </c>
      <c r="I596" t="s">
        <v>1808</v>
      </c>
      <c r="J596" s="2">
        <v>43739</v>
      </c>
      <c r="K596">
        <f t="shared" ca="1" si="18"/>
        <v>6</v>
      </c>
      <c r="L596">
        <f t="shared" ca="1" si="19"/>
        <v>2</v>
      </c>
      <c r="M596" t="s">
        <v>1809</v>
      </c>
      <c r="N596">
        <v>3</v>
      </c>
      <c r="O596" t="s">
        <v>1811</v>
      </c>
      <c r="P596" t="s">
        <v>1834</v>
      </c>
    </row>
    <row r="597" spans="1:16" x14ac:dyDescent="0.3">
      <c r="A597" t="s">
        <v>608</v>
      </c>
      <c r="B597" t="s">
        <v>1749</v>
      </c>
      <c r="C597">
        <v>47</v>
      </c>
      <c r="D597" t="s">
        <v>1784</v>
      </c>
      <c r="E597" t="s">
        <v>1787</v>
      </c>
      <c r="F597" t="s">
        <v>1797</v>
      </c>
      <c r="G597" s="5">
        <v>66867</v>
      </c>
      <c r="H597" t="s">
        <v>1804</v>
      </c>
      <c r="I597" t="s">
        <v>1808</v>
      </c>
      <c r="J597" s="2">
        <v>43877</v>
      </c>
      <c r="K597">
        <f t="shared" ca="1" si="18"/>
        <v>5</v>
      </c>
      <c r="L597">
        <f t="shared" ca="1" si="19"/>
        <v>9</v>
      </c>
      <c r="M597" t="s">
        <v>1810</v>
      </c>
      <c r="N597">
        <v>4</v>
      </c>
      <c r="O597" t="s">
        <v>1813</v>
      </c>
      <c r="P597" t="s">
        <v>1834</v>
      </c>
    </row>
    <row r="598" spans="1:16" x14ac:dyDescent="0.3">
      <c r="A598" t="s">
        <v>609</v>
      </c>
      <c r="B598" t="s">
        <v>1778</v>
      </c>
      <c r="C598">
        <v>48</v>
      </c>
      <c r="D598" t="s">
        <v>1785</v>
      </c>
      <c r="E598" t="s">
        <v>1787</v>
      </c>
      <c r="F598" t="s">
        <v>1796</v>
      </c>
      <c r="G598" s="5">
        <v>75999</v>
      </c>
      <c r="H598" t="s">
        <v>1802</v>
      </c>
      <c r="I598" t="s">
        <v>1806</v>
      </c>
      <c r="J598" s="2">
        <v>44174</v>
      </c>
      <c r="K598">
        <f t="shared" ca="1" si="18"/>
        <v>5</v>
      </c>
      <c r="L598">
        <f t="shared" ca="1" si="19"/>
        <v>0</v>
      </c>
      <c r="M598" t="s">
        <v>1810</v>
      </c>
      <c r="N598">
        <v>2</v>
      </c>
      <c r="O598" t="s">
        <v>1813</v>
      </c>
      <c r="P598" t="s">
        <v>1834</v>
      </c>
    </row>
    <row r="599" spans="1:16" x14ac:dyDescent="0.3">
      <c r="A599" t="s">
        <v>610</v>
      </c>
      <c r="B599" t="s">
        <v>1776</v>
      </c>
      <c r="C599">
        <v>39</v>
      </c>
      <c r="D599" t="s">
        <v>1784</v>
      </c>
      <c r="E599" t="s">
        <v>1789</v>
      </c>
      <c r="F599" t="s">
        <v>1795</v>
      </c>
      <c r="G599" s="5">
        <v>26665</v>
      </c>
      <c r="H599" t="s">
        <v>1803</v>
      </c>
      <c r="I599" t="s">
        <v>1807</v>
      </c>
      <c r="J599" s="2">
        <v>42465</v>
      </c>
      <c r="K599">
        <f t="shared" ca="1" si="18"/>
        <v>9</v>
      </c>
      <c r="L599">
        <f t="shared" ca="1" si="19"/>
        <v>8</v>
      </c>
      <c r="M599" t="s">
        <v>1810</v>
      </c>
      <c r="N599">
        <v>3</v>
      </c>
      <c r="O599" t="s">
        <v>1811</v>
      </c>
      <c r="P599" t="s">
        <v>1831</v>
      </c>
    </row>
    <row r="600" spans="1:16" x14ac:dyDescent="0.3">
      <c r="A600" t="s">
        <v>611</v>
      </c>
      <c r="B600" t="s">
        <v>1772</v>
      </c>
      <c r="C600">
        <v>49</v>
      </c>
      <c r="D600" t="s">
        <v>1785</v>
      </c>
      <c r="E600" t="s">
        <v>1791</v>
      </c>
      <c r="F600" t="s">
        <v>1798</v>
      </c>
      <c r="G600" s="5">
        <v>44117</v>
      </c>
      <c r="H600" t="s">
        <v>1803</v>
      </c>
      <c r="I600" t="s">
        <v>1808</v>
      </c>
      <c r="J600" s="2">
        <v>44706</v>
      </c>
      <c r="K600">
        <f t="shared" ca="1" si="18"/>
        <v>3</v>
      </c>
      <c r="L600">
        <f t="shared" ca="1" si="19"/>
        <v>6</v>
      </c>
      <c r="M600" t="s">
        <v>1810</v>
      </c>
      <c r="N600">
        <v>1</v>
      </c>
      <c r="O600" t="s">
        <v>1814</v>
      </c>
      <c r="P600" t="s">
        <v>1834</v>
      </c>
    </row>
    <row r="601" spans="1:16" x14ac:dyDescent="0.3">
      <c r="A601" t="s">
        <v>612</v>
      </c>
      <c r="B601" t="s">
        <v>1715</v>
      </c>
      <c r="C601">
        <v>51</v>
      </c>
      <c r="D601" t="s">
        <v>1785</v>
      </c>
      <c r="E601" t="s">
        <v>1790</v>
      </c>
      <c r="F601" t="s">
        <v>1797</v>
      </c>
      <c r="G601" s="5">
        <v>47428</v>
      </c>
      <c r="H601" t="s">
        <v>1801</v>
      </c>
      <c r="I601" t="s">
        <v>1807</v>
      </c>
      <c r="J601" s="2">
        <v>43513</v>
      </c>
      <c r="K601">
        <f t="shared" ca="1" si="18"/>
        <v>6</v>
      </c>
      <c r="L601">
        <f t="shared" ca="1" si="19"/>
        <v>9</v>
      </c>
      <c r="M601" t="s">
        <v>1810</v>
      </c>
      <c r="N601">
        <v>4</v>
      </c>
      <c r="O601" t="s">
        <v>1813</v>
      </c>
      <c r="P601" t="s">
        <v>1834</v>
      </c>
    </row>
    <row r="602" spans="1:16" x14ac:dyDescent="0.3">
      <c r="A602" t="s">
        <v>613</v>
      </c>
      <c r="B602" t="s">
        <v>1728</v>
      </c>
      <c r="C602">
        <v>31</v>
      </c>
      <c r="D602" t="s">
        <v>1784</v>
      </c>
      <c r="E602" t="s">
        <v>1786</v>
      </c>
      <c r="F602" t="s">
        <v>1797</v>
      </c>
      <c r="G602" s="5">
        <v>21728</v>
      </c>
      <c r="H602" t="s">
        <v>1804</v>
      </c>
      <c r="I602" t="s">
        <v>1808</v>
      </c>
      <c r="J602" s="2">
        <v>42711</v>
      </c>
      <c r="K602">
        <f t="shared" ca="1" si="18"/>
        <v>9</v>
      </c>
      <c r="L602">
        <f t="shared" ca="1" si="19"/>
        <v>0</v>
      </c>
      <c r="M602" t="s">
        <v>1810</v>
      </c>
      <c r="N602">
        <v>5</v>
      </c>
      <c r="O602" t="s">
        <v>1812</v>
      </c>
      <c r="P602" t="s">
        <v>1833</v>
      </c>
    </row>
    <row r="603" spans="1:16" x14ac:dyDescent="0.3">
      <c r="A603" t="s">
        <v>614</v>
      </c>
      <c r="B603" t="s">
        <v>1770</v>
      </c>
      <c r="C603">
        <v>36</v>
      </c>
      <c r="D603" t="s">
        <v>1785</v>
      </c>
      <c r="E603" t="s">
        <v>1790</v>
      </c>
      <c r="F603" t="s">
        <v>1799</v>
      </c>
      <c r="G603" s="5">
        <v>108996</v>
      </c>
      <c r="H603" t="s">
        <v>1801</v>
      </c>
      <c r="I603" t="s">
        <v>1808</v>
      </c>
      <c r="J603" s="2">
        <v>44537</v>
      </c>
      <c r="K603">
        <f t="shared" ca="1" si="18"/>
        <v>4</v>
      </c>
      <c r="L603">
        <f t="shared" ca="1" si="19"/>
        <v>0</v>
      </c>
      <c r="M603" t="s">
        <v>1809</v>
      </c>
      <c r="N603">
        <v>3</v>
      </c>
      <c r="O603" t="s">
        <v>1816</v>
      </c>
      <c r="P603" t="s">
        <v>1831</v>
      </c>
    </row>
    <row r="604" spans="1:16" x14ac:dyDescent="0.3">
      <c r="A604" t="s">
        <v>615</v>
      </c>
      <c r="B604" t="s">
        <v>1736</v>
      </c>
      <c r="C604">
        <v>29</v>
      </c>
      <c r="D604" t="s">
        <v>1784</v>
      </c>
      <c r="E604" t="s">
        <v>1790</v>
      </c>
      <c r="F604" t="s">
        <v>1798</v>
      </c>
      <c r="G604" s="5">
        <v>108869</v>
      </c>
      <c r="H604" t="s">
        <v>1804</v>
      </c>
      <c r="I604" t="s">
        <v>1807</v>
      </c>
      <c r="J604" s="2">
        <v>42654</v>
      </c>
      <c r="K604">
        <f t="shared" ca="1" si="18"/>
        <v>9</v>
      </c>
      <c r="L604">
        <f t="shared" ca="1" si="19"/>
        <v>1</v>
      </c>
      <c r="M604" t="s">
        <v>1810</v>
      </c>
      <c r="N604">
        <v>3</v>
      </c>
      <c r="O604" t="s">
        <v>1811</v>
      </c>
      <c r="P604" t="s">
        <v>1833</v>
      </c>
    </row>
    <row r="605" spans="1:16" x14ac:dyDescent="0.3">
      <c r="A605" t="s">
        <v>616</v>
      </c>
      <c r="B605" t="s">
        <v>1724</v>
      </c>
      <c r="C605">
        <v>38</v>
      </c>
      <c r="D605" t="s">
        <v>1784</v>
      </c>
      <c r="E605" t="s">
        <v>1793</v>
      </c>
      <c r="F605" t="s">
        <v>1798</v>
      </c>
      <c r="G605" s="5">
        <v>85353</v>
      </c>
      <c r="H605" t="s">
        <v>1802</v>
      </c>
      <c r="I605" t="s">
        <v>1807</v>
      </c>
      <c r="J605" s="2">
        <v>44890</v>
      </c>
      <c r="K605">
        <f t="shared" ca="1" si="18"/>
        <v>3</v>
      </c>
      <c r="L605">
        <f t="shared" ca="1" si="19"/>
        <v>0</v>
      </c>
      <c r="M605" t="s">
        <v>1809</v>
      </c>
      <c r="N605">
        <v>5</v>
      </c>
      <c r="O605" t="s">
        <v>1817</v>
      </c>
      <c r="P605" t="s">
        <v>1831</v>
      </c>
    </row>
    <row r="606" spans="1:16" x14ac:dyDescent="0.3">
      <c r="A606" t="s">
        <v>617</v>
      </c>
      <c r="B606" t="s">
        <v>1741</v>
      </c>
      <c r="C606">
        <v>39</v>
      </c>
      <c r="D606" t="s">
        <v>1784</v>
      </c>
      <c r="E606" t="s">
        <v>1789</v>
      </c>
      <c r="F606" t="s">
        <v>1795</v>
      </c>
      <c r="G606" s="5">
        <v>30561</v>
      </c>
      <c r="H606" t="s">
        <v>1805</v>
      </c>
      <c r="I606" t="s">
        <v>1808</v>
      </c>
      <c r="J606" s="2">
        <v>45810</v>
      </c>
      <c r="K606">
        <f t="shared" ca="1" si="18"/>
        <v>0</v>
      </c>
      <c r="L606">
        <f t="shared" ca="1" si="19"/>
        <v>6</v>
      </c>
      <c r="M606" t="s">
        <v>1809</v>
      </c>
      <c r="N606">
        <v>1</v>
      </c>
      <c r="O606" t="s">
        <v>1816</v>
      </c>
      <c r="P606" t="s">
        <v>1831</v>
      </c>
    </row>
    <row r="607" spans="1:16" x14ac:dyDescent="0.3">
      <c r="A607" t="s">
        <v>618</v>
      </c>
      <c r="B607" t="s">
        <v>1739</v>
      </c>
      <c r="C607">
        <v>43</v>
      </c>
      <c r="D607" t="s">
        <v>1784</v>
      </c>
      <c r="E607" t="s">
        <v>1787</v>
      </c>
      <c r="F607" t="s">
        <v>1798</v>
      </c>
      <c r="G607" s="5">
        <v>62605</v>
      </c>
      <c r="H607" t="s">
        <v>1801</v>
      </c>
      <c r="I607" t="s">
        <v>1807</v>
      </c>
      <c r="J607" s="2">
        <v>43071</v>
      </c>
      <c r="K607">
        <f t="shared" ca="1" si="18"/>
        <v>8</v>
      </c>
      <c r="L607">
        <f t="shared" ca="1" si="19"/>
        <v>0</v>
      </c>
      <c r="M607" t="s">
        <v>1809</v>
      </c>
      <c r="N607">
        <v>2</v>
      </c>
      <c r="O607" t="s">
        <v>1813</v>
      </c>
      <c r="P607" t="s">
        <v>1831</v>
      </c>
    </row>
    <row r="608" spans="1:16" x14ac:dyDescent="0.3">
      <c r="A608" t="s">
        <v>619</v>
      </c>
      <c r="B608" t="s">
        <v>1723</v>
      </c>
      <c r="C608">
        <v>24</v>
      </c>
      <c r="D608" t="s">
        <v>1783</v>
      </c>
      <c r="E608" t="s">
        <v>1791</v>
      </c>
      <c r="F608" t="s">
        <v>1800</v>
      </c>
      <c r="G608" s="5">
        <v>20277</v>
      </c>
      <c r="H608" t="s">
        <v>1804</v>
      </c>
      <c r="I608" t="s">
        <v>1808</v>
      </c>
      <c r="J608" s="2">
        <v>45268</v>
      </c>
      <c r="K608">
        <f t="shared" ca="1" si="18"/>
        <v>2</v>
      </c>
      <c r="L608">
        <f t="shared" ca="1" si="19"/>
        <v>0</v>
      </c>
      <c r="M608" t="s">
        <v>1810</v>
      </c>
      <c r="N608">
        <v>2</v>
      </c>
      <c r="O608" t="s">
        <v>1812</v>
      </c>
      <c r="P608" t="s">
        <v>1832</v>
      </c>
    </row>
    <row r="609" spans="1:16" x14ac:dyDescent="0.3">
      <c r="A609" t="s">
        <v>620</v>
      </c>
      <c r="B609" t="s">
        <v>1759</v>
      </c>
      <c r="C609">
        <v>41</v>
      </c>
      <c r="D609" t="s">
        <v>1783</v>
      </c>
      <c r="E609" t="s">
        <v>1788</v>
      </c>
      <c r="F609" t="s">
        <v>1794</v>
      </c>
      <c r="G609" s="5">
        <v>21769</v>
      </c>
      <c r="H609" t="s">
        <v>1801</v>
      </c>
      <c r="I609" t="s">
        <v>1807</v>
      </c>
      <c r="J609" s="2">
        <v>42965</v>
      </c>
      <c r="K609">
        <f t="shared" ca="1" si="18"/>
        <v>8</v>
      </c>
      <c r="L609">
        <f t="shared" ca="1" si="19"/>
        <v>3</v>
      </c>
      <c r="M609" t="s">
        <v>1809</v>
      </c>
      <c r="N609">
        <v>2</v>
      </c>
      <c r="O609" t="s">
        <v>1814</v>
      </c>
      <c r="P609" t="s">
        <v>1831</v>
      </c>
    </row>
    <row r="610" spans="1:16" x14ac:dyDescent="0.3">
      <c r="A610" t="s">
        <v>621</v>
      </c>
      <c r="B610" t="s">
        <v>1776</v>
      </c>
      <c r="C610">
        <v>28</v>
      </c>
      <c r="D610" t="s">
        <v>1783</v>
      </c>
      <c r="E610" t="s">
        <v>1787</v>
      </c>
      <c r="F610" t="s">
        <v>1799</v>
      </c>
      <c r="G610" s="5">
        <v>108546</v>
      </c>
      <c r="H610" t="s">
        <v>1801</v>
      </c>
      <c r="I610" t="s">
        <v>1807</v>
      </c>
      <c r="J610" s="2">
        <v>42515</v>
      </c>
      <c r="K610">
        <f t="shared" ca="1" si="18"/>
        <v>9</v>
      </c>
      <c r="L610">
        <f t="shared" ca="1" si="19"/>
        <v>6</v>
      </c>
      <c r="M610" t="s">
        <v>1810</v>
      </c>
      <c r="N610">
        <v>4</v>
      </c>
      <c r="O610" t="s">
        <v>1818</v>
      </c>
      <c r="P610" t="s">
        <v>1833</v>
      </c>
    </row>
    <row r="611" spans="1:16" x14ac:dyDescent="0.3">
      <c r="A611" t="s">
        <v>622</v>
      </c>
      <c r="B611" t="s">
        <v>1779</v>
      </c>
      <c r="C611">
        <v>22</v>
      </c>
      <c r="D611" t="s">
        <v>1785</v>
      </c>
      <c r="E611" t="s">
        <v>1792</v>
      </c>
      <c r="F611" t="s">
        <v>1797</v>
      </c>
      <c r="G611" s="5">
        <v>79483</v>
      </c>
      <c r="H611" t="s">
        <v>1804</v>
      </c>
      <c r="I611" t="s">
        <v>1807</v>
      </c>
      <c r="J611" s="2">
        <v>42709</v>
      </c>
      <c r="K611">
        <f t="shared" ca="1" si="18"/>
        <v>9</v>
      </c>
      <c r="L611">
        <f t="shared" ca="1" si="19"/>
        <v>0</v>
      </c>
      <c r="M611" t="s">
        <v>1810</v>
      </c>
      <c r="N611">
        <v>1</v>
      </c>
      <c r="O611" t="s">
        <v>1813</v>
      </c>
      <c r="P611" t="s">
        <v>1832</v>
      </c>
    </row>
    <row r="612" spans="1:16" x14ac:dyDescent="0.3">
      <c r="A612" t="s">
        <v>623</v>
      </c>
      <c r="B612" t="s">
        <v>1777</v>
      </c>
      <c r="C612">
        <v>33</v>
      </c>
      <c r="D612" t="s">
        <v>1785</v>
      </c>
      <c r="E612" t="s">
        <v>1786</v>
      </c>
      <c r="F612" t="s">
        <v>1794</v>
      </c>
      <c r="G612" s="5">
        <v>42219</v>
      </c>
      <c r="H612" t="s">
        <v>1804</v>
      </c>
      <c r="I612" t="s">
        <v>1807</v>
      </c>
      <c r="J612" s="2">
        <v>42809</v>
      </c>
      <c r="K612">
        <f t="shared" ca="1" si="18"/>
        <v>8</v>
      </c>
      <c r="L612">
        <f t="shared" ca="1" si="19"/>
        <v>8</v>
      </c>
      <c r="M612" t="s">
        <v>1809</v>
      </c>
      <c r="N612">
        <v>3</v>
      </c>
      <c r="O612" t="s">
        <v>1817</v>
      </c>
      <c r="P612" t="s">
        <v>1833</v>
      </c>
    </row>
    <row r="613" spans="1:16" x14ac:dyDescent="0.3">
      <c r="A613" t="s">
        <v>624</v>
      </c>
      <c r="B613" t="s">
        <v>1722</v>
      </c>
      <c r="C613">
        <v>52</v>
      </c>
      <c r="D613" t="s">
        <v>1785</v>
      </c>
      <c r="E613" t="s">
        <v>1786</v>
      </c>
      <c r="F613" t="s">
        <v>1795</v>
      </c>
      <c r="G613" s="5">
        <v>84179</v>
      </c>
      <c r="H613" t="s">
        <v>1801</v>
      </c>
      <c r="I613" t="s">
        <v>1807</v>
      </c>
      <c r="J613" s="2">
        <v>45795</v>
      </c>
      <c r="K613">
        <f t="shared" ca="1" si="18"/>
        <v>0</v>
      </c>
      <c r="L613">
        <f t="shared" ca="1" si="19"/>
        <v>6</v>
      </c>
      <c r="M613" t="s">
        <v>1809</v>
      </c>
      <c r="N613">
        <v>5</v>
      </c>
      <c r="O613" t="s">
        <v>1815</v>
      </c>
      <c r="P613" t="s">
        <v>1834</v>
      </c>
    </row>
    <row r="614" spans="1:16" x14ac:dyDescent="0.3">
      <c r="A614" t="s">
        <v>625</v>
      </c>
      <c r="B614" t="s">
        <v>1762</v>
      </c>
      <c r="C614">
        <v>30</v>
      </c>
      <c r="D614" t="s">
        <v>1785</v>
      </c>
      <c r="E614" t="s">
        <v>1792</v>
      </c>
      <c r="F614" t="s">
        <v>1797</v>
      </c>
      <c r="G614" s="5">
        <v>113072</v>
      </c>
      <c r="H614" t="s">
        <v>1802</v>
      </c>
      <c r="I614" t="s">
        <v>1806</v>
      </c>
      <c r="J614" s="2">
        <v>45924</v>
      </c>
      <c r="K614">
        <f t="shared" ca="1" si="18"/>
        <v>0</v>
      </c>
      <c r="L614">
        <f t="shared" ca="1" si="19"/>
        <v>2</v>
      </c>
      <c r="M614" t="s">
        <v>1810</v>
      </c>
      <c r="N614">
        <v>3</v>
      </c>
      <c r="O614" t="s">
        <v>1816</v>
      </c>
      <c r="P614" t="s">
        <v>1833</v>
      </c>
    </row>
    <row r="615" spans="1:16" x14ac:dyDescent="0.3">
      <c r="A615" t="s">
        <v>626</v>
      </c>
      <c r="B615" t="s">
        <v>1747</v>
      </c>
      <c r="C615">
        <v>26</v>
      </c>
      <c r="D615" t="s">
        <v>1783</v>
      </c>
      <c r="E615" t="s">
        <v>1789</v>
      </c>
      <c r="F615" t="s">
        <v>1800</v>
      </c>
      <c r="G615" s="5">
        <v>67756</v>
      </c>
      <c r="H615" t="s">
        <v>1802</v>
      </c>
      <c r="I615" t="s">
        <v>1806</v>
      </c>
      <c r="J615" s="2">
        <v>43370</v>
      </c>
      <c r="K615">
        <f t="shared" ca="1" si="18"/>
        <v>7</v>
      </c>
      <c r="L615">
        <f t="shared" ca="1" si="19"/>
        <v>2</v>
      </c>
      <c r="M615" t="s">
        <v>1810</v>
      </c>
      <c r="N615">
        <v>1</v>
      </c>
      <c r="O615" t="s">
        <v>1817</v>
      </c>
      <c r="P615" t="s">
        <v>1833</v>
      </c>
    </row>
    <row r="616" spans="1:16" x14ac:dyDescent="0.3">
      <c r="A616" t="s">
        <v>627</v>
      </c>
      <c r="B616" t="s">
        <v>1718</v>
      </c>
      <c r="C616">
        <v>27</v>
      </c>
      <c r="D616" t="s">
        <v>1785</v>
      </c>
      <c r="E616" t="s">
        <v>1791</v>
      </c>
      <c r="F616" t="s">
        <v>1799</v>
      </c>
      <c r="G616" s="5">
        <v>82987</v>
      </c>
      <c r="H616" t="s">
        <v>1804</v>
      </c>
      <c r="I616" t="s">
        <v>1806</v>
      </c>
      <c r="J616" s="2">
        <v>43618</v>
      </c>
      <c r="K616">
        <f t="shared" ca="1" si="18"/>
        <v>6</v>
      </c>
      <c r="L616">
        <f t="shared" ca="1" si="19"/>
        <v>6</v>
      </c>
      <c r="M616" t="s">
        <v>1809</v>
      </c>
      <c r="N616">
        <v>1</v>
      </c>
      <c r="O616" t="s">
        <v>1817</v>
      </c>
      <c r="P616" t="s">
        <v>1833</v>
      </c>
    </row>
    <row r="617" spans="1:16" x14ac:dyDescent="0.3">
      <c r="A617" t="s">
        <v>628</v>
      </c>
      <c r="B617" t="s">
        <v>1726</v>
      </c>
      <c r="C617">
        <v>44</v>
      </c>
      <c r="D617" t="s">
        <v>1784</v>
      </c>
      <c r="E617" t="s">
        <v>1790</v>
      </c>
      <c r="F617" t="s">
        <v>1794</v>
      </c>
      <c r="G617" s="5">
        <v>96694</v>
      </c>
      <c r="H617" t="s">
        <v>1804</v>
      </c>
      <c r="I617" t="s">
        <v>1806</v>
      </c>
      <c r="J617" s="2">
        <v>45883</v>
      </c>
      <c r="K617">
        <f t="shared" ca="1" si="18"/>
        <v>0</v>
      </c>
      <c r="L617">
        <f t="shared" ca="1" si="19"/>
        <v>3</v>
      </c>
      <c r="M617" t="s">
        <v>1810</v>
      </c>
      <c r="N617">
        <v>2</v>
      </c>
      <c r="O617" t="s">
        <v>1811</v>
      </c>
      <c r="P617" t="s">
        <v>1831</v>
      </c>
    </row>
    <row r="618" spans="1:16" x14ac:dyDescent="0.3">
      <c r="A618" t="s">
        <v>629</v>
      </c>
      <c r="B618" t="s">
        <v>1725</v>
      </c>
      <c r="C618">
        <v>47</v>
      </c>
      <c r="D618" t="s">
        <v>1783</v>
      </c>
      <c r="E618" t="s">
        <v>1793</v>
      </c>
      <c r="F618" t="s">
        <v>1794</v>
      </c>
      <c r="G618" s="5">
        <v>80347</v>
      </c>
      <c r="H618" t="s">
        <v>1804</v>
      </c>
      <c r="I618" t="s">
        <v>1807</v>
      </c>
      <c r="J618" s="2">
        <v>42490</v>
      </c>
      <c r="K618">
        <f t="shared" ca="1" si="18"/>
        <v>9</v>
      </c>
      <c r="L618">
        <f t="shared" ca="1" si="19"/>
        <v>7</v>
      </c>
      <c r="M618" t="s">
        <v>1810</v>
      </c>
      <c r="N618">
        <v>1</v>
      </c>
      <c r="O618" t="s">
        <v>1811</v>
      </c>
      <c r="P618" t="s">
        <v>1834</v>
      </c>
    </row>
    <row r="619" spans="1:16" x14ac:dyDescent="0.3">
      <c r="A619" t="s">
        <v>630</v>
      </c>
      <c r="B619" t="s">
        <v>1773</v>
      </c>
      <c r="C619">
        <v>25</v>
      </c>
      <c r="D619" t="s">
        <v>1783</v>
      </c>
      <c r="E619" t="s">
        <v>1791</v>
      </c>
      <c r="F619" t="s">
        <v>1800</v>
      </c>
      <c r="G619" s="5">
        <v>69748</v>
      </c>
      <c r="H619" t="s">
        <v>1805</v>
      </c>
      <c r="I619" t="s">
        <v>1807</v>
      </c>
      <c r="J619" s="2">
        <v>45474</v>
      </c>
      <c r="K619">
        <f t="shared" ca="1" si="18"/>
        <v>1</v>
      </c>
      <c r="L619">
        <f t="shared" ca="1" si="19"/>
        <v>5</v>
      </c>
      <c r="M619" t="s">
        <v>1809</v>
      </c>
      <c r="N619">
        <v>1</v>
      </c>
      <c r="O619" t="s">
        <v>1817</v>
      </c>
      <c r="P619" t="s">
        <v>1832</v>
      </c>
    </row>
    <row r="620" spans="1:16" x14ac:dyDescent="0.3">
      <c r="A620" t="s">
        <v>631</v>
      </c>
      <c r="B620" t="s">
        <v>1762</v>
      </c>
      <c r="C620">
        <v>32</v>
      </c>
      <c r="D620" t="s">
        <v>1785</v>
      </c>
      <c r="E620" t="s">
        <v>1787</v>
      </c>
      <c r="F620" t="s">
        <v>1798</v>
      </c>
      <c r="G620" s="5">
        <v>34090</v>
      </c>
      <c r="H620" t="s">
        <v>1803</v>
      </c>
      <c r="I620" t="s">
        <v>1806</v>
      </c>
      <c r="J620" s="2">
        <v>44482</v>
      </c>
      <c r="K620">
        <f t="shared" ca="1" si="18"/>
        <v>4</v>
      </c>
      <c r="L620">
        <f t="shared" ca="1" si="19"/>
        <v>1</v>
      </c>
      <c r="M620" t="s">
        <v>1810</v>
      </c>
      <c r="N620">
        <v>5</v>
      </c>
      <c r="O620" t="s">
        <v>1814</v>
      </c>
      <c r="P620" t="s">
        <v>1833</v>
      </c>
    </row>
    <row r="621" spans="1:16" x14ac:dyDescent="0.3">
      <c r="A621" t="s">
        <v>632</v>
      </c>
      <c r="B621" t="s">
        <v>1754</v>
      </c>
      <c r="C621">
        <v>50</v>
      </c>
      <c r="D621" t="s">
        <v>1785</v>
      </c>
      <c r="E621" t="s">
        <v>1787</v>
      </c>
      <c r="F621" t="s">
        <v>1795</v>
      </c>
      <c r="G621" s="5">
        <v>81508</v>
      </c>
      <c r="H621" t="s">
        <v>1804</v>
      </c>
      <c r="I621" t="s">
        <v>1807</v>
      </c>
      <c r="J621" s="2">
        <v>45583</v>
      </c>
      <c r="K621">
        <f t="shared" ca="1" si="18"/>
        <v>1</v>
      </c>
      <c r="L621">
        <f t="shared" ca="1" si="19"/>
        <v>1</v>
      </c>
      <c r="M621" t="s">
        <v>1810</v>
      </c>
      <c r="N621">
        <v>1</v>
      </c>
      <c r="O621" t="s">
        <v>1813</v>
      </c>
      <c r="P621" t="s">
        <v>1834</v>
      </c>
    </row>
    <row r="622" spans="1:16" x14ac:dyDescent="0.3">
      <c r="A622" t="s">
        <v>633</v>
      </c>
      <c r="B622" t="s">
        <v>1728</v>
      </c>
      <c r="C622">
        <v>51</v>
      </c>
      <c r="D622" t="s">
        <v>1783</v>
      </c>
      <c r="E622" t="s">
        <v>1791</v>
      </c>
      <c r="F622" t="s">
        <v>1797</v>
      </c>
      <c r="G622" s="5">
        <v>21895</v>
      </c>
      <c r="H622" t="s">
        <v>1801</v>
      </c>
      <c r="I622" t="s">
        <v>1807</v>
      </c>
      <c r="J622" s="2">
        <v>44478</v>
      </c>
      <c r="K622">
        <f t="shared" ca="1" si="18"/>
        <v>4</v>
      </c>
      <c r="L622">
        <f t="shared" ca="1" si="19"/>
        <v>2</v>
      </c>
      <c r="M622" t="s">
        <v>1809</v>
      </c>
      <c r="N622">
        <v>2</v>
      </c>
      <c r="O622" t="s">
        <v>1811</v>
      </c>
      <c r="P622" t="s">
        <v>1834</v>
      </c>
    </row>
    <row r="623" spans="1:16" x14ac:dyDescent="0.3">
      <c r="A623" t="s">
        <v>634</v>
      </c>
      <c r="B623" t="s">
        <v>1760</v>
      </c>
      <c r="C623">
        <v>40</v>
      </c>
      <c r="D623" t="s">
        <v>1783</v>
      </c>
      <c r="E623" t="s">
        <v>1788</v>
      </c>
      <c r="F623" t="s">
        <v>1795</v>
      </c>
      <c r="G623" s="5">
        <v>99522</v>
      </c>
      <c r="H623" t="s">
        <v>1801</v>
      </c>
      <c r="I623" t="s">
        <v>1807</v>
      </c>
      <c r="J623" s="2">
        <v>45145</v>
      </c>
      <c r="K623">
        <f t="shared" ca="1" si="18"/>
        <v>2</v>
      </c>
      <c r="L623">
        <f t="shared" ca="1" si="19"/>
        <v>4</v>
      </c>
      <c r="M623" t="s">
        <v>1810</v>
      </c>
      <c r="N623">
        <v>4</v>
      </c>
      <c r="O623" t="s">
        <v>1815</v>
      </c>
      <c r="P623" t="s">
        <v>1831</v>
      </c>
    </row>
    <row r="624" spans="1:16" x14ac:dyDescent="0.3">
      <c r="A624" t="s">
        <v>635</v>
      </c>
      <c r="B624" t="s">
        <v>1780</v>
      </c>
      <c r="C624">
        <v>51</v>
      </c>
      <c r="D624" t="s">
        <v>1784</v>
      </c>
      <c r="E624" t="s">
        <v>1788</v>
      </c>
      <c r="F624" t="s">
        <v>1796</v>
      </c>
      <c r="G624" s="5">
        <v>89098</v>
      </c>
      <c r="H624" t="s">
        <v>1805</v>
      </c>
      <c r="I624" t="s">
        <v>1806</v>
      </c>
      <c r="J624" s="2">
        <v>42510</v>
      </c>
      <c r="K624">
        <f t="shared" ca="1" si="18"/>
        <v>9</v>
      </c>
      <c r="L624">
        <f t="shared" ca="1" si="19"/>
        <v>6</v>
      </c>
      <c r="M624" t="s">
        <v>1809</v>
      </c>
      <c r="N624">
        <v>4</v>
      </c>
      <c r="O624" t="s">
        <v>1813</v>
      </c>
      <c r="P624" t="s">
        <v>1834</v>
      </c>
    </row>
    <row r="625" spans="1:16" x14ac:dyDescent="0.3">
      <c r="A625" t="s">
        <v>636</v>
      </c>
      <c r="B625" t="s">
        <v>1723</v>
      </c>
      <c r="C625">
        <v>40</v>
      </c>
      <c r="D625" t="s">
        <v>1784</v>
      </c>
      <c r="E625" t="s">
        <v>1790</v>
      </c>
      <c r="F625" t="s">
        <v>1797</v>
      </c>
      <c r="G625" s="5">
        <v>78248</v>
      </c>
      <c r="H625" t="s">
        <v>1801</v>
      </c>
      <c r="I625" t="s">
        <v>1807</v>
      </c>
      <c r="J625" s="2">
        <v>44718</v>
      </c>
      <c r="K625">
        <f t="shared" ca="1" si="18"/>
        <v>3</v>
      </c>
      <c r="L625">
        <f t="shared" ca="1" si="19"/>
        <v>6</v>
      </c>
      <c r="M625" t="s">
        <v>1810</v>
      </c>
      <c r="N625">
        <v>2</v>
      </c>
      <c r="O625" t="s">
        <v>1812</v>
      </c>
      <c r="P625" t="s">
        <v>1831</v>
      </c>
    </row>
    <row r="626" spans="1:16" x14ac:dyDescent="0.3">
      <c r="A626" t="s">
        <v>637</v>
      </c>
      <c r="B626" t="s">
        <v>1782</v>
      </c>
      <c r="C626">
        <v>39</v>
      </c>
      <c r="D626" t="s">
        <v>1785</v>
      </c>
      <c r="E626" t="s">
        <v>1787</v>
      </c>
      <c r="F626" t="s">
        <v>1799</v>
      </c>
      <c r="G626" s="5">
        <v>81891</v>
      </c>
      <c r="H626" t="s">
        <v>1801</v>
      </c>
      <c r="I626" t="s">
        <v>1806</v>
      </c>
      <c r="J626" s="2">
        <v>45202</v>
      </c>
      <c r="K626">
        <f t="shared" ca="1" si="18"/>
        <v>2</v>
      </c>
      <c r="L626">
        <f t="shared" ca="1" si="19"/>
        <v>2</v>
      </c>
      <c r="M626" t="s">
        <v>1810</v>
      </c>
      <c r="N626">
        <v>5</v>
      </c>
      <c r="O626" t="s">
        <v>1812</v>
      </c>
      <c r="P626" t="s">
        <v>1831</v>
      </c>
    </row>
    <row r="627" spans="1:16" x14ac:dyDescent="0.3">
      <c r="A627" t="s">
        <v>638</v>
      </c>
      <c r="B627" t="s">
        <v>1773</v>
      </c>
      <c r="C627">
        <v>30</v>
      </c>
      <c r="D627" t="s">
        <v>1785</v>
      </c>
      <c r="E627" t="s">
        <v>1792</v>
      </c>
      <c r="F627" t="s">
        <v>1796</v>
      </c>
      <c r="G627" s="5">
        <v>69299</v>
      </c>
      <c r="H627" t="s">
        <v>1803</v>
      </c>
      <c r="I627" t="s">
        <v>1806</v>
      </c>
      <c r="J627" s="2">
        <v>43985</v>
      </c>
      <c r="K627">
        <f t="shared" ca="1" si="18"/>
        <v>5</v>
      </c>
      <c r="L627">
        <f t="shared" ca="1" si="19"/>
        <v>6</v>
      </c>
      <c r="M627" t="s">
        <v>1810</v>
      </c>
      <c r="N627">
        <v>3</v>
      </c>
      <c r="O627" t="s">
        <v>1817</v>
      </c>
      <c r="P627" t="s">
        <v>1833</v>
      </c>
    </row>
    <row r="628" spans="1:16" x14ac:dyDescent="0.3">
      <c r="A628" t="s">
        <v>639</v>
      </c>
      <c r="B628" t="s">
        <v>1714</v>
      </c>
      <c r="C628">
        <v>57</v>
      </c>
      <c r="D628" t="s">
        <v>1783</v>
      </c>
      <c r="E628" t="s">
        <v>1791</v>
      </c>
      <c r="F628" t="s">
        <v>1796</v>
      </c>
      <c r="G628" s="5">
        <v>66026</v>
      </c>
      <c r="H628" t="s">
        <v>1805</v>
      </c>
      <c r="I628" t="s">
        <v>1807</v>
      </c>
      <c r="J628" s="2">
        <v>45572</v>
      </c>
      <c r="K628">
        <f t="shared" ca="1" si="18"/>
        <v>1</v>
      </c>
      <c r="L628">
        <f t="shared" ca="1" si="19"/>
        <v>2</v>
      </c>
      <c r="M628" t="s">
        <v>1810</v>
      </c>
      <c r="N628">
        <v>4</v>
      </c>
      <c r="O628" t="s">
        <v>1813</v>
      </c>
      <c r="P628" t="s">
        <v>1834</v>
      </c>
    </row>
    <row r="629" spans="1:16" x14ac:dyDescent="0.3">
      <c r="A629" t="s">
        <v>640</v>
      </c>
      <c r="B629" t="s">
        <v>1754</v>
      </c>
      <c r="C629">
        <v>42</v>
      </c>
      <c r="D629" t="s">
        <v>1784</v>
      </c>
      <c r="E629" t="s">
        <v>1789</v>
      </c>
      <c r="F629" t="s">
        <v>1794</v>
      </c>
      <c r="G629" s="5">
        <v>25398</v>
      </c>
      <c r="H629" t="s">
        <v>1802</v>
      </c>
      <c r="I629" t="s">
        <v>1807</v>
      </c>
      <c r="J629" s="2">
        <v>43399</v>
      </c>
      <c r="K629">
        <f t="shared" ca="1" si="18"/>
        <v>7</v>
      </c>
      <c r="L629">
        <f t="shared" ca="1" si="19"/>
        <v>1</v>
      </c>
      <c r="M629" t="s">
        <v>1810</v>
      </c>
      <c r="N629">
        <v>5</v>
      </c>
      <c r="O629" t="s">
        <v>1813</v>
      </c>
      <c r="P629" t="s">
        <v>1831</v>
      </c>
    </row>
    <row r="630" spans="1:16" x14ac:dyDescent="0.3">
      <c r="A630" t="s">
        <v>641</v>
      </c>
      <c r="B630" t="s">
        <v>1765</v>
      </c>
      <c r="C630">
        <v>39</v>
      </c>
      <c r="D630" t="s">
        <v>1783</v>
      </c>
      <c r="E630" t="s">
        <v>1789</v>
      </c>
      <c r="F630" t="s">
        <v>1797</v>
      </c>
      <c r="G630" s="5">
        <v>40253</v>
      </c>
      <c r="H630" t="s">
        <v>1805</v>
      </c>
      <c r="I630" t="s">
        <v>1808</v>
      </c>
      <c r="J630" s="2">
        <v>42591</v>
      </c>
      <c r="K630">
        <f t="shared" ca="1" si="18"/>
        <v>9</v>
      </c>
      <c r="L630">
        <f t="shared" ca="1" si="19"/>
        <v>4</v>
      </c>
      <c r="M630" t="s">
        <v>1810</v>
      </c>
      <c r="N630">
        <v>4</v>
      </c>
      <c r="O630" t="s">
        <v>1811</v>
      </c>
      <c r="P630" t="s">
        <v>1831</v>
      </c>
    </row>
    <row r="631" spans="1:16" x14ac:dyDescent="0.3">
      <c r="A631" t="s">
        <v>642</v>
      </c>
      <c r="B631" t="s">
        <v>1767</v>
      </c>
      <c r="C631">
        <v>50</v>
      </c>
      <c r="D631" t="s">
        <v>1785</v>
      </c>
      <c r="E631" t="s">
        <v>1792</v>
      </c>
      <c r="F631" t="s">
        <v>1800</v>
      </c>
      <c r="G631" s="5">
        <v>59486</v>
      </c>
      <c r="H631" t="s">
        <v>1805</v>
      </c>
      <c r="I631" t="s">
        <v>1808</v>
      </c>
      <c r="J631" s="2">
        <v>43758</v>
      </c>
      <c r="K631">
        <f t="shared" ca="1" si="18"/>
        <v>6</v>
      </c>
      <c r="L631">
        <f t="shared" ca="1" si="19"/>
        <v>1</v>
      </c>
      <c r="M631" t="s">
        <v>1809</v>
      </c>
      <c r="N631">
        <v>4</v>
      </c>
      <c r="O631" t="s">
        <v>1813</v>
      </c>
      <c r="P631" t="s">
        <v>1834</v>
      </c>
    </row>
    <row r="632" spans="1:16" x14ac:dyDescent="0.3">
      <c r="A632" t="s">
        <v>643</v>
      </c>
      <c r="B632" t="s">
        <v>1762</v>
      </c>
      <c r="C632">
        <v>51</v>
      </c>
      <c r="D632" t="s">
        <v>1785</v>
      </c>
      <c r="E632" t="s">
        <v>1789</v>
      </c>
      <c r="F632" t="s">
        <v>1795</v>
      </c>
      <c r="G632" s="5">
        <v>39840</v>
      </c>
      <c r="H632" t="s">
        <v>1804</v>
      </c>
      <c r="I632" t="s">
        <v>1808</v>
      </c>
      <c r="J632" s="2">
        <v>44223</v>
      </c>
      <c r="K632">
        <f t="shared" ca="1" si="18"/>
        <v>4</v>
      </c>
      <c r="L632">
        <f t="shared" ca="1" si="19"/>
        <v>10</v>
      </c>
      <c r="M632" t="s">
        <v>1809</v>
      </c>
      <c r="N632">
        <v>4</v>
      </c>
      <c r="O632" t="s">
        <v>1813</v>
      </c>
      <c r="P632" t="s">
        <v>1834</v>
      </c>
    </row>
    <row r="633" spans="1:16" x14ac:dyDescent="0.3">
      <c r="A633" t="s">
        <v>644</v>
      </c>
      <c r="B633" t="s">
        <v>1756</v>
      </c>
      <c r="C633">
        <v>38</v>
      </c>
      <c r="D633" t="s">
        <v>1784</v>
      </c>
      <c r="E633" t="s">
        <v>1792</v>
      </c>
      <c r="F633" t="s">
        <v>1795</v>
      </c>
      <c r="G633" s="5">
        <v>56970</v>
      </c>
      <c r="H633" t="s">
        <v>1803</v>
      </c>
      <c r="I633" t="s">
        <v>1807</v>
      </c>
      <c r="J633" s="2">
        <v>44996</v>
      </c>
      <c r="K633">
        <f t="shared" ca="1" si="18"/>
        <v>2</v>
      </c>
      <c r="L633">
        <f t="shared" ca="1" si="19"/>
        <v>8</v>
      </c>
      <c r="M633" t="s">
        <v>1809</v>
      </c>
      <c r="N633">
        <v>5</v>
      </c>
      <c r="O633" t="s">
        <v>1813</v>
      </c>
      <c r="P633" t="s">
        <v>1831</v>
      </c>
    </row>
    <row r="634" spans="1:16" x14ac:dyDescent="0.3">
      <c r="A634" t="s">
        <v>645</v>
      </c>
      <c r="B634" t="s">
        <v>1715</v>
      </c>
      <c r="C634">
        <v>37</v>
      </c>
      <c r="D634" t="s">
        <v>1783</v>
      </c>
      <c r="E634" t="s">
        <v>1790</v>
      </c>
      <c r="F634" t="s">
        <v>1798</v>
      </c>
      <c r="G634" s="5">
        <v>73981</v>
      </c>
      <c r="H634" t="s">
        <v>1804</v>
      </c>
      <c r="I634" t="s">
        <v>1807</v>
      </c>
      <c r="J634" s="2">
        <v>45106</v>
      </c>
      <c r="K634">
        <f t="shared" ca="1" si="18"/>
        <v>2</v>
      </c>
      <c r="L634">
        <f t="shared" ca="1" si="19"/>
        <v>5</v>
      </c>
      <c r="M634" t="s">
        <v>1810</v>
      </c>
      <c r="N634">
        <v>5</v>
      </c>
      <c r="O634" t="s">
        <v>1814</v>
      </c>
      <c r="P634" t="s">
        <v>1831</v>
      </c>
    </row>
    <row r="635" spans="1:16" x14ac:dyDescent="0.3">
      <c r="A635" t="s">
        <v>646</v>
      </c>
      <c r="B635" t="s">
        <v>1746</v>
      </c>
      <c r="C635">
        <v>54</v>
      </c>
      <c r="D635" t="s">
        <v>1784</v>
      </c>
      <c r="E635" t="s">
        <v>1786</v>
      </c>
      <c r="F635" t="s">
        <v>1800</v>
      </c>
      <c r="G635" s="5">
        <v>72304</v>
      </c>
      <c r="H635" t="s">
        <v>1804</v>
      </c>
      <c r="I635" t="s">
        <v>1806</v>
      </c>
      <c r="J635" s="2">
        <v>44548</v>
      </c>
      <c r="K635">
        <f t="shared" ca="1" si="18"/>
        <v>4</v>
      </c>
      <c r="L635">
        <f t="shared" ca="1" si="19"/>
        <v>11</v>
      </c>
      <c r="M635" t="s">
        <v>1810</v>
      </c>
      <c r="N635">
        <v>5</v>
      </c>
      <c r="O635" t="s">
        <v>1816</v>
      </c>
      <c r="P635" t="s">
        <v>1834</v>
      </c>
    </row>
    <row r="636" spans="1:16" x14ac:dyDescent="0.3">
      <c r="A636" t="s">
        <v>647</v>
      </c>
      <c r="B636" t="s">
        <v>1733</v>
      </c>
      <c r="C636">
        <v>53</v>
      </c>
      <c r="D636" t="s">
        <v>1783</v>
      </c>
      <c r="E636" t="s">
        <v>1790</v>
      </c>
      <c r="F636" t="s">
        <v>1794</v>
      </c>
      <c r="G636" s="5">
        <v>45912</v>
      </c>
      <c r="H636" t="s">
        <v>1803</v>
      </c>
      <c r="I636" t="s">
        <v>1808</v>
      </c>
      <c r="J636" s="2">
        <v>45050</v>
      </c>
      <c r="K636">
        <f t="shared" ca="1" si="18"/>
        <v>2</v>
      </c>
      <c r="L636">
        <f t="shared" ca="1" si="19"/>
        <v>7</v>
      </c>
      <c r="M636" t="s">
        <v>1810</v>
      </c>
      <c r="N636">
        <v>5</v>
      </c>
      <c r="O636" t="s">
        <v>1818</v>
      </c>
      <c r="P636" t="s">
        <v>1834</v>
      </c>
    </row>
    <row r="637" spans="1:16" x14ac:dyDescent="0.3">
      <c r="A637" t="s">
        <v>648</v>
      </c>
      <c r="B637" t="s">
        <v>1756</v>
      </c>
      <c r="C637">
        <v>43</v>
      </c>
      <c r="D637" t="s">
        <v>1784</v>
      </c>
      <c r="E637" t="s">
        <v>1791</v>
      </c>
      <c r="F637" t="s">
        <v>1798</v>
      </c>
      <c r="G637" s="5">
        <v>49506</v>
      </c>
      <c r="H637" t="s">
        <v>1804</v>
      </c>
      <c r="I637" t="s">
        <v>1808</v>
      </c>
      <c r="J637" s="2">
        <v>44118</v>
      </c>
      <c r="K637">
        <f t="shared" ca="1" si="18"/>
        <v>5</v>
      </c>
      <c r="L637">
        <f t="shared" ca="1" si="19"/>
        <v>1</v>
      </c>
      <c r="M637" t="s">
        <v>1810</v>
      </c>
      <c r="N637">
        <v>1</v>
      </c>
      <c r="O637" t="s">
        <v>1815</v>
      </c>
      <c r="P637" t="s">
        <v>1831</v>
      </c>
    </row>
    <row r="638" spans="1:16" x14ac:dyDescent="0.3">
      <c r="A638" t="s">
        <v>649</v>
      </c>
      <c r="B638" t="s">
        <v>1754</v>
      </c>
      <c r="C638">
        <v>38</v>
      </c>
      <c r="D638" t="s">
        <v>1785</v>
      </c>
      <c r="E638" t="s">
        <v>1791</v>
      </c>
      <c r="F638" t="s">
        <v>1794</v>
      </c>
      <c r="G638" s="5">
        <v>51612</v>
      </c>
      <c r="H638" t="s">
        <v>1805</v>
      </c>
      <c r="I638" t="s">
        <v>1807</v>
      </c>
      <c r="J638" s="2">
        <v>44100</v>
      </c>
      <c r="K638">
        <f t="shared" ca="1" si="18"/>
        <v>5</v>
      </c>
      <c r="L638">
        <f t="shared" ca="1" si="19"/>
        <v>2</v>
      </c>
      <c r="M638" t="s">
        <v>1809</v>
      </c>
      <c r="N638">
        <v>1</v>
      </c>
      <c r="O638" t="s">
        <v>1816</v>
      </c>
      <c r="P638" t="s">
        <v>1831</v>
      </c>
    </row>
    <row r="639" spans="1:16" x14ac:dyDescent="0.3">
      <c r="A639" t="s">
        <v>650</v>
      </c>
      <c r="B639" t="s">
        <v>1779</v>
      </c>
      <c r="C639">
        <v>35</v>
      </c>
      <c r="D639" t="s">
        <v>1784</v>
      </c>
      <c r="E639" t="s">
        <v>1790</v>
      </c>
      <c r="F639" t="s">
        <v>1795</v>
      </c>
      <c r="G639" s="5">
        <v>81620</v>
      </c>
      <c r="H639" t="s">
        <v>1803</v>
      </c>
      <c r="I639" t="s">
        <v>1808</v>
      </c>
      <c r="J639" s="2">
        <v>45087</v>
      </c>
      <c r="K639">
        <f t="shared" ca="1" si="18"/>
        <v>2</v>
      </c>
      <c r="L639">
        <f t="shared" ca="1" si="19"/>
        <v>6</v>
      </c>
      <c r="M639" t="s">
        <v>1809</v>
      </c>
      <c r="N639">
        <v>2</v>
      </c>
      <c r="O639" t="s">
        <v>1816</v>
      </c>
      <c r="P639" t="s">
        <v>1833</v>
      </c>
    </row>
    <row r="640" spans="1:16" x14ac:dyDescent="0.3">
      <c r="A640" t="s">
        <v>651</v>
      </c>
      <c r="B640" t="s">
        <v>1734</v>
      </c>
      <c r="C640">
        <v>21</v>
      </c>
      <c r="D640" t="s">
        <v>1784</v>
      </c>
      <c r="E640" t="s">
        <v>1788</v>
      </c>
      <c r="F640" t="s">
        <v>1795</v>
      </c>
      <c r="G640" s="5">
        <v>104333</v>
      </c>
      <c r="H640" t="s">
        <v>1802</v>
      </c>
      <c r="I640" t="s">
        <v>1806</v>
      </c>
      <c r="J640" s="2">
        <v>45929</v>
      </c>
      <c r="K640">
        <f t="shared" ca="1" si="18"/>
        <v>0</v>
      </c>
      <c r="L640">
        <f t="shared" ca="1" si="19"/>
        <v>2</v>
      </c>
      <c r="M640" t="s">
        <v>1809</v>
      </c>
      <c r="N640">
        <v>4</v>
      </c>
      <c r="O640" t="s">
        <v>1818</v>
      </c>
      <c r="P640" t="s">
        <v>1832</v>
      </c>
    </row>
    <row r="641" spans="1:16" x14ac:dyDescent="0.3">
      <c r="A641" t="s">
        <v>652</v>
      </c>
      <c r="B641" t="s">
        <v>1720</v>
      </c>
      <c r="C641">
        <v>25</v>
      </c>
      <c r="D641" t="s">
        <v>1784</v>
      </c>
      <c r="E641" t="s">
        <v>1788</v>
      </c>
      <c r="F641" t="s">
        <v>1800</v>
      </c>
      <c r="G641" s="5">
        <v>26333</v>
      </c>
      <c r="H641" t="s">
        <v>1804</v>
      </c>
      <c r="I641" t="s">
        <v>1806</v>
      </c>
      <c r="J641" s="2">
        <v>45130</v>
      </c>
      <c r="K641">
        <f t="shared" ca="1" si="18"/>
        <v>2</v>
      </c>
      <c r="L641">
        <f t="shared" ca="1" si="19"/>
        <v>4</v>
      </c>
      <c r="M641" t="s">
        <v>1809</v>
      </c>
      <c r="N641">
        <v>4</v>
      </c>
      <c r="O641" t="s">
        <v>1816</v>
      </c>
      <c r="P641" t="s">
        <v>1832</v>
      </c>
    </row>
    <row r="642" spans="1:16" x14ac:dyDescent="0.3">
      <c r="A642" t="s">
        <v>653</v>
      </c>
      <c r="B642" t="s">
        <v>1779</v>
      </c>
      <c r="C642">
        <v>56</v>
      </c>
      <c r="D642" t="s">
        <v>1785</v>
      </c>
      <c r="E642" t="s">
        <v>1793</v>
      </c>
      <c r="F642" t="s">
        <v>1794</v>
      </c>
      <c r="G642" s="5">
        <v>86414</v>
      </c>
      <c r="H642" t="s">
        <v>1805</v>
      </c>
      <c r="I642" t="s">
        <v>1806</v>
      </c>
      <c r="J642" s="2">
        <v>43469</v>
      </c>
      <c r="K642">
        <f t="shared" ca="1" si="18"/>
        <v>6</v>
      </c>
      <c r="L642">
        <f t="shared" ca="1" si="19"/>
        <v>11</v>
      </c>
      <c r="M642" t="s">
        <v>1810</v>
      </c>
      <c r="N642">
        <v>1</v>
      </c>
      <c r="O642" t="s">
        <v>1815</v>
      </c>
      <c r="P642" t="s">
        <v>1834</v>
      </c>
    </row>
    <row r="643" spans="1:16" x14ac:dyDescent="0.3">
      <c r="A643" t="s">
        <v>654</v>
      </c>
      <c r="B643" t="s">
        <v>1736</v>
      </c>
      <c r="C643">
        <v>40</v>
      </c>
      <c r="D643" t="s">
        <v>1784</v>
      </c>
      <c r="E643" t="s">
        <v>1787</v>
      </c>
      <c r="F643" t="s">
        <v>1794</v>
      </c>
      <c r="G643" s="5">
        <v>116090</v>
      </c>
      <c r="H643" t="s">
        <v>1802</v>
      </c>
      <c r="I643" t="s">
        <v>1808</v>
      </c>
      <c r="J643" s="2">
        <v>43330</v>
      </c>
      <c r="K643">
        <f t="shared" ref="K643:K706" ca="1" si="20">YEAR(TODAY()) - YEAR(J643)</f>
        <v>7</v>
      </c>
      <c r="L643">
        <f t="shared" ref="L643:L706" ca="1" si="21">DATEDIF(J643,TODAY(),"YM")</f>
        <v>3</v>
      </c>
      <c r="M643" t="s">
        <v>1809</v>
      </c>
      <c r="N643">
        <v>1</v>
      </c>
      <c r="O643" t="s">
        <v>1816</v>
      </c>
      <c r="P643" t="s">
        <v>1831</v>
      </c>
    </row>
    <row r="644" spans="1:16" x14ac:dyDescent="0.3">
      <c r="A644" t="s">
        <v>655</v>
      </c>
      <c r="B644" t="s">
        <v>1762</v>
      </c>
      <c r="C644">
        <v>48</v>
      </c>
      <c r="D644" t="s">
        <v>1784</v>
      </c>
      <c r="E644" t="s">
        <v>1788</v>
      </c>
      <c r="F644" t="s">
        <v>1797</v>
      </c>
      <c r="G644" s="5">
        <v>95264</v>
      </c>
      <c r="H644" t="s">
        <v>1803</v>
      </c>
      <c r="I644" t="s">
        <v>1806</v>
      </c>
      <c r="J644" s="2">
        <v>43972</v>
      </c>
      <c r="K644">
        <f t="shared" ca="1" si="20"/>
        <v>5</v>
      </c>
      <c r="L644">
        <f t="shared" ca="1" si="21"/>
        <v>6</v>
      </c>
      <c r="M644" t="s">
        <v>1809</v>
      </c>
      <c r="N644">
        <v>3</v>
      </c>
      <c r="O644" t="s">
        <v>1811</v>
      </c>
      <c r="P644" t="s">
        <v>1834</v>
      </c>
    </row>
    <row r="645" spans="1:16" x14ac:dyDescent="0.3">
      <c r="A645" t="s">
        <v>656</v>
      </c>
      <c r="B645" t="s">
        <v>1747</v>
      </c>
      <c r="C645">
        <v>35</v>
      </c>
      <c r="D645" t="s">
        <v>1784</v>
      </c>
      <c r="E645" t="s">
        <v>1791</v>
      </c>
      <c r="F645" t="s">
        <v>1800</v>
      </c>
      <c r="G645" s="5">
        <v>65578</v>
      </c>
      <c r="H645" t="s">
        <v>1804</v>
      </c>
      <c r="I645" t="s">
        <v>1808</v>
      </c>
      <c r="J645" s="2">
        <v>42524</v>
      </c>
      <c r="K645">
        <f t="shared" ca="1" si="20"/>
        <v>9</v>
      </c>
      <c r="L645">
        <f t="shared" ca="1" si="21"/>
        <v>6</v>
      </c>
      <c r="M645" t="s">
        <v>1809</v>
      </c>
      <c r="N645">
        <v>1</v>
      </c>
      <c r="O645" t="s">
        <v>1815</v>
      </c>
      <c r="P645" t="s">
        <v>1833</v>
      </c>
    </row>
    <row r="646" spans="1:16" x14ac:dyDescent="0.3">
      <c r="A646" t="s">
        <v>657</v>
      </c>
      <c r="B646" t="s">
        <v>1763</v>
      </c>
      <c r="C646">
        <v>44</v>
      </c>
      <c r="D646" t="s">
        <v>1784</v>
      </c>
      <c r="E646" t="s">
        <v>1789</v>
      </c>
      <c r="F646" t="s">
        <v>1797</v>
      </c>
      <c r="G646" s="5">
        <v>107816</v>
      </c>
      <c r="H646" t="s">
        <v>1805</v>
      </c>
      <c r="I646" t="s">
        <v>1807</v>
      </c>
      <c r="J646" s="2">
        <v>45950</v>
      </c>
      <c r="K646">
        <f t="shared" ca="1" si="20"/>
        <v>0</v>
      </c>
      <c r="L646">
        <f t="shared" ca="1" si="21"/>
        <v>1</v>
      </c>
      <c r="M646" t="s">
        <v>1810</v>
      </c>
      <c r="N646">
        <v>4</v>
      </c>
      <c r="O646" t="s">
        <v>1818</v>
      </c>
      <c r="P646" t="s">
        <v>1831</v>
      </c>
    </row>
    <row r="647" spans="1:16" x14ac:dyDescent="0.3">
      <c r="A647" t="s">
        <v>658</v>
      </c>
      <c r="B647" t="s">
        <v>1754</v>
      </c>
      <c r="C647">
        <v>39</v>
      </c>
      <c r="D647" t="s">
        <v>1783</v>
      </c>
      <c r="E647" t="s">
        <v>1786</v>
      </c>
      <c r="F647" t="s">
        <v>1798</v>
      </c>
      <c r="G647" s="5">
        <v>56983</v>
      </c>
      <c r="H647" t="s">
        <v>1802</v>
      </c>
      <c r="I647" t="s">
        <v>1808</v>
      </c>
      <c r="J647" s="2">
        <v>45024</v>
      </c>
      <c r="K647">
        <f t="shared" ca="1" si="20"/>
        <v>2</v>
      </c>
      <c r="L647">
        <f t="shared" ca="1" si="21"/>
        <v>8</v>
      </c>
      <c r="M647" t="s">
        <v>1810</v>
      </c>
      <c r="N647">
        <v>4</v>
      </c>
      <c r="O647" t="s">
        <v>1818</v>
      </c>
      <c r="P647" t="s">
        <v>1831</v>
      </c>
    </row>
    <row r="648" spans="1:16" x14ac:dyDescent="0.3">
      <c r="A648" t="s">
        <v>659</v>
      </c>
      <c r="B648" t="s">
        <v>1725</v>
      </c>
      <c r="C648">
        <v>25</v>
      </c>
      <c r="D648" t="s">
        <v>1784</v>
      </c>
      <c r="E648" t="s">
        <v>1790</v>
      </c>
      <c r="F648" t="s">
        <v>1800</v>
      </c>
      <c r="G648" s="5">
        <v>114592</v>
      </c>
      <c r="H648" t="s">
        <v>1804</v>
      </c>
      <c r="I648" t="s">
        <v>1806</v>
      </c>
      <c r="J648" s="2">
        <v>44168</v>
      </c>
      <c r="K648">
        <f t="shared" ca="1" si="20"/>
        <v>5</v>
      </c>
      <c r="L648">
        <f t="shared" ca="1" si="21"/>
        <v>0</v>
      </c>
      <c r="M648" t="s">
        <v>1809</v>
      </c>
      <c r="N648">
        <v>2</v>
      </c>
      <c r="O648" t="s">
        <v>1814</v>
      </c>
      <c r="P648" t="s">
        <v>1832</v>
      </c>
    </row>
    <row r="649" spans="1:16" x14ac:dyDescent="0.3">
      <c r="A649" t="s">
        <v>660</v>
      </c>
      <c r="B649" t="s">
        <v>1764</v>
      </c>
      <c r="C649">
        <v>42</v>
      </c>
      <c r="D649" t="s">
        <v>1784</v>
      </c>
      <c r="E649" t="s">
        <v>1789</v>
      </c>
      <c r="F649" t="s">
        <v>1794</v>
      </c>
      <c r="G649" s="5">
        <v>77409</v>
      </c>
      <c r="H649" t="s">
        <v>1801</v>
      </c>
      <c r="I649" t="s">
        <v>1807</v>
      </c>
      <c r="J649" s="2">
        <v>45065</v>
      </c>
      <c r="K649">
        <f t="shared" ca="1" si="20"/>
        <v>2</v>
      </c>
      <c r="L649">
        <f t="shared" ca="1" si="21"/>
        <v>6</v>
      </c>
      <c r="M649" t="s">
        <v>1809</v>
      </c>
      <c r="N649">
        <v>4</v>
      </c>
      <c r="O649" t="s">
        <v>1816</v>
      </c>
      <c r="P649" t="s">
        <v>1831</v>
      </c>
    </row>
    <row r="650" spans="1:16" x14ac:dyDescent="0.3">
      <c r="A650" t="s">
        <v>661</v>
      </c>
      <c r="B650" t="s">
        <v>1768</v>
      </c>
      <c r="C650">
        <v>32</v>
      </c>
      <c r="D650" t="s">
        <v>1785</v>
      </c>
      <c r="E650" t="s">
        <v>1788</v>
      </c>
      <c r="F650" t="s">
        <v>1795</v>
      </c>
      <c r="G650" s="5">
        <v>59120</v>
      </c>
      <c r="H650" t="s">
        <v>1801</v>
      </c>
      <c r="I650" t="s">
        <v>1807</v>
      </c>
      <c r="J650" s="2">
        <v>43084</v>
      </c>
      <c r="K650">
        <f t="shared" ca="1" si="20"/>
        <v>8</v>
      </c>
      <c r="L650">
        <f t="shared" ca="1" si="21"/>
        <v>11</v>
      </c>
      <c r="M650" t="s">
        <v>1809</v>
      </c>
      <c r="N650">
        <v>5</v>
      </c>
      <c r="O650" t="s">
        <v>1816</v>
      </c>
      <c r="P650" t="s">
        <v>1833</v>
      </c>
    </row>
    <row r="651" spans="1:16" x14ac:dyDescent="0.3">
      <c r="A651" t="s">
        <v>662</v>
      </c>
      <c r="B651" t="s">
        <v>1760</v>
      </c>
      <c r="C651">
        <v>46</v>
      </c>
      <c r="D651" t="s">
        <v>1784</v>
      </c>
      <c r="E651" t="s">
        <v>1790</v>
      </c>
      <c r="F651" t="s">
        <v>1799</v>
      </c>
      <c r="G651" s="5">
        <v>80700</v>
      </c>
      <c r="H651" t="s">
        <v>1802</v>
      </c>
      <c r="I651" t="s">
        <v>1808</v>
      </c>
      <c r="J651" s="2">
        <v>43148</v>
      </c>
      <c r="K651">
        <f t="shared" ca="1" si="20"/>
        <v>7</v>
      </c>
      <c r="L651">
        <f t="shared" ca="1" si="21"/>
        <v>9</v>
      </c>
      <c r="M651" t="s">
        <v>1810</v>
      </c>
      <c r="N651">
        <v>3</v>
      </c>
      <c r="O651" t="s">
        <v>1815</v>
      </c>
      <c r="P651" t="s">
        <v>1834</v>
      </c>
    </row>
    <row r="652" spans="1:16" x14ac:dyDescent="0.3">
      <c r="A652" t="s">
        <v>663</v>
      </c>
      <c r="B652" t="s">
        <v>1718</v>
      </c>
      <c r="C652">
        <v>43</v>
      </c>
      <c r="D652" t="s">
        <v>1783</v>
      </c>
      <c r="E652" t="s">
        <v>1787</v>
      </c>
      <c r="F652" t="s">
        <v>1799</v>
      </c>
      <c r="G652" s="5">
        <v>67456</v>
      </c>
      <c r="H652" t="s">
        <v>1805</v>
      </c>
      <c r="I652" t="s">
        <v>1807</v>
      </c>
      <c r="J652" s="2">
        <v>42522</v>
      </c>
      <c r="K652">
        <f t="shared" ca="1" si="20"/>
        <v>9</v>
      </c>
      <c r="L652">
        <f t="shared" ca="1" si="21"/>
        <v>6</v>
      </c>
      <c r="M652" t="s">
        <v>1809</v>
      </c>
      <c r="N652">
        <v>5</v>
      </c>
      <c r="O652" t="s">
        <v>1815</v>
      </c>
      <c r="P652" t="s">
        <v>1831</v>
      </c>
    </row>
    <row r="653" spans="1:16" x14ac:dyDescent="0.3">
      <c r="A653" t="s">
        <v>664</v>
      </c>
      <c r="B653" t="s">
        <v>1718</v>
      </c>
      <c r="C653">
        <v>32</v>
      </c>
      <c r="D653" t="s">
        <v>1784</v>
      </c>
      <c r="E653" t="s">
        <v>1791</v>
      </c>
      <c r="F653" t="s">
        <v>1800</v>
      </c>
      <c r="G653" s="5">
        <v>24525</v>
      </c>
      <c r="H653" t="s">
        <v>1805</v>
      </c>
      <c r="I653" t="s">
        <v>1808</v>
      </c>
      <c r="J653" s="2">
        <v>44897</v>
      </c>
      <c r="K653">
        <f t="shared" ca="1" si="20"/>
        <v>3</v>
      </c>
      <c r="L653">
        <f t="shared" ca="1" si="21"/>
        <v>0</v>
      </c>
      <c r="M653" t="s">
        <v>1810</v>
      </c>
      <c r="N653">
        <v>2</v>
      </c>
      <c r="O653" t="s">
        <v>1813</v>
      </c>
      <c r="P653" t="s">
        <v>1833</v>
      </c>
    </row>
    <row r="654" spans="1:16" x14ac:dyDescent="0.3">
      <c r="A654" t="s">
        <v>665</v>
      </c>
      <c r="B654" t="s">
        <v>1722</v>
      </c>
      <c r="C654">
        <v>56</v>
      </c>
      <c r="D654" t="s">
        <v>1783</v>
      </c>
      <c r="E654" t="s">
        <v>1792</v>
      </c>
      <c r="F654" t="s">
        <v>1795</v>
      </c>
      <c r="G654" s="5">
        <v>112186</v>
      </c>
      <c r="H654" t="s">
        <v>1803</v>
      </c>
      <c r="I654" t="s">
        <v>1808</v>
      </c>
      <c r="J654" s="2">
        <v>45826</v>
      </c>
      <c r="K654">
        <f t="shared" ca="1" si="20"/>
        <v>0</v>
      </c>
      <c r="L654">
        <f t="shared" ca="1" si="21"/>
        <v>5</v>
      </c>
      <c r="M654" t="s">
        <v>1810</v>
      </c>
      <c r="N654">
        <v>1</v>
      </c>
      <c r="O654" t="s">
        <v>1815</v>
      </c>
      <c r="P654" t="s">
        <v>1834</v>
      </c>
    </row>
    <row r="655" spans="1:16" x14ac:dyDescent="0.3">
      <c r="A655" t="s">
        <v>666</v>
      </c>
      <c r="B655" t="s">
        <v>1732</v>
      </c>
      <c r="C655">
        <v>37</v>
      </c>
      <c r="D655" t="s">
        <v>1784</v>
      </c>
      <c r="E655" t="s">
        <v>1790</v>
      </c>
      <c r="F655" t="s">
        <v>1798</v>
      </c>
      <c r="G655" s="5">
        <v>68079</v>
      </c>
      <c r="H655" t="s">
        <v>1803</v>
      </c>
      <c r="I655" t="s">
        <v>1807</v>
      </c>
      <c r="J655" s="2">
        <v>44895</v>
      </c>
      <c r="K655">
        <f t="shared" ca="1" si="20"/>
        <v>3</v>
      </c>
      <c r="L655">
        <f t="shared" ca="1" si="21"/>
        <v>0</v>
      </c>
      <c r="M655" t="s">
        <v>1809</v>
      </c>
      <c r="N655">
        <v>3</v>
      </c>
      <c r="O655" t="s">
        <v>1815</v>
      </c>
      <c r="P655" t="s">
        <v>1831</v>
      </c>
    </row>
    <row r="656" spans="1:16" x14ac:dyDescent="0.3">
      <c r="A656" t="s">
        <v>667</v>
      </c>
      <c r="B656" t="s">
        <v>1782</v>
      </c>
      <c r="C656">
        <v>46</v>
      </c>
      <c r="D656" t="s">
        <v>1783</v>
      </c>
      <c r="E656" t="s">
        <v>1792</v>
      </c>
      <c r="F656" t="s">
        <v>1796</v>
      </c>
      <c r="G656" s="5">
        <v>56036</v>
      </c>
      <c r="H656" t="s">
        <v>1802</v>
      </c>
      <c r="I656" t="s">
        <v>1806</v>
      </c>
      <c r="J656" s="2">
        <v>44285</v>
      </c>
      <c r="K656">
        <f t="shared" ca="1" si="20"/>
        <v>4</v>
      </c>
      <c r="L656">
        <f t="shared" ca="1" si="21"/>
        <v>8</v>
      </c>
      <c r="M656" t="s">
        <v>1809</v>
      </c>
      <c r="N656">
        <v>3</v>
      </c>
      <c r="O656" t="s">
        <v>1812</v>
      </c>
      <c r="P656" t="s">
        <v>1834</v>
      </c>
    </row>
    <row r="657" spans="1:16" x14ac:dyDescent="0.3">
      <c r="A657" t="s">
        <v>668</v>
      </c>
      <c r="B657" t="s">
        <v>1713</v>
      </c>
      <c r="C657">
        <v>50</v>
      </c>
      <c r="D657" t="s">
        <v>1783</v>
      </c>
      <c r="E657" t="s">
        <v>1789</v>
      </c>
      <c r="F657" t="s">
        <v>1800</v>
      </c>
      <c r="G657" s="5">
        <v>108835</v>
      </c>
      <c r="H657" t="s">
        <v>1802</v>
      </c>
      <c r="I657" t="s">
        <v>1806</v>
      </c>
      <c r="J657" s="2">
        <v>44008</v>
      </c>
      <c r="K657">
        <f t="shared" ca="1" si="20"/>
        <v>5</v>
      </c>
      <c r="L657">
        <f t="shared" ca="1" si="21"/>
        <v>5</v>
      </c>
      <c r="M657" t="s">
        <v>1810</v>
      </c>
      <c r="N657">
        <v>5</v>
      </c>
      <c r="O657" t="s">
        <v>1814</v>
      </c>
      <c r="P657" t="s">
        <v>1834</v>
      </c>
    </row>
    <row r="658" spans="1:16" x14ac:dyDescent="0.3">
      <c r="A658" t="s">
        <v>669</v>
      </c>
      <c r="B658" t="s">
        <v>1713</v>
      </c>
      <c r="C658">
        <v>55</v>
      </c>
      <c r="D658" t="s">
        <v>1783</v>
      </c>
      <c r="E658" t="s">
        <v>1792</v>
      </c>
      <c r="F658" t="s">
        <v>1798</v>
      </c>
      <c r="G658" s="5">
        <v>61628</v>
      </c>
      <c r="H658" t="s">
        <v>1803</v>
      </c>
      <c r="I658" t="s">
        <v>1808</v>
      </c>
      <c r="J658" s="2">
        <v>44921</v>
      </c>
      <c r="K658">
        <f t="shared" ca="1" si="20"/>
        <v>3</v>
      </c>
      <c r="L658">
        <f t="shared" ca="1" si="21"/>
        <v>11</v>
      </c>
      <c r="M658" t="s">
        <v>1809</v>
      </c>
      <c r="N658">
        <v>1</v>
      </c>
      <c r="O658" t="s">
        <v>1814</v>
      </c>
      <c r="P658" t="s">
        <v>1834</v>
      </c>
    </row>
    <row r="659" spans="1:16" x14ac:dyDescent="0.3">
      <c r="A659" t="s">
        <v>670</v>
      </c>
      <c r="B659" t="s">
        <v>1771</v>
      </c>
      <c r="C659">
        <v>44</v>
      </c>
      <c r="D659" t="s">
        <v>1784</v>
      </c>
      <c r="E659" t="s">
        <v>1787</v>
      </c>
      <c r="F659" t="s">
        <v>1796</v>
      </c>
      <c r="G659" s="5">
        <v>105983</v>
      </c>
      <c r="H659" t="s">
        <v>1802</v>
      </c>
      <c r="I659" t="s">
        <v>1806</v>
      </c>
      <c r="J659" s="2">
        <v>42606</v>
      </c>
      <c r="K659">
        <f t="shared" ca="1" si="20"/>
        <v>9</v>
      </c>
      <c r="L659">
        <f t="shared" ca="1" si="21"/>
        <v>3</v>
      </c>
      <c r="M659" t="s">
        <v>1809</v>
      </c>
      <c r="N659">
        <v>3</v>
      </c>
      <c r="O659" t="s">
        <v>1816</v>
      </c>
      <c r="P659" t="s">
        <v>1831</v>
      </c>
    </row>
    <row r="660" spans="1:16" x14ac:dyDescent="0.3">
      <c r="A660" t="s">
        <v>671</v>
      </c>
      <c r="B660" t="s">
        <v>1748</v>
      </c>
      <c r="C660">
        <v>41</v>
      </c>
      <c r="D660" t="s">
        <v>1784</v>
      </c>
      <c r="E660" t="s">
        <v>1791</v>
      </c>
      <c r="F660" t="s">
        <v>1796</v>
      </c>
      <c r="G660" s="5">
        <v>29750</v>
      </c>
      <c r="H660" t="s">
        <v>1805</v>
      </c>
      <c r="I660" t="s">
        <v>1808</v>
      </c>
      <c r="J660" s="2">
        <v>43018</v>
      </c>
      <c r="K660">
        <f t="shared" ca="1" si="20"/>
        <v>8</v>
      </c>
      <c r="L660">
        <f t="shared" ca="1" si="21"/>
        <v>2</v>
      </c>
      <c r="M660" t="s">
        <v>1810</v>
      </c>
      <c r="N660">
        <v>1</v>
      </c>
      <c r="O660" t="s">
        <v>1817</v>
      </c>
      <c r="P660" t="s">
        <v>1831</v>
      </c>
    </row>
    <row r="661" spans="1:16" x14ac:dyDescent="0.3">
      <c r="A661" t="s">
        <v>672</v>
      </c>
      <c r="B661" t="s">
        <v>1752</v>
      </c>
      <c r="C661">
        <v>51</v>
      </c>
      <c r="D661" t="s">
        <v>1784</v>
      </c>
      <c r="E661" t="s">
        <v>1789</v>
      </c>
      <c r="F661" t="s">
        <v>1796</v>
      </c>
      <c r="G661" s="5">
        <v>74372</v>
      </c>
      <c r="H661" t="s">
        <v>1804</v>
      </c>
      <c r="I661" t="s">
        <v>1806</v>
      </c>
      <c r="J661" s="2">
        <v>45835</v>
      </c>
      <c r="K661">
        <f t="shared" ca="1" si="20"/>
        <v>0</v>
      </c>
      <c r="L661">
        <f t="shared" ca="1" si="21"/>
        <v>5</v>
      </c>
      <c r="M661" t="s">
        <v>1810</v>
      </c>
      <c r="N661">
        <v>5</v>
      </c>
      <c r="O661" t="s">
        <v>1817</v>
      </c>
      <c r="P661" t="s">
        <v>1834</v>
      </c>
    </row>
    <row r="662" spans="1:16" x14ac:dyDescent="0.3">
      <c r="A662" t="s">
        <v>673</v>
      </c>
      <c r="B662" t="s">
        <v>1782</v>
      </c>
      <c r="C662">
        <v>40</v>
      </c>
      <c r="D662" t="s">
        <v>1785</v>
      </c>
      <c r="E662" t="s">
        <v>1790</v>
      </c>
      <c r="F662" t="s">
        <v>1798</v>
      </c>
      <c r="G662" s="5">
        <v>118096</v>
      </c>
      <c r="H662" t="s">
        <v>1805</v>
      </c>
      <c r="I662" t="s">
        <v>1806</v>
      </c>
      <c r="J662" s="2">
        <v>45045</v>
      </c>
      <c r="K662">
        <f t="shared" ca="1" si="20"/>
        <v>2</v>
      </c>
      <c r="L662">
        <f t="shared" ca="1" si="21"/>
        <v>7</v>
      </c>
      <c r="M662" t="s">
        <v>1810</v>
      </c>
      <c r="N662">
        <v>1</v>
      </c>
      <c r="O662" t="s">
        <v>1815</v>
      </c>
      <c r="P662" t="s">
        <v>1831</v>
      </c>
    </row>
    <row r="663" spans="1:16" x14ac:dyDescent="0.3">
      <c r="A663" t="s">
        <v>674</v>
      </c>
      <c r="B663" t="s">
        <v>1761</v>
      </c>
      <c r="C663">
        <v>34</v>
      </c>
      <c r="D663" t="s">
        <v>1783</v>
      </c>
      <c r="E663" t="s">
        <v>1792</v>
      </c>
      <c r="F663" t="s">
        <v>1796</v>
      </c>
      <c r="G663" s="5">
        <v>79636</v>
      </c>
      <c r="H663" t="s">
        <v>1802</v>
      </c>
      <c r="I663" t="s">
        <v>1806</v>
      </c>
      <c r="J663" s="2">
        <v>44351</v>
      </c>
      <c r="K663">
        <f t="shared" ca="1" si="20"/>
        <v>4</v>
      </c>
      <c r="L663">
        <f t="shared" ca="1" si="21"/>
        <v>6</v>
      </c>
      <c r="M663" t="s">
        <v>1810</v>
      </c>
      <c r="N663">
        <v>1</v>
      </c>
      <c r="O663" t="s">
        <v>1812</v>
      </c>
      <c r="P663" t="s">
        <v>1833</v>
      </c>
    </row>
    <row r="664" spans="1:16" x14ac:dyDescent="0.3">
      <c r="A664" t="s">
        <v>675</v>
      </c>
      <c r="B664" t="s">
        <v>1768</v>
      </c>
      <c r="C664">
        <v>42</v>
      </c>
      <c r="D664" t="s">
        <v>1785</v>
      </c>
      <c r="E664" t="s">
        <v>1790</v>
      </c>
      <c r="F664" t="s">
        <v>1800</v>
      </c>
      <c r="G664" s="5">
        <v>77999</v>
      </c>
      <c r="H664" t="s">
        <v>1801</v>
      </c>
      <c r="I664" t="s">
        <v>1806</v>
      </c>
      <c r="J664" s="2">
        <v>45988</v>
      </c>
      <c r="K664">
        <f t="shared" ca="1" si="20"/>
        <v>0</v>
      </c>
      <c r="L664">
        <f t="shared" ca="1" si="21"/>
        <v>0</v>
      </c>
      <c r="M664" t="s">
        <v>1809</v>
      </c>
      <c r="N664">
        <v>1</v>
      </c>
      <c r="O664" t="s">
        <v>1817</v>
      </c>
      <c r="P664" t="s">
        <v>1831</v>
      </c>
    </row>
    <row r="665" spans="1:16" x14ac:dyDescent="0.3">
      <c r="A665" t="s">
        <v>676</v>
      </c>
      <c r="B665" t="s">
        <v>1769</v>
      </c>
      <c r="C665">
        <v>38</v>
      </c>
      <c r="D665" t="s">
        <v>1783</v>
      </c>
      <c r="E665" t="s">
        <v>1791</v>
      </c>
      <c r="F665" t="s">
        <v>1795</v>
      </c>
      <c r="G665" s="5">
        <v>116295</v>
      </c>
      <c r="H665" t="s">
        <v>1804</v>
      </c>
      <c r="I665" t="s">
        <v>1806</v>
      </c>
      <c r="J665" s="2">
        <v>45154</v>
      </c>
      <c r="K665">
        <f t="shared" ca="1" si="20"/>
        <v>2</v>
      </c>
      <c r="L665">
        <f t="shared" ca="1" si="21"/>
        <v>3</v>
      </c>
      <c r="M665" t="s">
        <v>1809</v>
      </c>
      <c r="N665">
        <v>5</v>
      </c>
      <c r="O665" t="s">
        <v>1818</v>
      </c>
      <c r="P665" t="s">
        <v>1831</v>
      </c>
    </row>
    <row r="666" spans="1:16" x14ac:dyDescent="0.3">
      <c r="A666" t="s">
        <v>677</v>
      </c>
      <c r="B666" t="s">
        <v>1727</v>
      </c>
      <c r="C666">
        <v>56</v>
      </c>
      <c r="D666" t="s">
        <v>1783</v>
      </c>
      <c r="E666" t="s">
        <v>1787</v>
      </c>
      <c r="F666" t="s">
        <v>1798</v>
      </c>
      <c r="G666" s="5">
        <v>28070</v>
      </c>
      <c r="H666" t="s">
        <v>1803</v>
      </c>
      <c r="I666" t="s">
        <v>1806</v>
      </c>
      <c r="J666" s="2">
        <v>42824</v>
      </c>
      <c r="K666">
        <f t="shared" ca="1" si="20"/>
        <v>8</v>
      </c>
      <c r="L666">
        <f t="shared" ca="1" si="21"/>
        <v>8</v>
      </c>
      <c r="M666" t="s">
        <v>1810</v>
      </c>
      <c r="N666">
        <v>1</v>
      </c>
      <c r="O666" t="s">
        <v>1814</v>
      </c>
      <c r="P666" t="s">
        <v>1834</v>
      </c>
    </row>
    <row r="667" spans="1:16" x14ac:dyDescent="0.3">
      <c r="A667" t="s">
        <v>678</v>
      </c>
      <c r="B667" t="s">
        <v>1718</v>
      </c>
      <c r="C667">
        <v>43</v>
      </c>
      <c r="D667" t="s">
        <v>1785</v>
      </c>
      <c r="E667" t="s">
        <v>1793</v>
      </c>
      <c r="F667" t="s">
        <v>1798</v>
      </c>
      <c r="G667" s="5">
        <v>60406</v>
      </c>
      <c r="H667" t="s">
        <v>1801</v>
      </c>
      <c r="I667" t="s">
        <v>1807</v>
      </c>
      <c r="J667" s="2">
        <v>44323</v>
      </c>
      <c r="K667">
        <f t="shared" ca="1" si="20"/>
        <v>4</v>
      </c>
      <c r="L667">
        <f t="shared" ca="1" si="21"/>
        <v>7</v>
      </c>
      <c r="M667" t="s">
        <v>1810</v>
      </c>
      <c r="N667">
        <v>4</v>
      </c>
      <c r="O667" t="s">
        <v>1814</v>
      </c>
      <c r="P667" t="s">
        <v>1831</v>
      </c>
    </row>
    <row r="668" spans="1:16" x14ac:dyDescent="0.3">
      <c r="A668" t="s">
        <v>679</v>
      </c>
      <c r="B668" t="s">
        <v>1760</v>
      </c>
      <c r="C668">
        <v>20</v>
      </c>
      <c r="D668" t="s">
        <v>1784</v>
      </c>
      <c r="E668" t="s">
        <v>1792</v>
      </c>
      <c r="F668" t="s">
        <v>1795</v>
      </c>
      <c r="G668" s="5">
        <v>104005</v>
      </c>
      <c r="H668" t="s">
        <v>1803</v>
      </c>
      <c r="I668" t="s">
        <v>1808</v>
      </c>
      <c r="J668" s="2">
        <v>45434</v>
      </c>
      <c r="K668">
        <f t="shared" ca="1" si="20"/>
        <v>1</v>
      </c>
      <c r="L668">
        <f t="shared" ca="1" si="21"/>
        <v>6</v>
      </c>
      <c r="M668" t="s">
        <v>1809</v>
      </c>
      <c r="N668">
        <v>2</v>
      </c>
      <c r="O668" t="s">
        <v>1818</v>
      </c>
      <c r="P668" t="s">
        <v>1832</v>
      </c>
    </row>
    <row r="669" spans="1:16" x14ac:dyDescent="0.3">
      <c r="A669" t="s">
        <v>680</v>
      </c>
      <c r="B669" t="s">
        <v>1766</v>
      </c>
      <c r="C669">
        <v>23</v>
      </c>
      <c r="D669" t="s">
        <v>1785</v>
      </c>
      <c r="E669" t="s">
        <v>1793</v>
      </c>
      <c r="F669" t="s">
        <v>1795</v>
      </c>
      <c r="G669" s="5">
        <v>89716</v>
      </c>
      <c r="H669" t="s">
        <v>1803</v>
      </c>
      <c r="I669" t="s">
        <v>1807</v>
      </c>
      <c r="J669" s="2">
        <v>44071</v>
      </c>
      <c r="K669">
        <f t="shared" ca="1" si="20"/>
        <v>5</v>
      </c>
      <c r="L669">
        <f t="shared" ca="1" si="21"/>
        <v>3</v>
      </c>
      <c r="M669" t="s">
        <v>1810</v>
      </c>
      <c r="N669">
        <v>2</v>
      </c>
      <c r="O669" t="s">
        <v>1815</v>
      </c>
      <c r="P669" t="s">
        <v>1832</v>
      </c>
    </row>
    <row r="670" spans="1:16" x14ac:dyDescent="0.3">
      <c r="A670" t="s">
        <v>681</v>
      </c>
      <c r="B670" t="s">
        <v>1716</v>
      </c>
      <c r="C670">
        <v>21</v>
      </c>
      <c r="D670" t="s">
        <v>1783</v>
      </c>
      <c r="E670" t="s">
        <v>1791</v>
      </c>
      <c r="F670" t="s">
        <v>1799</v>
      </c>
      <c r="G670" s="5">
        <v>68921</v>
      </c>
      <c r="H670" t="s">
        <v>1803</v>
      </c>
      <c r="I670" t="s">
        <v>1808</v>
      </c>
      <c r="J670" s="2">
        <v>45088</v>
      </c>
      <c r="K670">
        <f t="shared" ca="1" si="20"/>
        <v>2</v>
      </c>
      <c r="L670">
        <f t="shared" ca="1" si="21"/>
        <v>5</v>
      </c>
      <c r="M670" t="s">
        <v>1809</v>
      </c>
      <c r="N670">
        <v>1</v>
      </c>
      <c r="O670" t="s">
        <v>1814</v>
      </c>
      <c r="P670" t="s">
        <v>1832</v>
      </c>
    </row>
    <row r="671" spans="1:16" x14ac:dyDescent="0.3">
      <c r="A671" t="s">
        <v>682</v>
      </c>
      <c r="B671" t="s">
        <v>1755</v>
      </c>
      <c r="C671">
        <v>47</v>
      </c>
      <c r="D671" t="s">
        <v>1785</v>
      </c>
      <c r="E671" t="s">
        <v>1788</v>
      </c>
      <c r="F671" t="s">
        <v>1795</v>
      </c>
      <c r="G671" s="5">
        <v>107779</v>
      </c>
      <c r="H671" t="s">
        <v>1802</v>
      </c>
      <c r="I671" t="s">
        <v>1808</v>
      </c>
      <c r="J671" s="2">
        <v>45163</v>
      </c>
      <c r="K671">
        <f t="shared" ca="1" si="20"/>
        <v>2</v>
      </c>
      <c r="L671">
        <f t="shared" ca="1" si="21"/>
        <v>3</v>
      </c>
      <c r="M671" t="s">
        <v>1809</v>
      </c>
      <c r="N671">
        <v>3</v>
      </c>
      <c r="O671" t="s">
        <v>1815</v>
      </c>
      <c r="P671" t="s">
        <v>1834</v>
      </c>
    </row>
    <row r="672" spans="1:16" x14ac:dyDescent="0.3">
      <c r="A672" t="s">
        <v>683</v>
      </c>
      <c r="B672" t="s">
        <v>1774</v>
      </c>
      <c r="C672">
        <v>44</v>
      </c>
      <c r="D672" t="s">
        <v>1784</v>
      </c>
      <c r="E672" t="s">
        <v>1788</v>
      </c>
      <c r="F672" t="s">
        <v>1795</v>
      </c>
      <c r="G672" s="5">
        <v>91801</v>
      </c>
      <c r="H672" t="s">
        <v>1803</v>
      </c>
      <c r="I672" t="s">
        <v>1807</v>
      </c>
      <c r="J672" s="2">
        <v>45536</v>
      </c>
      <c r="K672">
        <f t="shared" ca="1" si="20"/>
        <v>1</v>
      </c>
      <c r="L672">
        <f t="shared" ca="1" si="21"/>
        <v>3</v>
      </c>
      <c r="M672" t="s">
        <v>1810</v>
      </c>
      <c r="N672">
        <v>3</v>
      </c>
      <c r="O672" t="s">
        <v>1816</v>
      </c>
      <c r="P672" t="s">
        <v>1831</v>
      </c>
    </row>
    <row r="673" spans="1:16" x14ac:dyDescent="0.3">
      <c r="A673" t="s">
        <v>684</v>
      </c>
      <c r="B673" t="s">
        <v>1746</v>
      </c>
      <c r="C673">
        <v>47</v>
      </c>
      <c r="D673" t="s">
        <v>1783</v>
      </c>
      <c r="E673" t="s">
        <v>1792</v>
      </c>
      <c r="F673" t="s">
        <v>1796</v>
      </c>
      <c r="G673" s="5">
        <v>85284</v>
      </c>
      <c r="H673" t="s">
        <v>1803</v>
      </c>
      <c r="I673" t="s">
        <v>1806</v>
      </c>
      <c r="J673" s="2">
        <v>43356</v>
      </c>
      <c r="K673">
        <f t="shared" ca="1" si="20"/>
        <v>7</v>
      </c>
      <c r="L673">
        <f t="shared" ca="1" si="21"/>
        <v>2</v>
      </c>
      <c r="M673" t="s">
        <v>1809</v>
      </c>
      <c r="N673">
        <v>4</v>
      </c>
      <c r="O673" t="s">
        <v>1813</v>
      </c>
      <c r="P673" t="s">
        <v>1834</v>
      </c>
    </row>
    <row r="674" spans="1:16" x14ac:dyDescent="0.3">
      <c r="A674" t="s">
        <v>685</v>
      </c>
      <c r="B674" t="s">
        <v>1728</v>
      </c>
      <c r="C674">
        <v>47</v>
      </c>
      <c r="D674" t="s">
        <v>1783</v>
      </c>
      <c r="E674" t="s">
        <v>1790</v>
      </c>
      <c r="F674" t="s">
        <v>1798</v>
      </c>
      <c r="G674" s="5">
        <v>57373</v>
      </c>
      <c r="H674" t="s">
        <v>1802</v>
      </c>
      <c r="I674" t="s">
        <v>1806</v>
      </c>
      <c r="J674" s="2">
        <v>43668</v>
      </c>
      <c r="K674">
        <f t="shared" ca="1" si="20"/>
        <v>6</v>
      </c>
      <c r="L674">
        <f t="shared" ca="1" si="21"/>
        <v>4</v>
      </c>
      <c r="M674" t="s">
        <v>1809</v>
      </c>
      <c r="N674">
        <v>5</v>
      </c>
      <c r="O674" t="s">
        <v>1811</v>
      </c>
      <c r="P674" t="s">
        <v>1834</v>
      </c>
    </row>
    <row r="675" spans="1:16" x14ac:dyDescent="0.3">
      <c r="A675" t="s">
        <v>686</v>
      </c>
      <c r="B675" t="s">
        <v>1763</v>
      </c>
      <c r="C675">
        <v>23</v>
      </c>
      <c r="D675" t="s">
        <v>1785</v>
      </c>
      <c r="E675" t="s">
        <v>1793</v>
      </c>
      <c r="F675" t="s">
        <v>1795</v>
      </c>
      <c r="G675" s="5">
        <v>23910</v>
      </c>
      <c r="H675" t="s">
        <v>1801</v>
      </c>
      <c r="I675" t="s">
        <v>1806</v>
      </c>
      <c r="J675" s="2">
        <v>44178</v>
      </c>
      <c r="K675">
        <f t="shared" ca="1" si="20"/>
        <v>5</v>
      </c>
      <c r="L675">
        <f t="shared" ca="1" si="21"/>
        <v>11</v>
      </c>
      <c r="M675" t="s">
        <v>1810</v>
      </c>
      <c r="N675">
        <v>1</v>
      </c>
      <c r="O675" t="s">
        <v>1812</v>
      </c>
      <c r="P675" t="s">
        <v>1832</v>
      </c>
    </row>
    <row r="676" spans="1:16" x14ac:dyDescent="0.3">
      <c r="A676" t="s">
        <v>687</v>
      </c>
      <c r="B676" t="s">
        <v>1717</v>
      </c>
      <c r="C676">
        <v>36</v>
      </c>
      <c r="D676" t="s">
        <v>1784</v>
      </c>
      <c r="E676" t="s">
        <v>1788</v>
      </c>
      <c r="F676" t="s">
        <v>1797</v>
      </c>
      <c r="G676" s="5">
        <v>94751</v>
      </c>
      <c r="H676" t="s">
        <v>1805</v>
      </c>
      <c r="I676" t="s">
        <v>1807</v>
      </c>
      <c r="J676" s="2">
        <v>42904</v>
      </c>
      <c r="K676">
        <f t="shared" ca="1" si="20"/>
        <v>8</v>
      </c>
      <c r="L676">
        <f t="shared" ca="1" si="21"/>
        <v>5</v>
      </c>
      <c r="M676" t="s">
        <v>1810</v>
      </c>
      <c r="N676">
        <v>2</v>
      </c>
      <c r="O676" t="s">
        <v>1816</v>
      </c>
      <c r="P676" t="s">
        <v>1831</v>
      </c>
    </row>
    <row r="677" spans="1:16" x14ac:dyDescent="0.3">
      <c r="A677" t="s">
        <v>688</v>
      </c>
      <c r="B677" t="s">
        <v>1716</v>
      </c>
      <c r="C677">
        <v>25</v>
      </c>
      <c r="D677" t="s">
        <v>1784</v>
      </c>
      <c r="E677" t="s">
        <v>1788</v>
      </c>
      <c r="F677" t="s">
        <v>1795</v>
      </c>
      <c r="G677" s="5">
        <v>59149</v>
      </c>
      <c r="H677" t="s">
        <v>1803</v>
      </c>
      <c r="I677" t="s">
        <v>1806</v>
      </c>
      <c r="J677" s="2">
        <v>44280</v>
      </c>
      <c r="K677">
        <f t="shared" ca="1" si="20"/>
        <v>4</v>
      </c>
      <c r="L677">
        <f t="shared" ca="1" si="21"/>
        <v>8</v>
      </c>
      <c r="M677" t="s">
        <v>1810</v>
      </c>
      <c r="N677">
        <v>3</v>
      </c>
      <c r="O677" t="s">
        <v>1816</v>
      </c>
      <c r="P677" t="s">
        <v>1832</v>
      </c>
    </row>
    <row r="678" spans="1:16" x14ac:dyDescent="0.3">
      <c r="A678" t="s">
        <v>689</v>
      </c>
      <c r="B678" t="s">
        <v>1732</v>
      </c>
      <c r="C678">
        <v>25</v>
      </c>
      <c r="D678" t="s">
        <v>1785</v>
      </c>
      <c r="E678" t="s">
        <v>1788</v>
      </c>
      <c r="F678" t="s">
        <v>1797</v>
      </c>
      <c r="G678" s="5">
        <v>106265</v>
      </c>
      <c r="H678" t="s">
        <v>1803</v>
      </c>
      <c r="I678" t="s">
        <v>1806</v>
      </c>
      <c r="J678" s="2">
        <v>42511</v>
      </c>
      <c r="K678">
        <f t="shared" ca="1" si="20"/>
        <v>9</v>
      </c>
      <c r="L678">
        <f t="shared" ca="1" si="21"/>
        <v>6</v>
      </c>
      <c r="M678" t="s">
        <v>1809</v>
      </c>
      <c r="N678">
        <v>4</v>
      </c>
      <c r="O678" t="s">
        <v>1813</v>
      </c>
      <c r="P678" t="s">
        <v>1832</v>
      </c>
    </row>
    <row r="679" spans="1:16" x14ac:dyDescent="0.3">
      <c r="A679" t="s">
        <v>690</v>
      </c>
      <c r="B679" t="s">
        <v>1752</v>
      </c>
      <c r="C679">
        <v>50</v>
      </c>
      <c r="D679" t="s">
        <v>1784</v>
      </c>
      <c r="E679" t="s">
        <v>1787</v>
      </c>
      <c r="F679" t="s">
        <v>1794</v>
      </c>
      <c r="G679" s="5">
        <v>104208</v>
      </c>
      <c r="H679" t="s">
        <v>1805</v>
      </c>
      <c r="I679" t="s">
        <v>1806</v>
      </c>
      <c r="J679" s="2">
        <v>44431</v>
      </c>
      <c r="K679">
        <f t="shared" ca="1" si="20"/>
        <v>4</v>
      </c>
      <c r="L679">
        <f t="shared" ca="1" si="21"/>
        <v>3</v>
      </c>
      <c r="M679" t="s">
        <v>1810</v>
      </c>
      <c r="N679">
        <v>5</v>
      </c>
      <c r="O679" t="s">
        <v>1817</v>
      </c>
      <c r="P679" t="s">
        <v>1834</v>
      </c>
    </row>
    <row r="680" spans="1:16" x14ac:dyDescent="0.3">
      <c r="A680" t="s">
        <v>691</v>
      </c>
      <c r="B680" t="s">
        <v>1750</v>
      </c>
      <c r="C680">
        <v>39</v>
      </c>
      <c r="D680" t="s">
        <v>1783</v>
      </c>
      <c r="E680" t="s">
        <v>1791</v>
      </c>
      <c r="F680" t="s">
        <v>1797</v>
      </c>
      <c r="G680" s="5">
        <v>35709</v>
      </c>
      <c r="H680" t="s">
        <v>1802</v>
      </c>
      <c r="I680" t="s">
        <v>1807</v>
      </c>
      <c r="J680" s="2">
        <v>45780</v>
      </c>
      <c r="K680">
        <f t="shared" ca="1" si="20"/>
        <v>0</v>
      </c>
      <c r="L680">
        <f t="shared" ca="1" si="21"/>
        <v>7</v>
      </c>
      <c r="M680" t="s">
        <v>1809</v>
      </c>
      <c r="N680">
        <v>2</v>
      </c>
      <c r="O680" t="s">
        <v>1818</v>
      </c>
      <c r="P680" t="s">
        <v>1831</v>
      </c>
    </row>
    <row r="681" spans="1:16" x14ac:dyDescent="0.3">
      <c r="A681" t="s">
        <v>692</v>
      </c>
      <c r="B681" t="s">
        <v>1743</v>
      </c>
      <c r="C681">
        <v>29</v>
      </c>
      <c r="D681" t="s">
        <v>1785</v>
      </c>
      <c r="E681" t="s">
        <v>1786</v>
      </c>
      <c r="F681" t="s">
        <v>1799</v>
      </c>
      <c r="G681" s="5">
        <v>75119</v>
      </c>
      <c r="H681" t="s">
        <v>1805</v>
      </c>
      <c r="I681" t="s">
        <v>1807</v>
      </c>
      <c r="J681" s="2">
        <v>42790</v>
      </c>
      <c r="K681">
        <f t="shared" ca="1" si="20"/>
        <v>8</v>
      </c>
      <c r="L681">
        <f t="shared" ca="1" si="21"/>
        <v>9</v>
      </c>
      <c r="M681" t="s">
        <v>1810</v>
      </c>
      <c r="N681">
        <v>4</v>
      </c>
      <c r="O681" t="s">
        <v>1816</v>
      </c>
      <c r="P681" t="s">
        <v>1833</v>
      </c>
    </row>
    <row r="682" spans="1:16" x14ac:dyDescent="0.3">
      <c r="A682" t="s">
        <v>693</v>
      </c>
      <c r="B682" t="s">
        <v>1774</v>
      </c>
      <c r="C682">
        <v>21</v>
      </c>
      <c r="D682" t="s">
        <v>1783</v>
      </c>
      <c r="E682" t="s">
        <v>1791</v>
      </c>
      <c r="F682" t="s">
        <v>1794</v>
      </c>
      <c r="G682" s="5">
        <v>37978</v>
      </c>
      <c r="H682" t="s">
        <v>1803</v>
      </c>
      <c r="I682" t="s">
        <v>1808</v>
      </c>
      <c r="J682" s="2">
        <v>44369</v>
      </c>
      <c r="K682">
        <f t="shared" ca="1" si="20"/>
        <v>4</v>
      </c>
      <c r="L682">
        <f t="shared" ca="1" si="21"/>
        <v>5</v>
      </c>
      <c r="M682" t="s">
        <v>1809</v>
      </c>
      <c r="N682">
        <v>4</v>
      </c>
      <c r="O682" t="s">
        <v>1815</v>
      </c>
      <c r="P682" t="s">
        <v>1832</v>
      </c>
    </row>
    <row r="683" spans="1:16" x14ac:dyDescent="0.3">
      <c r="A683" t="s">
        <v>694</v>
      </c>
      <c r="B683" t="s">
        <v>1762</v>
      </c>
      <c r="C683">
        <v>56</v>
      </c>
      <c r="D683" t="s">
        <v>1784</v>
      </c>
      <c r="E683" t="s">
        <v>1792</v>
      </c>
      <c r="F683" t="s">
        <v>1797</v>
      </c>
      <c r="G683" s="5">
        <v>61758</v>
      </c>
      <c r="H683" t="s">
        <v>1801</v>
      </c>
      <c r="I683" t="s">
        <v>1806</v>
      </c>
      <c r="J683" s="2">
        <v>45909</v>
      </c>
      <c r="K683">
        <f t="shared" ca="1" si="20"/>
        <v>0</v>
      </c>
      <c r="L683">
        <f t="shared" ca="1" si="21"/>
        <v>3</v>
      </c>
      <c r="M683" t="s">
        <v>1810</v>
      </c>
      <c r="N683">
        <v>4</v>
      </c>
      <c r="O683" t="s">
        <v>1812</v>
      </c>
      <c r="P683" t="s">
        <v>1834</v>
      </c>
    </row>
    <row r="684" spans="1:16" x14ac:dyDescent="0.3">
      <c r="A684" t="s">
        <v>695</v>
      </c>
      <c r="B684" t="s">
        <v>1759</v>
      </c>
      <c r="C684">
        <v>55</v>
      </c>
      <c r="D684" t="s">
        <v>1784</v>
      </c>
      <c r="E684" t="s">
        <v>1792</v>
      </c>
      <c r="F684" t="s">
        <v>1800</v>
      </c>
      <c r="G684" s="5">
        <v>81897</v>
      </c>
      <c r="H684" t="s">
        <v>1803</v>
      </c>
      <c r="I684" t="s">
        <v>1806</v>
      </c>
      <c r="J684" s="2">
        <v>44858</v>
      </c>
      <c r="K684">
        <f t="shared" ca="1" si="20"/>
        <v>3</v>
      </c>
      <c r="L684">
        <f t="shared" ca="1" si="21"/>
        <v>1</v>
      </c>
      <c r="M684" t="s">
        <v>1810</v>
      </c>
      <c r="N684">
        <v>2</v>
      </c>
      <c r="O684" t="s">
        <v>1818</v>
      </c>
      <c r="P684" t="s">
        <v>1834</v>
      </c>
    </row>
    <row r="685" spans="1:16" x14ac:dyDescent="0.3">
      <c r="A685" t="s">
        <v>696</v>
      </c>
      <c r="B685" t="s">
        <v>1764</v>
      </c>
      <c r="C685">
        <v>47</v>
      </c>
      <c r="D685" t="s">
        <v>1785</v>
      </c>
      <c r="E685" t="s">
        <v>1789</v>
      </c>
      <c r="F685" t="s">
        <v>1797</v>
      </c>
      <c r="G685" s="5">
        <v>90516</v>
      </c>
      <c r="H685" t="s">
        <v>1804</v>
      </c>
      <c r="I685" t="s">
        <v>1806</v>
      </c>
      <c r="J685" s="2">
        <v>44146</v>
      </c>
      <c r="K685">
        <f t="shared" ca="1" si="20"/>
        <v>5</v>
      </c>
      <c r="L685">
        <f t="shared" ca="1" si="21"/>
        <v>0</v>
      </c>
      <c r="M685" t="s">
        <v>1810</v>
      </c>
      <c r="N685">
        <v>1</v>
      </c>
      <c r="O685" t="s">
        <v>1812</v>
      </c>
      <c r="P685" t="s">
        <v>1834</v>
      </c>
    </row>
    <row r="686" spans="1:16" x14ac:dyDescent="0.3">
      <c r="A686" t="s">
        <v>697</v>
      </c>
      <c r="B686" t="s">
        <v>1760</v>
      </c>
      <c r="C686">
        <v>42</v>
      </c>
      <c r="D686" t="s">
        <v>1784</v>
      </c>
      <c r="E686" t="s">
        <v>1787</v>
      </c>
      <c r="F686" t="s">
        <v>1798</v>
      </c>
      <c r="G686" s="5">
        <v>20727</v>
      </c>
      <c r="H686" t="s">
        <v>1804</v>
      </c>
      <c r="I686" t="s">
        <v>1806</v>
      </c>
      <c r="J686" s="2">
        <v>43225</v>
      </c>
      <c r="K686">
        <f t="shared" ca="1" si="20"/>
        <v>7</v>
      </c>
      <c r="L686">
        <f t="shared" ca="1" si="21"/>
        <v>7</v>
      </c>
      <c r="M686" t="s">
        <v>1810</v>
      </c>
      <c r="N686">
        <v>3</v>
      </c>
      <c r="O686" t="s">
        <v>1812</v>
      </c>
      <c r="P686" t="s">
        <v>1831</v>
      </c>
    </row>
    <row r="687" spans="1:16" x14ac:dyDescent="0.3">
      <c r="A687" t="s">
        <v>698</v>
      </c>
      <c r="B687" t="s">
        <v>1730</v>
      </c>
      <c r="C687">
        <v>34</v>
      </c>
      <c r="D687" t="s">
        <v>1785</v>
      </c>
      <c r="E687" t="s">
        <v>1789</v>
      </c>
      <c r="F687" t="s">
        <v>1799</v>
      </c>
      <c r="G687" s="5">
        <v>96918</v>
      </c>
      <c r="H687" t="s">
        <v>1803</v>
      </c>
      <c r="I687" t="s">
        <v>1807</v>
      </c>
      <c r="J687" s="2">
        <v>43639</v>
      </c>
      <c r="K687">
        <f t="shared" ca="1" si="20"/>
        <v>6</v>
      </c>
      <c r="L687">
        <f t="shared" ca="1" si="21"/>
        <v>5</v>
      </c>
      <c r="M687" t="s">
        <v>1810</v>
      </c>
      <c r="N687">
        <v>4</v>
      </c>
      <c r="O687" t="s">
        <v>1817</v>
      </c>
      <c r="P687" t="s">
        <v>1833</v>
      </c>
    </row>
    <row r="688" spans="1:16" x14ac:dyDescent="0.3">
      <c r="A688" t="s">
        <v>699</v>
      </c>
      <c r="B688" t="s">
        <v>1755</v>
      </c>
      <c r="C688">
        <v>30</v>
      </c>
      <c r="D688" t="s">
        <v>1785</v>
      </c>
      <c r="E688" t="s">
        <v>1786</v>
      </c>
      <c r="F688" t="s">
        <v>1794</v>
      </c>
      <c r="G688" s="5">
        <v>55022</v>
      </c>
      <c r="H688" t="s">
        <v>1801</v>
      </c>
      <c r="I688" t="s">
        <v>1806</v>
      </c>
      <c r="J688" s="2">
        <v>44415</v>
      </c>
      <c r="K688">
        <f t="shared" ca="1" si="20"/>
        <v>4</v>
      </c>
      <c r="L688">
        <f t="shared" ca="1" si="21"/>
        <v>4</v>
      </c>
      <c r="M688" t="s">
        <v>1809</v>
      </c>
      <c r="N688">
        <v>2</v>
      </c>
      <c r="O688" t="s">
        <v>1815</v>
      </c>
      <c r="P688" t="s">
        <v>1833</v>
      </c>
    </row>
    <row r="689" spans="1:16" x14ac:dyDescent="0.3">
      <c r="A689" t="s">
        <v>700</v>
      </c>
      <c r="B689" t="s">
        <v>1772</v>
      </c>
      <c r="C689">
        <v>51</v>
      </c>
      <c r="D689" t="s">
        <v>1783</v>
      </c>
      <c r="E689" t="s">
        <v>1787</v>
      </c>
      <c r="F689" t="s">
        <v>1796</v>
      </c>
      <c r="G689" s="5">
        <v>82713</v>
      </c>
      <c r="H689" t="s">
        <v>1802</v>
      </c>
      <c r="I689" t="s">
        <v>1807</v>
      </c>
      <c r="J689" s="2">
        <v>44718</v>
      </c>
      <c r="K689">
        <f t="shared" ca="1" si="20"/>
        <v>3</v>
      </c>
      <c r="L689">
        <f t="shared" ca="1" si="21"/>
        <v>6</v>
      </c>
      <c r="M689" t="s">
        <v>1809</v>
      </c>
      <c r="N689">
        <v>1</v>
      </c>
      <c r="O689" t="s">
        <v>1817</v>
      </c>
      <c r="P689" t="s">
        <v>1834</v>
      </c>
    </row>
    <row r="690" spans="1:16" x14ac:dyDescent="0.3">
      <c r="A690" t="s">
        <v>701</v>
      </c>
      <c r="B690" t="s">
        <v>1766</v>
      </c>
      <c r="C690">
        <v>30</v>
      </c>
      <c r="D690" t="s">
        <v>1783</v>
      </c>
      <c r="E690" t="s">
        <v>1792</v>
      </c>
      <c r="F690" t="s">
        <v>1796</v>
      </c>
      <c r="G690" s="5">
        <v>26344</v>
      </c>
      <c r="H690" t="s">
        <v>1803</v>
      </c>
      <c r="I690" t="s">
        <v>1807</v>
      </c>
      <c r="J690" s="2">
        <v>44967</v>
      </c>
      <c r="K690">
        <f t="shared" ca="1" si="20"/>
        <v>2</v>
      </c>
      <c r="L690">
        <f t="shared" ca="1" si="21"/>
        <v>10</v>
      </c>
      <c r="M690" t="s">
        <v>1809</v>
      </c>
      <c r="N690">
        <v>1</v>
      </c>
      <c r="O690" t="s">
        <v>1815</v>
      </c>
      <c r="P690" t="s">
        <v>1833</v>
      </c>
    </row>
    <row r="691" spans="1:16" x14ac:dyDescent="0.3">
      <c r="A691" t="s">
        <v>702</v>
      </c>
      <c r="B691" t="s">
        <v>1737</v>
      </c>
      <c r="C691">
        <v>41</v>
      </c>
      <c r="D691" t="s">
        <v>1784</v>
      </c>
      <c r="E691" t="s">
        <v>1792</v>
      </c>
      <c r="F691" t="s">
        <v>1795</v>
      </c>
      <c r="G691" s="5">
        <v>118937</v>
      </c>
      <c r="H691" t="s">
        <v>1804</v>
      </c>
      <c r="I691" t="s">
        <v>1807</v>
      </c>
      <c r="J691" s="2">
        <v>45933</v>
      </c>
      <c r="K691">
        <f t="shared" ca="1" si="20"/>
        <v>0</v>
      </c>
      <c r="L691">
        <f t="shared" ca="1" si="21"/>
        <v>2</v>
      </c>
      <c r="M691" t="s">
        <v>1809</v>
      </c>
      <c r="N691">
        <v>1</v>
      </c>
      <c r="O691" t="s">
        <v>1812</v>
      </c>
      <c r="P691" t="s">
        <v>1831</v>
      </c>
    </row>
    <row r="692" spans="1:16" x14ac:dyDescent="0.3">
      <c r="A692" t="s">
        <v>703</v>
      </c>
      <c r="B692" t="s">
        <v>1755</v>
      </c>
      <c r="C692">
        <v>27</v>
      </c>
      <c r="D692" t="s">
        <v>1783</v>
      </c>
      <c r="E692" t="s">
        <v>1793</v>
      </c>
      <c r="F692" t="s">
        <v>1797</v>
      </c>
      <c r="G692" s="5">
        <v>91724</v>
      </c>
      <c r="H692" t="s">
        <v>1805</v>
      </c>
      <c r="I692" t="s">
        <v>1807</v>
      </c>
      <c r="J692" s="2">
        <v>43122</v>
      </c>
      <c r="K692">
        <f t="shared" ca="1" si="20"/>
        <v>7</v>
      </c>
      <c r="L692">
        <f t="shared" ca="1" si="21"/>
        <v>10</v>
      </c>
      <c r="M692" t="s">
        <v>1809</v>
      </c>
      <c r="N692">
        <v>2</v>
      </c>
      <c r="O692" t="s">
        <v>1817</v>
      </c>
      <c r="P692" t="s">
        <v>1833</v>
      </c>
    </row>
    <row r="693" spans="1:16" x14ac:dyDescent="0.3">
      <c r="A693" t="s">
        <v>704</v>
      </c>
      <c r="B693" t="s">
        <v>1749</v>
      </c>
      <c r="C693">
        <v>38</v>
      </c>
      <c r="D693" t="s">
        <v>1785</v>
      </c>
      <c r="E693" t="s">
        <v>1790</v>
      </c>
      <c r="F693" t="s">
        <v>1795</v>
      </c>
      <c r="G693" s="5">
        <v>117872</v>
      </c>
      <c r="H693" t="s">
        <v>1803</v>
      </c>
      <c r="I693" t="s">
        <v>1806</v>
      </c>
      <c r="J693" s="2">
        <v>42844</v>
      </c>
      <c r="K693">
        <f t="shared" ca="1" si="20"/>
        <v>8</v>
      </c>
      <c r="L693">
        <f t="shared" ca="1" si="21"/>
        <v>7</v>
      </c>
      <c r="M693" t="s">
        <v>1809</v>
      </c>
      <c r="N693">
        <v>3</v>
      </c>
      <c r="O693" t="s">
        <v>1817</v>
      </c>
      <c r="P693" t="s">
        <v>1831</v>
      </c>
    </row>
    <row r="694" spans="1:16" x14ac:dyDescent="0.3">
      <c r="A694" t="s">
        <v>705</v>
      </c>
      <c r="B694" t="s">
        <v>1761</v>
      </c>
      <c r="C694">
        <v>32</v>
      </c>
      <c r="D694" t="s">
        <v>1784</v>
      </c>
      <c r="E694" t="s">
        <v>1787</v>
      </c>
      <c r="F694" t="s">
        <v>1799</v>
      </c>
      <c r="G694" s="5">
        <v>118823</v>
      </c>
      <c r="H694" t="s">
        <v>1801</v>
      </c>
      <c r="I694" t="s">
        <v>1807</v>
      </c>
      <c r="J694" s="2">
        <v>45857</v>
      </c>
      <c r="K694">
        <f t="shared" ca="1" si="20"/>
        <v>0</v>
      </c>
      <c r="L694">
        <f t="shared" ca="1" si="21"/>
        <v>4</v>
      </c>
      <c r="M694" t="s">
        <v>1810</v>
      </c>
      <c r="N694">
        <v>3</v>
      </c>
      <c r="O694" t="s">
        <v>1814</v>
      </c>
      <c r="P694" t="s">
        <v>1833</v>
      </c>
    </row>
    <row r="695" spans="1:16" x14ac:dyDescent="0.3">
      <c r="A695" t="s">
        <v>706</v>
      </c>
      <c r="B695" t="s">
        <v>1756</v>
      </c>
      <c r="C695">
        <v>25</v>
      </c>
      <c r="D695" t="s">
        <v>1784</v>
      </c>
      <c r="E695" t="s">
        <v>1789</v>
      </c>
      <c r="F695" t="s">
        <v>1799</v>
      </c>
      <c r="G695" s="5">
        <v>111742</v>
      </c>
      <c r="H695" t="s">
        <v>1803</v>
      </c>
      <c r="I695" t="s">
        <v>1808</v>
      </c>
      <c r="J695" s="2">
        <v>45016</v>
      </c>
      <c r="K695">
        <f t="shared" ca="1" si="20"/>
        <v>2</v>
      </c>
      <c r="L695">
        <f t="shared" ca="1" si="21"/>
        <v>8</v>
      </c>
      <c r="M695" t="s">
        <v>1809</v>
      </c>
      <c r="N695">
        <v>2</v>
      </c>
      <c r="O695" t="s">
        <v>1811</v>
      </c>
      <c r="P695" t="s">
        <v>1832</v>
      </c>
    </row>
    <row r="696" spans="1:16" x14ac:dyDescent="0.3">
      <c r="A696" t="s">
        <v>707</v>
      </c>
      <c r="B696" t="s">
        <v>1732</v>
      </c>
      <c r="C696">
        <v>47</v>
      </c>
      <c r="D696" t="s">
        <v>1784</v>
      </c>
      <c r="E696" t="s">
        <v>1787</v>
      </c>
      <c r="F696" t="s">
        <v>1799</v>
      </c>
      <c r="G696" s="5">
        <v>78129</v>
      </c>
      <c r="H696" t="s">
        <v>1805</v>
      </c>
      <c r="I696" t="s">
        <v>1806</v>
      </c>
      <c r="J696" s="2">
        <v>43919</v>
      </c>
      <c r="K696">
        <f t="shared" ca="1" si="20"/>
        <v>5</v>
      </c>
      <c r="L696">
        <f t="shared" ca="1" si="21"/>
        <v>8</v>
      </c>
      <c r="M696" t="s">
        <v>1809</v>
      </c>
      <c r="N696">
        <v>4</v>
      </c>
      <c r="O696" t="s">
        <v>1816</v>
      </c>
      <c r="P696" t="s">
        <v>1834</v>
      </c>
    </row>
    <row r="697" spans="1:16" x14ac:dyDescent="0.3">
      <c r="A697" t="s">
        <v>708</v>
      </c>
      <c r="B697" t="s">
        <v>1733</v>
      </c>
      <c r="C697">
        <v>53</v>
      </c>
      <c r="D697" t="s">
        <v>1783</v>
      </c>
      <c r="E697" t="s">
        <v>1793</v>
      </c>
      <c r="F697" t="s">
        <v>1796</v>
      </c>
      <c r="G697" s="5">
        <v>62342</v>
      </c>
      <c r="H697" t="s">
        <v>1803</v>
      </c>
      <c r="I697" t="s">
        <v>1807</v>
      </c>
      <c r="J697" s="2">
        <v>44215</v>
      </c>
      <c r="K697">
        <f t="shared" ca="1" si="20"/>
        <v>4</v>
      </c>
      <c r="L697">
        <f t="shared" ca="1" si="21"/>
        <v>10</v>
      </c>
      <c r="M697" t="s">
        <v>1809</v>
      </c>
      <c r="N697">
        <v>4</v>
      </c>
      <c r="O697" t="s">
        <v>1818</v>
      </c>
      <c r="P697" t="s">
        <v>1834</v>
      </c>
    </row>
    <row r="698" spans="1:16" x14ac:dyDescent="0.3">
      <c r="A698" t="s">
        <v>709</v>
      </c>
      <c r="B698" t="s">
        <v>1772</v>
      </c>
      <c r="C698">
        <v>23</v>
      </c>
      <c r="D698" t="s">
        <v>1785</v>
      </c>
      <c r="E698" t="s">
        <v>1788</v>
      </c>
      <c r="F698" t="s">
        <v>1800</v>
      </c>
      <c r="G698" s="5">
        <v>72959</v>
      </c>
      <c r="H698" t="s">
        <v>1805</v>
      </c>
      <c r="I698" t="s">
        <v>1808</v>
      </c>
      <c r="J698" s="2">
        <v>45393</v>
      </c>
      <c r="K698">
        <f t="shared" ca="1" si="20"/>
        <v>1</v>
      </c>
      <c r="L698">
        <f t="shared" ca="1" si="21"/>
        <v>7</v>
      </c>
      <c r="M698" t="s">
        <v>1810</v>
      </c>
      <c r="N698">
        <v>3</v>
      </c>
      <c r="O698" t="s">
        <v>1818</v>
      </c>
      <c r="P698" t="s">
        <v>1832</v>
      </c>
    </row>
    <row r="699" spans="1:16" x14ac:dyDescent="0.3">
      <c r="A699" t="s">
        <v>710</v>
      </c>
      <c r="B699" t="s">
        <v>1763</v>
      </c>
      <c r="C699">
        <v>29</v>
      </c>
      <c r="D699" t="s">
        <v>1785</v>
      </c>
      <c r="E699" t="s">
        <v>1787</v>
      </c>
      <c r="F699" t="s">
        <v>1794</v>
      </c>
      <c r="G699" s="5">
        <v>76482</v>
      </c>
      <c r="H699" t="s">
        <v>1802</v>
      </c>
      <c r="I699" t="s">
        <v>1806</v>
      </c>
      <c r="J699" s="2">
        <v>44995</v>
      </c>
      <c r="K699">
        <f t="shared" ca="1" si="20"/>
        <v>2</v>
      </c>
      <c r="L699">
        <f t="shared" ca="1" si="21"/>
        <v>9</v>
      </c>
      <c r="M699" t="s">
        <v>1810</v>
      </c>
      <c r="N699">
        <v>3</v>
      </c>
      <c r="O699" t="s">
        <v>1811</v>
      </c>
      <c r="P699" t="s">
        <v>1833</v>
      </c>
    </row>
    <row r="700" spans="1:16" x14ac:dyDescent="0.3">
      <c r="A700" t="s">
        <v>711</v>
      </c>
      <c r="B700" t="s">
        <v>1762</v>
      </c>
      <c r="C700">
        <v>25</v>
      </c>
      <c r="D700" t="s">
        <v>1783</v>
      </c>
      <c r="E700" t="s">
        <v>1789</v>
      </c>
      <c r="F700" t="s">
        <v>1794</v>
      </c>
      <c r="G700" s="5">
        <v>69117</v>
      </c>
      <c r="H700" t="s">
        <v>1802</v>
      </c>
      <c r="I700" t="s">
        <v>1806</v>
      </c>
      <c r="J700" s="2">
        <v>44653</v>
      </c>
      <c r="K700">
        <f t="shared" ca="1" si="20"/>
        <v>3</v>
      </c>
      <c r="L700">
        <f t="shared" ca="1" si="21"/>
        <v>8</v>
      </c>
      <c r="M700" t="s">
        <v>1810</v>
      </c>
      <c r="N700">
        <v>2</v>
      </c>
      <c r="O700" t="s">
        <v>1813</v>
      </c>
      <c r="P700" t="s">
        <v>1832</v>
      </c>
    </row>
    <row r="701" spans="1:16" x14ac:dyDescent="0.3">
      <c r="A701" t="s">
        <v>712</v>
      </c>
      <c r="B701" t="s">
        <v>1771</v>
      </c>
      <c r="C701">
        <v>39</v>
      </c>
      <c r="D701" t="s">
        <v>1785</v>
      </c>
      <c r="E701" t="s">
        <v>1789</v>
      </c>
      <c r="F701" t="s">
        <v>1794</v>
      </c>
      <c r="G701" s="5">
        <v>117227</v>
      </c>
      <c r="H701" t="s">
        <v>1802</v>
      </c>
      <c r="I701" t="s">
        <v>1807</v>
      </c>
      <c r="J701" s="2">
        <v>42552</v>
      </c>
      <c r="K701">
        <f t="shared" ca="1" si="20"/>
        <v>9</v>
      </c>
      <c r="L701">
        <f t="shared" ca="1" si="21"/>
        <v>5</v>
      </c>
      <c r="M701" t="s">
        <v>1810</v>
      </c>
      <c r="N701">
        <v>2</v>
      </c>
      <c r="O701" t="s">
        <v>1814</v>
      </c>
      <c r="P701" t="s">
        <v>1831</v>
      </c>
    </row>
    <row r="702" spans="1:16" x14ac:dyDescent="0.3">
      <c r="A702" t="s">
        <v>713</v>
      </c>
      <c r="B702" t="s">
        <v>1744</v>
      </c>
      <c r="C702">
        <v>27</v>
      </c>
      <c r="D702" t="s">
        <v>1785</v>
      </c>
      <c r="E702" t="s">
        <v>1792</v>
      </c>
      <c r="F702" t="s">
        <v>1796</v>
      </c>
      <c r="G702" s="5">
        <v>66887</v>
      </c>
      <c r="H702" t="s">
        <v>1805</v>
      </c>
      <c r="I702" t="s">
        <v>1808</v>
      </c>
      <c r="J702" s="2">
        <v>42945</v>
      </c>
      <c r="K702">
        <f t="shared" ca="1" si="20"/>
        <v>8</v>
      </c>
      <c r="L702">
        <f t="shared" ca="1" si="21"/>
        <v>4</v>
      </c>
      <c r="M702" t="s">
        <v>1809</v>
      </c>
      <c r="N702">
        <v>1</v>
      </c>
      <c r="O702" t="s">
        <v>1812</v>
      </c>
      <c r="P702" t="s">
        <v>1833</v>
      </c>
    </row>
    <row r="703" spans="1:16" x14ac:dyDescent="0.3">
      <c r="A703" t="s">
        <v>714</v>
      </c>
      <c r="B703" t="s">
        <v>1763</v>
      </c>
      <c r="C703">
        <v>20</v>
      </c>
      <c r="D703" t="s">
        <v>1784</v>
      </c>
      <c r="E703" t="s">
        <v>1789</v>
      </c>
      <c r="F703" t="s">
        <v>1799</v>
      </c>
      <c r="G703" s="5">
        <v>48945</v>
      </c>
      <c r="H703" t="s">
        <v>1805</v>
      </c>
      <c r="I703" t="s">
        <v>1806</v>
      </c>
      <c r="J703" s="2">
        <v>45365</v>
      </c>
      <c r="K703">
        <f t="shared" ca="1" si="20"/>
        <v>1</v>
      </c>
      <c r="L703">
        <f t="shared" ca="1" si="21"/>
        <v>8</v>
      </c>
      <c r="M703" t="s">
        <v>1809</v>
      </c>
      <c r="N703">
        <v>3</v>
      </c>
      <c r="O703" t="s">
        <v>1814</v>
      </c>
      <c r="P703" t="s">
        <v>1832</v>
      </c>
    </row>
    <row r="704" spans="1:16" x14ac:dyDescent="0.3">
      <c r="A704" t="s">
        <v>715</v>
      </c>
      <c r="B704" t="s">
        <v>1780</v>
      </c>
      <c r="C704">
        <v>56</v>
      </c>
      <c r="D704" t="s">
        <v>1785</v>
      </c>
      <c r="E704" t="s">
        <v>1791</v>
      </c>
      <c r="F704" t="s">
        <v>1800</v>
      </c>
      <c r="G704" s="5">
        <v>111631</v>
      </c>
      <c r="H704" t="s">
        <v>1805</v>
      </c>
      <c r="I704" t="s">
        <v>1806</v>
      </c>
      <c r="J704" s="2">
        <v>43452</v>
      </c>
      <c r="K704">
        <f t="shared" ca="1" si="20"/>
        <v>7</v>
      </c>
      <c r="L704">
        <f t="shared" ca="1" si="21"/>
        <v>11</v>
      </c>
      <c r="M704" t="s">
        <v>1809</v>
      </c>
      <c r="N704">
        <v>3</v>
      </c>
      <c r="O704" t="s">
        <v>1815</v>
      </c>
      <c r="P704" t="s">
        <v>1834</v>
      </c>
    </row>
    <row r="705" spans="1:16" x14ac:dyDescent="0.3">
      <c r="A705" t="s">
        <v>716</v>
      </c>
      <c r="B705" t="s">
        <v>1731</v>
      </c>
      <c r="C705">
        <v>26</v>
      </c>
      <c r="D705" t="s">
        <v>1783</v>
      </c>
      <c r="E705" t="s">
        <v>1787</v>
      </c>
      <c r="F705" t="s">
        <v>1797</v>
      </c>
      <c r="G705" s="5">
        <v>72008</v>
      </c>
      <c r="H705" t="s">
        <v>1801</v>
      </c>
      <c r="I705" t="s">
        <v>1807</v>
      </c>
      <c r="J705" s="2">
        <v>44178</v>
      </c>
      <c r="K705">
        <f t="shared" ca="1" si="20"/>
        <v>5</v>
      </c>
      <c r="L705">
        <f t="shared" ca="1" si="21"/>
        <v>11</v>
      </c>
      <c r="M705" t="s">
        <v>1809</v>
      </c>
      <c r="N705">
        <v>4</v>
      </c>
      <c r="O705" t="s">
        <v>1815</v>
      </c>
      <c r="P705" t="s">
        <v>1833</v>
      </c>
    </row>
    <row r="706" spans="1:16" x14ac:dyDescent="0.3">
      <c r="A706" t="s">
        <v>717</v>
      </c>
      <c r="B706" t="s">
        <v>1726</v>
      </c>
      <c r="C706">
        <v>43</v>
      </c>
      <c r="D706" t="s">
        <v>1785</v>
      </c>
      <c r="E706" t="s">
        <v>1787</v>
      </c>
      <c r="F706" t="s">
        <v>1795</v>
      </c>
      <c r="G706" s="5">
        <v>95101</v>
      </c>
      <c r="H706" t="s">
        <v>1805</v>
      </c>
      <c r="I706" t="s">
        <v>1808</v>
      </c>
      <c r="J706" s="2">
        <v>43518</v>
      </c>
      <c r="K706">
        <f t="shared" ca="1" si="20"/>
        <v>6</v>
      </c>
      <c r="L706">
        <f t="shared" ca="1" si="21"/>
        <v>9</v>
      </c>
      <c r="M706" t="s">
        <v>1810</v>
      </c>
      <c r="N706">
        <v>4</v>
      </c>
      <c r="O706" t="s">
        <v>1812</v>
      </c>
      <c r="P706" t="s">
        <v>1831</v>
      </c>
    </row>
    <row r="707" spans="1:16" x14ac:dyDescent="0.3">
      <c r="A707" t="s">
        <v>718</v>
      </c>
      <c r="B707" t="s">
        <v>1747</v>
      </c>
      <c r="C707">
        <v>46</v>
      </c>
      <c r="D707" t="s">
        <v>1783</v>
      </c>
      <c r="E707" t="s">
        <v>1791</v>
      </c>
      <c r="F707" t="s">
        <v>1798</v>
      </c>
      <c r="G707" s="5">
        <v>84294</v>
      </c>
      <c r="H707" t="s">
        <v>1803</v>
      </c>
      <c r="I707" t="s">
        <v>1806</v>
      </c>
      <c r="J707" s="2">
        <v>44312</v>
      </c>
      <c r="K707">
        <f t="shared" ref="K707:K770" ca="1" si="22">YEAR(TODAY()) - YEAR(J707)</f>
        <v>4</v>
      </c>
      <c r="L707">
        <f t="shared" ref="L707:L770" ca="1" si="23">DATEDIF(J707,TODAY(),"YM")</f>
        <v>7</v>
      </c>
      <c r="M707" t="s">
        <v>1809</v>
      </c>
      <c r="N707">
        <v>5</v>
      </c>
      <c r="O707" t="s">
        <v>1813</v>
      </c>
      <c r="P707" t="s">
        <v>1834</v>
      </c>
    </row>
    <row r="708" spans="1:16" x14ac:dyDescent="0.3">
      <c r="A708" t="s">
        <v>719</v>
      </c>
      <c r="B708" t="s">
        <v>1743</v>
      </c>
      <c r="C708">
        <v>50</v>
      </c>
      <c r="D708" t="s">
        <v>1783</v>
      </c>
      <c r="E708" t="s">
        <v>1791</v>
      </c>
      <c r="F708" t="s">
        <v>1796</v>
      </c>
      <c r="G708" s="5">
        <v>91272</v>
      </c>
      <c r="H708" t="s">
        <v>1801</v>
      </c>
      <c r="I708" t="s">
        <v>1806</v>
      </c>
      <c r="J708" s="2">
        <v>45929</v>
      </c>
      <c r="K708">
        <f t="shared" ca="1" si="22"/>
        <v>0</v>
      </c>
      <c r="L708">
        <f t="shared" ca="1" si="23"/>
        <v>2</v>
      </c>
      <c r="M708" t="s">
        <v>1810</v>
      </c>
      <c r="N708">
        <v>1</v>
      </c>
      <c r="O708" t="s">
        <v>1813</v>
      </c>
      <c r="P708" t="s">
        <v>1834</v>
      </c>
    </row>
    <row r="709" spans="1:16" x14ac:dyDescent="0.3">
      <c r="A709" t="s">
        <v>720</v>
      </c>
      <c r="B709" t="s">
        <v>1753</v>
      </c>
      <c r="C709">
        <v>38</v>
      </c>
      <c r="D709" t="s">
        <v>1783</v>
      </c>
      <c r="E709" t="s">
        <v>1791</v>
      </c>
      <c r="F709" t="s">
        <v>1796</v>
      </c>
      <c r="G709" s="5">
        <v>33432</v>
      </c>
      <c r="H709" t="s">
        <v>1804</v>
      </c>
      <c r="I709" t="s">
        <v>1808</v>
      </c>
      <c r="J709" s="2">
        <v>43680</v>
      </c>
      <c r="K709">
        <f t="shared" ca="1" si="22"/>
        <v>6</v>
      </c>
      <c r="L709">
        <f t="shared" ca="1" si="23"/>
        <v>4</v>
      </c>
      <c r="M709" t="s">
        <v>1810</v>
      </c>
      <c r="N709">
        <v>4</v>
      </c>
      <c r="O709" t="s">
        <v>1818</v>
      </c>
      <c r="P709" t="s">
        <v>1831</v>
      </c>
    </row>
    <row r="710" spans="1:16" x14ac:dyDescent="0.3">
      <c r="A710" t="s">
        <v>721</v>
      </c>
      <c r="B710" t="s">
        <v>1776</v>
      </c>
      <c r="C710">
        <v>57</v>
      </c>
      <c r="D710" t="s">
        <v>1784</v>
      </c>
      <c r="E710" t="s">
        <v>1792</v>
      </c>
      <c r="F710" t="s">
        <v>1796</v>
      </c>
      <c r="G710" s="5">
        <v>57998</v>
      </c>
      <c r="H710" t="s">
        <v>1802</v>
      </c>
      <c r="I710" t="s">
        <v>1807</v>
      </c>
      <c r="J710" s="2">
        <v>45793</v>
      </c>
      <c r="K710">
        <f t="shared" ca="1" si="22"/>
        <v>0</v>
      </c>
      <c r="L710">
        <f t="shared" ca="1" si="23"/>
        <v>6</v>
      </c>
      <c r="M710" t="s">
        <v>1810</v>
      </c>
      <c r="N710">
        <v>1</v>
      </c>
      <c r="O710" t="s">
        <v>1813</v>
      </c>
      <c r="P710" t="s">
        <v>1834</v>
      </c>
    </row>
    <row r="711" spans="1:16" x14ac:dyDescent="0.3">
      <c r="A711" t="s">
        <v>722</v>
      </c>
      <c r="B711" t="s">
        <v>1739</v>
      </c>
      <c r="C711">
        <v>24</v>
      </c>
      <c r="D711" t="s">
        <v>1783</v>
      </c>
      <c r="E711" t="s">
        <v>1787</v>
      </c>
      <c r="F711" t="s">
        <v>1795</v>
      </c>
      <c r="G711" s="5">
        <v>81068</v>
      </c>
      <c r="H711" t="s">
        <v>1804</v>
      </c>
      <c r="I711" t="s">
        <v>1806</v>
      </c>
      <c r="J711" s="2">
        <v>44290</v>
      </c>
      <c r="K711">
        <f t="shared" ca="1" si="22"/>
        <v>4</v>
      </c>
      <c r="L711">
        <f t="shared" ca="1" si="23"/>
        <v>8</v>
      </c>
      <c r="M711" t="s">
        <v>1810</v>
      </c>
      <c r="N711">
        <v>4</v>
      </c>
      <c r="O711" t="s">
        <v>1812</v>
      </c>
      <c r="P711" t="s">
        <v>1832</v>
      </c>
    </row>
    <row r="712" spans="1:16" x14ac:dyDescent="0.3">
      <c r="A712" t="s">
        <v>723</v>
      </c>
      <c r="B712" t="s">
        <v>1729</v>
      </c>
      <c r="C712">
        <v>28</v>
      </c>
      <c r="D712" t="s">
        <v>1785</v>
      </c>
      <c r="E712" t="s">
        <v>1790</v>
      </c>
      <c r="F712" t="s">
        <v>1800</v>
      </c>
      <c r="G712" s="5">
        <v>117834</v>
      </c>
      <c r="H712" t="s">
        <v>1803</v>
      </c>
      <c r="I712" t="s">
        <v>1807</v>
      </c>
      <c r="J712" s="2">
        <v>45986</v>
      </c>
      <c r="K712">
        <f t="shared" ca="1" si="22"/>
        <v>0</v>
      </c>
      <c r="L712">
        <f t="shared" ca="1" si="23"/>
        <v>0</v>
      </c>
      <c r="M712" t="s">
        <v>1810</v>
      </c>
      <c r="N712">
        <v>1</v>
      </c>
      <c r="O712" t="s">
        <v>1811</v>
      </c>
      <c r="P712" t="s">
        <v>1833</v>
      </c>
    </row>
    <row r="713" spans="1:16" x14ac:dyDescent="0.3">
      <c r="A713" t="s">
        <v>724</v>
      </c>
      <c r="B713" t="s">
        <v>1782</v>
      </c>
      <c r="C713">
        <v>45</v>
      </c>
      <c r="D713" t="s">
        <v>1784</v>
      </c>
      <c r="E713" t="s">
        <v>1792</v>
      </c>
      <c r="F713" t="s">
        <v>1800</v>
      </c>
      <c r="G713" s="5">
        <v>105876</v>
      </c>
      <c r="H713" t="s">
        <v>1804</v>
      </c>
      <c r="I713" t="s">
        <v>1806</v>
      </c>
      <c r="J713" s="2">
        <v>42800</v>
      </c>
      <c r="K713">
        <f t="shared" ca="1" si="22"/>
        <v>8</v>
      </c>
      <c r="L713">
        <f t="shared" ca="1" si="23"/>
        <v>9</v>
      </c>
      <c r="M713" t="s">
        <v>1809</v>
      </c>
      <c r="N713">
        <v>1</v>
      </c>
      <c r="O713" t="s">
        <v>1814</v>
      </c>
      <c r="P713" t="s">
        <v>1831</v>
      </c>
    </row>
    <row r="714" spans="1:16" x14ac:dyDescent="0.3">
      <c r="A714" t="s">
        <v>725</v>
      </c>
      <c r="B714" t="s">
        <v>1719</v>
      </c>
      <c r="C714">
        <v>27</v>
      </c>
      <c r="D714" t="s">
        <v>1785</v>
      </c>
      <c r="E714" t="s">
        <v>1793</v>
      </c>
      <c r="F714" t="s">
        <v>1795</v>
      </c>
      <c r="G714" s="5">
        <v>43221</v>
      </c>
      <c r="H714" t="s">
        <v>1805</v>
      </c>
      <c r="I714" t="s">
        <v>1806</v>
      </c>
      <c r="J714" s="2">
        <v>45541</v>
      </c>
      <c r="K714">
        <f t="shared" ca="1" si="22"/>
        <v>1</v>
      </c>
      <c r="L714">
        <f t="shared" ca="1" si="23"/>
        <v>3</v>
      </c>
      <c r="M714" t="s">
        <v>1809</v>
      </c>
      <c r="N714">
        <v>5</v>
      </c>
      <c r="O714" t="s">
        <v>1815</v>
      </c>
      <c r="P714" t="s">
        <v>1833</v>
      </c>
    </row>
    <row r="715" spans="1:16" x14ac:dyDescent="0.3">
      <c r="A715" t="s">
        <v>726</v>
      </c>
      <c r="B715" t="s">
        <v>1773</v>
      </c>
      <c r="C715">
        <v>21</v>
      </c>
      <c r="D715" t="s">
        <v>1783</v>
      </c>
      <c r="E715" t="s">
        <v>1791</v>
      </c>
      <c r="F715" t="s">
        <v>1796</v>
      </c>
      <c r="G715" s="5">
        <v>20486</v>
      </c>
      <c r="H715" t="s">
        <v>1802</v>
      </c>
      <c r="I715" t="s">
        <v>1807</v>
      </c>
      <c r="J715" s="2">
        <v>45836</v>
      </c>
      <c r="K715">
        <f t="shared" ca="1" si="22"/>
        <v>0</v>
      </c>
      <c r="L715">
        <f t="shared" ca="1" si="23"/>
        <v>5</v>
      </c>
      <c r="M715" t="s">
        <v>1810</v>
      </c>
      <c r="N715">
        <v>1</v>
      </c>
      <c r="O715" t="s">
        <v>1817</v>
      </c>
      <c r="P715" t="s">
        <v>1832</v>
      </c>
    </row>
    <row r="716" spans="1:16" x14ac:dyDescent="0.3">
      <c r="A716" t="s">
        <v>727</v>
      </c>
      <c r="B716" t="s">
        <v>1744</v>
      </c>
      <c r="C716">
        <v>22</v>
      </c>
      <c r="D716" t="s">
        <v>1784</v>
      </c>
      <c r="E716" t="s">
        <v>1792</v>
      </c>
      <c r="F716" t="s">
        <v>1800</v>
      </c>
      <c r="G716" s="5">
        <v>62558</v>
      </c>
      <c r="H716" t="s">
        <v>1802</v>
      </c>
      <c r="I716" t="s">
        <v>1808</v>
      </c>
      <c r="J716" s="2">
        <v>42536</v>
      </c>
      <c r="K716">
        <f t="shared" ca="1" si="22"/>
        <v>9</v>
      </c>
      <c r="L716">
        <f t="shared" ca="1" si="23"/>
        <v>5</v>
      </c>
      <c r="M716" t="s">
        <v>1810</v>
      </c>
      <c r="N716">
        <v>4</v>
      </c>
      <c r="O716" t="s">
        <v>1814</v>
      </c>
      <c r="P716" t="s">
        <v>1832</v>
      </c>
    </row>
    <row r="717" spans="1:16" x14ac:dyDescent="0.3">
      <c r="A717" t="s">
        <v>728</v>
      </c>
      <c r="B717" t="s">
        <v>1713</v>
      </c>
      <c r="C717">
        <v>26</v>
      </c>
      <c r="D717" t="s">
        <v>1785</v>
      </c>
      <c r="E717" t="s">
        <v>1791</v>
      </c>
      <c r="F717" t="s">
        <v>1798</v>
      </c>
      <c r="G717" s="5">
        <v>55401</v>
      </c>
      <c r="H717" t="s">
        <v>1802</v>
      </c>
      <c r="I717" t="s">
        <v>1808</v>
      </c>
      <c r="J717" s="2">
        <v>45584</v>
      </c>
      <c r="K717">
        <f t="shared" ca="1" si="22"/>
        <v>1</v>
      </c>
      <c r="L717">
        <f t="shared" ca="1" si="23"/>
        <v>1</v>
      </c>
      <c r="M717" t="s">
        <v>1809</v>
      </c>
      <c r="N717">
        <v>2</v>
      </c>
      <c r="O717" t="s">
        <v>1814</v>
      </c>
      <c r="P717" t="s">
        <v>1833</v>
      </c>
    </row>
    <row r="718" spans="1:16" x14ac:dyDescent="0.3">
      <c r="A718" t="s">
        <v>729</v>
      </c>
      <c r="B718" t="s">
        <v>1746</v>
      </c>
      <c r="C718">
        <v>30</v>
      </c>
      <c r="D718" t="s">
        <v>1783</v>
      </c>
      <c r="E718" t="s">
        <v>1789</v>
      </c>
      <c r="F718" t="s">
        <v>1797</v>
      </c>
      <c r="G718" s="5">
        <v>41784</v>
      </c>
      <c r="H718" t="s">
        <v>1801</v>
      </c>
      <c r="I718" t="s">
        <v>1808</v>
      </c>
      <c r="J718" s="2">
        <v>44035</v>
      </c>
      <c r="K718">
        <f t="shared" ca="1" si="22"/>
        <v>5</v>
      </c>
      <c r="L718">
        <f t="shared" ca="1" si="23"/>
        <v>4</v>
      </c>
      <c r="M718" t="s">
        <v>1809</v>
      </c>
      <c r="N718">
        <v>3</v>
      </c>
      <c r="O718" t="s">
        <v>1816</v>
      </c>
      <c r="P718" t="s">
        <v>1833</v>
      </c>
    </row>
    <row r="719" spans="1:16" x14ac:dyDescent="0.3">
      <c r="A719" t="s">
        <v>730</v>
      </c>
      <c r="B719" t="s">
        <v>1754</v>
      </c>
      <c r="C719">
        <v>36</v>
      </c>
      <c r="D719" t="s">
        <v>1784</v>
      </c>
      <c r="E719" t="s">
        <v>1793</v>
      </c>
      <c r="F719" t="s">
        <v>1798</v>
      </c>
      <c r="G719" s="5">
        <v>24799</v>
      </c>
      <c r="H719" t="s">
        <v>1802</v>
      </c>
      <c r="I719" t="s">
        <v>1806</v>
      </c>
      <c r="J719" s="2">
        <v>44838</v>
      </c>
      <c r="K719">
        <f t="shared" ca="1" si="22"/>
        <v>3</v>
      </c>
      <c r="L719">
        <f t="shared" ca="1" si="23"/>
        <v>2</v>
      </c>
      <c r="M719" t="s">
        <v>1809</v>
      </c>
      <c r="N719">
        <v>4</v>
      </c>
      <c r="O719" t="s">
        <v>1811</v>
      </c>
      <c r="P719" t="s">
        <v>1831</v>
      </c>
    </row>
    <row r="720" spans="1:16" x14ac:dyDescent="0.3">
      <c r="A720" t="s">
        <v>731</v>
      </c>
      <c r="B720" t="s">
        <v>1757</v>
      </c>
      <c r="C720">
        <v>23</v>
      </c>
      <c r="D720" t="s">
        <v>1784</v>
      </c>
      <c r="E720" t="s">
        <v>1790</v>
      </c>
      <c r="F720" t="s">
        <v>1800</v>
      </c>
      <c r="G720" s="5">
        <v>90498</v>
      </c>
      <c r="H720" t="s">
        <v>1801</v>
      </c>
      <c r="I720" t="s">
        <v>1808</v>
      </c>
      <c r="J720" s="2">
        <v>42556</v>
      </c>
      <c r="K720">
        <f t="shared" ca="1" si="22"/>
        <v>9</v>
      </c>
      <c r="L720">
        <f t="shared" ca="1" si="23"/>
        <v>5</v>
      </c>
      <c r="M720" t="s">
        <v>1810</v>
      </c>
      <c r="N720">
        <v>2</v>
      </c>
      <c r="O720" t="s">
        <v>1818</v>
      </c>
      <c r="P720" t="s">
        <v>1832</v>
      </c>
    </row>
    <row r="721" spans="1:16" x14ac:dyDescent="0.3">
      <c r="A721" t="s">
        <v>732</v>
      </c>
      <c r="B721" t="s">
        <v>1763</v>
      </c>
      <c r="C721">
        <v>57</v>
      </c>
      <c r="D721" t="s">
        <v>1785</v>
      </c>
      <c r="E721" t="s">
        <v>1793</v>
      </c>
      <c r="F721" t="s">
        <v>1799</v>
      </c>
      <c r="G721" s="5">
        <v>50285</v>
      </c>
      <c r="H721" t="s">
        <v>1805</v>
      </c>
      <c r="I721" t="s">
        <v>1806</v>
      </c>
      <c r="J721" s="2">
        <v>45654</v>
      </c>
      <c r="K721">
        <f t="shared" ca="1" si="22"/>
        <v>1</v>
      </c>
      <c r="L721">
        <f t="shared" ca="1" si="23"/>
        <v>11</v>
      </c>
      <c r="M721" t="s">
        <v>1809</v>
      </c>
      <c r="N721">
        <v>3</v>
      </c>
      <c r="O721" t="s">
        <v>1811</v>
      </c>
      <c r="P721" t="s">
        <v>1834</v>
      </c>
    </row>
    <row r="722" spans="1:16" x14ac:dyDescent="0.3">
      <c r="A722" t="s">
        <v>733</v>
      </c>
      <c r="B722" t="s">
        <v>1726</v>
      </c>
      <c r="C722">
        <v>52</v>
      </c>
      <c r="D722" t="s">
        <v>1783</v>
      </c>
      <c r="E722" t="s">
        <v>1791</v>
      </c>
      <c r="F722" t="s">
        <v>1795</v>
      </c>
      <c r="G722" s="5">
        <v>66929</v>
      </c>
      <c r="H722" t="s">
        <v>1802</v>
      </c>
      <c r="I722" t="s">
        <v>1807</v>
      </c>
      <c r="J722" s="2">
        <v>44639</v>
      </c>
      <c r="K722">
        <f t="shared" ca="1" si="22"/>
        <v>3</v>
      </c>
      <c r="L722">
        <f t="shared" ca="1" si="23"/>
        <v>8</v>
      </c>
      <c r="M722" t="s">
        <v>1810</v>
      </c>
      <c r="N722">
        <v>5</v>
      </c>
      <c r="O722" t="s">
        <v>1812</v>
      </c>
      <c r="P722" t="s">
        <v>1834</v>
      </c>
    </row>
    <row r="723" spans="1:16" x14ac:dyDescent="0.3">
      <c r="A723" t="s">
        <v>734</v>
      </c>
      <c r="B723" t="s">
        <v>1714</v>
      </c>
      <c r="C723">
        <v>49</v>
      </c>
      <c r="D723" t="s">
        <v>1785</v>
      </c>
      <c r="E723" t="s">
        <v>1788</v>
      </c>
      <c r="F723" t="s">
        <v>1798</v>
      </c>
      <c r="G723" s="5">
        <v>103597</v>
      </c>
      <c r="H723" t="s">
        <v>1801</v>
      </c>
      <c r="I723" t="s">
        <v>1807</v>
      </c>
      <c r="J723" s="2">
        <v>44413</v>
      </c>
      <c r="K723">
        <f t="shared" ca="1" si="22"/>
        <v>4</v>
      </c>
      <c r="L723">
        <f t="shared" ca="1" si="23"/>
        <v>4</v>
      </c>
      <c r="M723" t="s">
        <v>1810</v>
      </c>
      <c r="N723">
        <v>5</v>
      </c>
      <c r="O723" t="s">
        <v>1814</v>
      </c>
      <c r="P723" t="s">
        <v>1834</v>
      </c>
    </row>
    <row r="724" spans="1:16" x14ac:dyDescent="0.3">
      <c r="A724" t="s">
        <v>735</v>
      </c>
      <c r="B724" t="s">
        <v>1754</v>
      </c>
      <c r="C724">
        <v>33</v>
      </c>
      <c r="D724" t="s">
        <v>1785</v>
      </c>
      <c r="E724" t="s">
        <v>1788</v>
      </c>
      <c r="F724" t="s">
        <v>1798</v>
      </c>
      <c r="G724" s="5">
        <v>23961</v>
      </c>
      <c r="H724" t="s">
        <v>1805</v>
      </c>
      <c r="I724" t="s">
        <v>1806</v>
      </c>
      <c r="J724" s="2">
        <v>42724</v>
      </c>
      <c r="K724">
        <f t="shared" ca="1" si="22"/>
        <v>9</v>
      </c>
      <c r="L724">
        <f t="shared" ca="1" si="23"/>
        <v>11</v>
      </c>
      <c r="M724" t="s">
        <v>1810</v>
      </c>
      <c r="N724">
        <v>1</v>
      </c>
      <c r="O724" t="s">
        <v>1811</v>
      </c>
      <c r="P724" t="s">
        <v>1833</v>
      </c>
    </row>
    <row r="725" spans="1:16" x14ac:dyDescent="0.3">
      <c r="A725" t="s">
        <v>736</v>
      </c>
      <c r="B725" t="s">
        <v>1765</v>
      </c>
      <c r="C725">
        <v>28</v>
      </c>
      <c r="D725" t="s">
        <v>1785</v>
      </c>
      <c r="E725" t="s">
        <v>1788</v>
      </c>
      <c r="F725" t="s">
        <v>1798</v>
      </c>
      <c r="G725" s="5">
        <v>74618</v>
      </c>
      <c r="H725" t="s">
        <v>1805</v>
      </c>
      <c r="I725" t="s">
        <v>1806</v>
      </c>
      <c r="J725" s="2">
        <v>45723</v>
      </c>
      <c r="K725">
        <f t="shared" ca="1" si="22"/>
        <v>0</v>
      </c>
      <c r="L725">
        <f t="shared" ca="1" si="23"/>
        <v>9</v>
      </c>
      <c r="M725" t="s">
        <v>1810</v>
      </c>
      <c r="N725">
        <v>3</v>
      </c>
      <c r="O725" t="s">
        <v>1814</v>
      </c>
      <c r="P725" t="s">
        <v>1833</v>
      </c>
    </row>
    <row r="726" spans="1:16" x14ac:dyDescent="0.3">
      <c r="A726" t="s">
        <v>737</v>
      </c>
      <c r="B726" t="s">
        <v>1737</v>
      </c>
      <c r="C726">
        <v>35</v>
      </c>
      <c r="D726" t="s">
        <v>1785</v>
      </c>
      <c r="E726" t="s">
        <v>1789</v>
      </c>
      <c r="F726" t="s">
        <v>1798</v>
      </c>
      <c r="G726" s="5">
        <v>62778</v>
      </c>
      <c r="H726" t="s">
        <v>1803</v>
      </c>
      <c r="I726" t="s">
        <v>1806</v>
      </c>
      <c r="J726" s="2">
        <v>43783</v>
      </c>
      <c r="K726">
        <f t="shared" ca="1" si="22"/>
        <v>6</v>
      </c>
      <c r="L726">
        <f t="shared" ca="1" si="23"/>
        <v>0</v>
      </c>
      <c r="M726" t="s">
        <v>1809</v>
      </c>
      <c r="N726">
        <v>2</v>
      </c>
      <c r="O726" t="s">
        <v>1818</v>
      </c>
      <c r="P726" t="s">
        <v>1833</v>
      </c>
    </row>
    <row r="727" spans="1:16" x14ac:dyDescent="0.3">
      <c r="A727" t="s">
        <v>738</v>
      </c>
      <c r="B727" t="s">
        <v>1770</v>
      </c>
      <c r="C727">
        <v>20</v>
      </c>
      <c r="D727" t="s">
        <v>1783</v>
      </c>
      <c r="E727" t="s">
        <v>1791</v>
      </c>
      <c r="F727" t="s">
        <v>1795</v>
      </c>
      <c r="G727" s="5">
        <v>72154</v>
      </c>
      <c r="H727" t="s">
        <v>1803</v>
      </c>
      <c r="I727" t="s">
        <v>1808</v>
      </c>
      <c r="J727" s="2">
        <v>44642</v>
      </c>
      <c r="K727">
        <f t="shared" ca="1" si="22"/>
        <v>3</v>
      </c>
      <c r="L727">
        <f t="shared" ca="1" si="23"/>
        <v>8</v>
      </c>
      <c r="M727" t="s">
        <v>1809</v>
      </c>
      <c r="N727">
        <v>1</v>
      </c>
      <c r="O727" t="s">
        <v>1818</v>
      </c>
      <c r="P727" t="s">
        <v>1832</v>
      </c>
    </row>
    <row r="728" spans="1:16" x14ac:dyDescent="0.3">
      <c r="A728" t="s">
        <v>739</v>
      </c>
      <c r="B728" t="s">
        <v>1747</v>
      </c>
      <c r="C728">
        <v>27</v>
      </c>
      <c r="D728" t="s">
        <v>1784</v>
      </c>
      <c r="E728" t="s">
        <v>1787</v>
      </c>
      <c r="F728" t="s">
        <v>1796</v>
      </c>
      <c r="G728" s="5">
        <v>96815</v>
      </c>
      <c r="H728" t="s">
        <v>1803</v>
      </c>
      <c r="I728" t="s">
        <v>1807</v>
      </c>
      <c r="J728" s="2">
        <v>45875</v>
      </c>
      <c r="K728">
        <f t="shared" ca="1" si="22"/>
        <v>0</v>
      </c>
      <c r="L728">
        <f t="shared" ca="1" si="23"/>
        <v>4</v>
      </c>
      <c r="M728" t="s">
        <v>1809</v>
      </c>
      <c r="N728">
        <v>1</v>
      </c>
      <c r="O728" t="s">
        <v>1812</v>
      </c>
      <c r="P728" t="s">
        <v>1833</v>
      </c>
    </row>
    <row r="729" spans="1:16" x14ac:dyDescent="0.3">
      <c r="A729" t="s">
        <v>740</v>
      </c>
      <c r="B729" t="s">
        <v>1722</v>
      </c>
      <c r="C729">
        <v>48</v>
      </c>
      <c r="D729" t="s">
        <v>1783</v>
      </c>
      <c r="E729" t="s">
        <v>1786</v>
      </c>
      <c r="F729" t="s">
        <v>1797</v>
      </c>
      <c r="G729" s="5">
        <v>115405</v>
      </c>
      <c r="H729" t="s">
        <v>1804</v>
      </c>
      <c r="I729" t="s">
        <v>1806</v>
      </c>
      <c r="J729" s="2">
        <v>45342</v>
      </c>
      <c r="K729">
        <f t="shared" ca="1" si="22"/>
        <v>1</v>
      </c>
      <c r="L729">
        <f t="shared" ca="1" si="23"/>
        <v>9</v>
      </c>
      <c r="M729" t="s">
        <v>1810</v>
      </c>
      <c r="N729">
        <v>2</v>
      </c>
      <c r="O729" t="s">
        <v>1813</v>
      </c>
      <c r="P729" t="s">
        <v>1834</v>
      </c>
    </row>
    <row r="730" spans="1:16" x14ac:dyDescent="0.3">
      <c r="A730" t="s">
        <v>741</v>
      </c>
      <c r="B730" t="s">
        <v>1760</v>
      </c>
      <c r="C730">
        <v>39</v>
      </c>
      <c r="D730" t="s">
        <v>1785</v>
      </c>
      <c r="E730" t="s">
        <v>1786</v>
      </c>
      <c r="F730" t="s">
        <v>1800</v>
      </c>
      <c r="G730" s="5">
        <v>48704</v>
      </c>
      <c r="H730" t="s">
        <v>1804</v>
      </c>
      <c r="I730" t="s">
        <v>1807</v>
      </c>
      <c r="J730" s="2">
        <v>43587</v>
      </c>
      <c r="K730">
        <f t="shared" ca="1" si="22"/>
        <v>6</v>
      </c>
      <c r="L730">
        <f t="shared" ca="1" si="23"/>
        <v>7</v>
      </c>
      <c r="M730" t="s">
        <v>1810</v>
      </c>
      <c r="N730">
        <v>5</v>
      </c>
      <c r="O730" t="s">
        <v>1815</v>
      </c>
      <c r="P730" t="s">
        <v>1831</v>
      </c>
    </row>
    <row r="731" spans="1:16" x14ac:dyDescent="0.3">
      <c r="A731" t="s">
        <v>742</v>
      </c>
      <c r="B731" t="s">
        <v>1752</v>
      </c>
      <c r="C731">
        <v>45</v>
      </c>
      <c r="D731" t="s">
        <v>1783</v>
      </c>
      <c r="E731" t="s">
        <v>1788</v>
      </c>
      <c r="F731" t="s">
        <v>1795</v>
      </c>
      <c r="G731" s="5">
        <v>92593</v>
      </c>
      <c r="H731" t="s">
        <v>1803</v>
      </c>
      <c r="I731" t="s">
        <v>1807</v>
      </c>
      <c r="J731" s="2">
        <v>44698</v>
      </c>
      <c r="K731">
        <f t="shared" ca="1" si="22"/>
        <v>3</v>
      </c>
      <c r="L731">
        <f t="shared" ca="1" si="23"/>
        <v>6</v>
      </c>
      <c r="M731" t="s">
        <v>1809</v>
      </c>
      <c r="N731">
        <v>5</v>
      </c>
      <c r="O731" t="s">
        <v>1816</v>
      </c>
      <c r="P731" t="s">
        <v>1831</v>
      </c>
    </row>
    <row r="732" spans="1:16" x14ac:dyDescent="0.3">
      <c r="A732" t="s">
        <v>743</v>
      </c>
      <c r="B732" t="s">
        <v>1777</v>
      </c>
      <c r="C732">
        <v>28</v>
      </c>
      <c r="D732" t="s">
        <v>1785</v>
      </c>
      <c r="E732" t="s">
        <v>1793</v>
      </c>
      <c r="F732" t="s">
        <v>1796</v>
      </c>
      <c r="G732" s="5">
        <v>34702</v>
      </c>
      <c r="H732" t="s">
        <v>1805</v>
      </c>
      <c r="I732" t="s">
        <v>1807</v>
      </c>
      <c r="J732" s="2">
        <v>44580</v>
      </c>
      <c r="K732">
        <f t="shared" ca="1" si="22"/>
        <v>3</v>
      </c>
      <c r="L732">
        <f t="shared" ca="1" si="23"/>
        <v>10</v>
      </c>
      <c r="M732" t="s">
        <v>1810</v>
      </c>
      <c r="N732">
        <v>2</v>
      </c>
      <c r="O732" t="s">
        <v>1818</v>
      </c>
      <c r="P732" t="s">
        <v>1833</v>
      </c>
    </row>
    <row r="733" spans="1:16" x14ac:dyDescent="0.3">
      <c r="A733" t="s">
        <v>744</v>
      </c>
      <c r="B733" t="s">
        <v>1771</v>
      </c>
      <c r="C733">
        <v>36</v>
      </c>
      <c r="D733" t="s">
        <v>1785</v>
      </c>
      <c r="E733" t="s">
        <v>1790</v>
      </c>
      <c r="F733" t="s">
        <v>1800</v>
      </c>
      <c r="G733" s="5">
        <v>18256</v>
      </c>
      <c r="H733" t="s">
        <v>1801</v>
      </c>
      <c r="I733" t="s">
        <v>1808</v>
      </c>
      <c r="J733" s="2">
        <v>44209</v>
      </c>
      <c r="K733">
        <f t="shared" ca="1" si="22"/>
        <v>4</v>
      </c>
      <c r="L733">
        <f t="shared" ca="1" si="23"/>
        <v>10</v>
      </c>
      <c r="M733" t="s">
        <v>1810</v>
      </c>
      <c r="N733">
        <v>3</v>
      </c>
      <c r="O733" t="s">
        <v>1813</v>
      </c>
      <c r="P733" t="s">
        <v>1831</v>
      </c>
    </row>
    <row r="734" spans="1:16" x14ac:dyDescent="0.3">
      <c r="A734" t="s">
        <v>745</v>
      </c>
      <c r="B734" t="s">
        <v>1748</v>
      </c>
      <c r="C734">
        <v>51</v>
      </c>
      <c r="D734" t="s">
        <v>1784</v>
      </c>
      <c r="E734" t="s">
        <v>1792</v>
      </c>
      <c r="F734" t="s">
        <v>1798</v>
      </c>
      <c r="G734" s="5">
        <v>112531</v>
      </c>
      <c r="H734" t="s">
        <v>1801</v>
      </c>
      <c r="I734" t="s">
        <v>1808</v>
      </c>
      <c r="J734" s="2">
        <v>44158</v>
      </c>
      <c r="K734">
        <f t="shared" ca="1" si="22"/>
        <v>5</v>
      </c>
      <c r="L734">
        <f t="shared" ca="1" si="23"/>
        <v>0</v>
      </c>
      <c r="M734" t="s">
        <v>1810</v>
      </c>
      <c r="N734">
        <v>3</v>
      </c>
      <c r="O734" t="s">
        <v>1818</v>
      </c>
      <c r="P734" t="s">
        <v>1834</v>
      </c>
    </row>
    <row r="735" spans="1:16" x14ac:dyDescent="0.3">
      <c r="A735" t="s">
        <v>746</v>
      </c>
      <c r="B735" t="s">
        <v>1782</v>
      </c>
      <c r="C735">
        <v>41</v>
      </c>
      <c r="D735" t="s">
        <v>1783</v>
      </c>
      <c r="E735" t="s">
        <v>1792</v>
      </c>
      <c r="F735" t="s">
        <v>1798</v>
      </c>
      <c r="G735" s="5">
        <v>114658</v>
      </c>
      <c r="H735" t="s">
        <v>1803</v>
      </c>
      <c r="I735" t="s">
        <v>1807</v>
      </c>
      <c r="J735" s="2">
        <v>43461</v>
      </c>
      <c r="K735">
        <f t="shared" ca="1" si="22"/>
        <v>7</v>
      </c>
      <c r="L735">
        <f t="shared" ca="1" si="23"/>
        <v>11</v>
      </c>
      <c r="M735" t="s">
        <v>1809</v>
      </c>
      <c r="N735">
        <v>2</v>
      </c>
      <c r="O735" t="s">
        <v>1817</v>
      </c>
      <c r="P735" t="s">
        <v>1831</v>
      </c>
    </row>
    <row r="736" spans="1:16" x14ac:dyDescent="0.3">
      <c r="A736" t="s">
        <v>747</v>
      </c>
      <c r="B736" t="s">
        <v>1767</v>
      </c>
      <c r="C736">
        <v>26</v>
      </c>
      <c r="D736" t="s">
        <v>1783</v>
      </c>
      <c r="E736" t="s">
        <v>1790</v>
      </c>
      <c r="F736" t="s">
        <v>1799</v>
      </c>
      <c r="G736" s="5">
        <v>74616</v>
      </c>
      <c r="H736" t="s">
        <v>1801</v>
      </c>
      <c r="I736" t="s">
        <v>1806</v>
      </c>
      <c r="J736" s="2">
        <v>45703</v>
      </c>
      <c r="K736">
        <f t="shared" ca="1" si="22"/>
        <v>0</v>
      </c>
      <c r="L736">
        <f t="shared" ca="1" si="23"/>
        <v>9</v>
      </c>
      <c r="M736" t="s">
        <v>1810</v>
      </c>
      <c r="N736">
        <v>3</v>
      </c>
      <c r="O736" t="s">
        <v>1815</v>
      </c>
      <c r="P736" t="s">
        <v>1833</v>
      </c>
    </row>
    <row r="737" spans="1:16" x14ac:dyDescent="0.3">
      <c r="A737" t="s">
        <v>748</v>
      </c>
      <c r="B737" t="s">
        <v>1718</v>
      </c>
      <c r="C737">
        <v>35</v>
      </c>
      <c r="D737" t="s">
        <v>1784</v>
      </c>
      <c r="E737" t="s">
        <v>1792</v>
      </c>
      <c r="F737" t="s">
        <v>1795</v>
      </c>
      <c r="G737" s="5">
        <v>61724</v>
      </c>
      <c r="H737" t="s">
        <v>1802</v>
      </c>
      <c r="I737" t="s">
        <v>1807</v>
      </c>
      <c r="J737" s="2">
        <v>45615</v>
      </c>
      <c r="K737">
        <f t="shared" ca="1" si="22"/>
        <v>1</v>
      </c>
      <c r="L737">
        <f t="shared" ca="1" si="23"/>
        <v>0</v>
      </c>
      <c r="M737" t="s">
        <v>1810</v>
      </c>
      <c r="N737">
        <v>1</v>
      </c>
      <c r="O737" t="s">
        <v>1812</v>
      </c>
      <c r="P737" t="s">
        <v>1833</v>
      </c>
    </row>
    <row r="738" spans="1:16" x14ac:dyDescent="0.3">
      <c r="A738" t="s">
        <v>749</v>
      </c>
      <c r="B738" t="s">
        <v>1736</v>
      </c>
      <c r="C738">
        <v>25</v>
      </c>
      <c r="D738" t="s">
        <v>1783</v>
      </c>
      <c r="E738" t="s">
        <v>1792</v>
      </c>
      <c r="F738" t="s">
        <v>1796</v>
      </c>
      <c r="G738" s="5">
        <v>67465</v>
      </c>
      <c r="H738" t="s">
        <v>1801</v>
      </c>
      <c r="I738" t="s">
        <v>1807</v>
      </c>
      <c r="J738" s="2">
        <v>42691</v>
      </c>
      <c r="K738">
        <f t="shared" ca="1" si="22"/>
        <v>9</v>
      </c>
      <c r="L738">
        <f t="shared" ca="1" si="23"/>
        <v>0</v>
      </c>
      <c r="M738" t="s">
        <v>1810</v>
      </c>
      <c r="N738">
        <v>1</v>
      </c>
      <c r="O738" t="s">
        <v>1814</v>
      </c>
      <c r="P738" t="s">
        <v>1832</v>
      </c>
    </row>
    <row r="739" spans="1:16" x14ac:dyDescent="0.3">
      <c r="A739" t="s">
        <v>750</v>
      </c>
      <c r="B739" t="s">
        <v>1760</v>
      </c>
      <c r="C739">
        <v>47</v>
      </c>
      <c r="D739" t="s">
        <v>1783</v>
      </c>
      <c r="E739" t="s">
        <v>1793</v>
      </c>
      <c r="F739" t="s">
        <v>1797</v>
      </c>
      <c r="G739" s="5">
        <v>106809</v>
      </c>
      <c r="H739" t="s">
        <v>1805</v>
      </c>
      <c r="I739" t="s">
        <v>1807</v>
      </c>
      <c r="J739" s="2">
        <v>43645</v>
      </c>
      <c r="K739">
        <f t="shared" ca="1" si="22"/>
        <v>6</v>
      </c>
      <c r="L739">
        <f t="shared" ca="1" si="23"/>
        <v>5</v>
      </c>
      <c r="M739" t="s">
        <v>1810</v>
      </c>
      <c r="N739">
        <v>4</v>
      </c>
      <c r="O739" t="s">
        <v>1813</v>
      </c>
      <c r="P739" t="s">
        <v>1834</v>
      </c>
    </row>
    <row r="740" spans="1:16" x14ac:dyDescent="0.3">
      <c r="A740" t="s">
        <v>751</v>
      </c>
      <c r="B740" t="s">
        <v>1717</v>
      </c>
      <c r="C740">
        <v>46</v>
      </c>
      <c r="D740" t="s">
        <v>1783</v>
      </c>
      <c r="E740" t="s">
        <v>1792</v>
      </c>
      <c r="F740" t="s">
        <v>1800</v>
      </c>
      <c r="G740" s="5">
        <v>77429</v>
      </c>
      <c r="H740" t="s">
        <v>1803</v>
      </c>
      <c r="I740" t="s">
        <v>1808</v>
      </c>
      <c r="J740" s="2">
        <v>44978</v>
      </c>
      <c r="K740">
        <f t="shared" ca="1" si="22"/>
        <v>2</v>
      </c>
      <c r="L740">
        <f t="shared" ca="1" si="23"/>
        <v>9</v>
      </c>
      <c r="M740" t="s">
        <v>1809</v>
      </c>
      <c r="N740">
        <v>3</v>
      </c>
      <c r="O740" t="s">
        <v>1818</v>
      </c>
      <c r="P740" t="s">
        <v>1834</v>
      </c>
    </row>
    <row r="741" spans="1:16" x14ac:dyDescent="0.3">
      <c r="A741" t="s">
        <v>752</v>
      </c>
      <c r="B741" t="s">
        <v>1773</v>
      </c>
      <c r="C741">
        <v>41</v>
      </c>
      <c r="D741" t="s">
        <v>1785</v>
      </c>
      <c r="E741" t="s">
        <v>1786</v>
      </c>
      <c r="F741" t="s">
        <v>1797</v>
      </c>
      <c r="G741" s="5">
        <v>32156</v>
      </c>
      <c r="H741" t="s">
        <v>1801</v>
      </c>
      <c r="I741" t="s">
        <v>1806</v>
      </c>
      <c r="J741" s="2">
        <v>45359</v>
      </c>
      <c r="K741">
        <f t="shared" ca="1" si="22"/>
        <v>1</v>
      </c>
      <c r="L741">
        <f t="shared" ca="1" si="23"/>
        <v>9</v>
      </c>
      <c r="M741" t="s">
        <v>1809</v>
      </c>
      <c r="N741">
        <v>5</v>
      </c>
      <c r="O741" t="s">
        <v>1815</v>
      </c>
      <c r="P741" t="s">
        <v>1831</v>
      </c>
    </row>
    <row r="742" spans="1:16" x14ac:dyDescent="0.3">
      <c r="A742" t="s">
        <v>753</v>
      </c>
      <c r="B742" t="s">
        <v>1729</v>
      </c>
      <c r="C742">
        <v>52</v>
      </c>
      <c r="D742" t="s">
        <v>1784</v>
      </c>
      <c r="E742" t="s">
        <v>1789</v>
      </c>
      <c r="F742" t="s">
        <v>1800</v>
      </c>
      <c r="G742" s="5">
        <v>73182</v>
      </c>
      <c r="H742" t="s">
        <v>1805</v>
      </c>
      <c r="I742" t="s">
        <v>1808</v>
      </c>
      <c r="J742" s="2">
        <v>43199</v>
      </c>
      <c r="K742">
        <f t="shared" ca="1" si="22"/>
        <v>7</v>
      </c>
      <c r="L742">
        <f t="shared" ca="1" si="23"/>
        <v>8</v>
      </c>
      <c r="M742" t="s">
        <v>1809</v>
      </c>
      <c r="N742">
        <v>2</v>
      </c>
      <c r="O742" t="s">
        <v>1818</v>
      </c>
      <c r="P742" t="s">
        <v>1834</v>
      </c>
    </row>
    <row r="743" spans="1:16" x14ac:dyDescent="0.3">
      <c r="A743" t="s">
        <v>754</v>
      </c>
      <c r="B743" t="s">
        <v>1752</v>
      </c>
      <c r="C743">
        <v>39</v>
      </c>
      <c r="D743" t="s">
        <v>1785</v>
      </c>
      <c r="E743" t="s">
        <v>1787</v>
      </c>
      <c r="F743" t="s">
        <v>1794</v>
      </c>
      <c r="G743" s="5">
        <v>85256</v>
      </c>
      <c r="H743" t="s">
        <v>1804</v>
      </c>
      <c r="I743" t="s">
        <v>1808</v>
      </c>
      <c r="J743" s="2">
        <v>44828</v>
      </c>
      <c r="K743">
        <f t="shared" ca="1" si="22"/>
        <v>3</v>
      </c>
      <c r="L743">
        <f t="shared" ca="1" si="23"/>
        <v>2</v>
      </c>
      <c r="M743" t="s">
        <v>1809</v>
      </c>
      <c r="N743">
        <v>2</v>
      </c>
      <c r="O743" t="s">
        <v>1812</v>
      </c>
      <c r="P743" t="s">
        <v>1831</v>
      </c>
    </row>
    <row r="744" spans="1:16" x14ac:dyDescent="0.3">
      <c r="A744" t="s">
        <v>755</v>
      </c>
      <c r="B744" t="s">
        <v>1763</v>
      </c>
      <c r="C744">
        <v>41</v>
      </c>
      <c r="D744" t="s">
        <v>1784</v>
      </c>
      <c r="E744" t="s">
        <v>1789</v>
      </c>
      <c r="F744" t="s">
        <v>1795</v>
      </c>
      <c r="G744" s="5">
        <v>19059</v>
      </c>
      <c r="H744" t="s">
        <v>1805</v>
      </c>
      <c r="I744" t="s">
        <v>1806</v>
      </c>
      <c r="J744" s="2">
        <v>45216</v>
      </c>
      <c r="K744">
        <f t="shared" ca="1" si="22"/>
        <v>2</v>
      </c>
      <c r="L744">
        <f t="shared" ca="1" si="23"/>
        <v>1</v>
      </c>
      <c r="M744" t="s">
        <v>1809</v>
      </c>
      <c r="N744">
        <v>1</v>
      </c>
      <c r="O744" t="s">
        <v>1815</v>
      </c>
      <c r="P744" t="s">
        <v>1831</v>
      </c>
    </row>
    <row r="745" spans="1:16" x14ac:dyDescent="0.3">
      <c r="A745" t="s">
        <v>756</v>
      </c>
      <c r="B745" t="s">
        <v>1727</v>
      </c>
      <c r="C745">
        <v>55</v>
      </c>
      <c r="D745" t="s">
        <v>1783</v>
      </c>
      <c r="E745" t="s">
        <v>1787</v>
      </c>
      <c r="F745" t="s">
        <v>1798</v>
      </c>
      <c r="G745" s="5">
        <v>63064</v>
      </c>
      <c r="H745" t="s">
        <v>1802</v>
      </c>
      <c r="I745" t="s">
        <v>1806</v>
      </c>
      <c r="J745" s="2">
        <v>43262</v>
      </c>
      <c r="K745">
        <f t="shared" ca="1" si="22"/>
        <v>7</v>
      </c>
      <c r="L745">
        <f t="shared" ca="1" si="23"/>
        <v>5</v>
      </c>
      <c r="M745" t="s">
        <v>1809</v>
      </c>
      <c r="N745">
        <v>3</v>
      </c>
      <c r="O745" t="s">
        <v>1815</v>
      </c>
      <c r="P745" t="s">
        <v>1834</v>
      </c>
    </row>
    <row r="746" spans="1:16" x14ac:dyDescent="0.3">
      <c r="A746" t="s">
        <v>757</v>
      </c>
      <c r="B746" t="s">
        <v>1747</v>
      </c>
      <c r="C746">
        <v>49</v>
      </c>
      <c r="D746" t="s">
        <v>1785</v>
      </c>
      <c r="E746" t="s">
        <v>1789</v>
      </c>
      <c r="F746" t="s">
        <v>1795</v>
      </c>
      <c r="G746" s="5">
        <v>93813</v>
      </c>
      <c r="H746" t="s">
        <v>1804</v>
      </c>
      <c r="I746" t="s">
        <v>1806</v>
      </c>
      <c r="J746" s="2">
        <v>43665</v>
      </c>
      <c r="K746">
        <f t="shared" ca="1" si="22"/>
        <v>6</v>
      </c>
      <c r="L746">
        <f t="shared" ca="1" si="23"/>
        <v>4</v>
      </c>
      <c r="M746" t="s">
        <v>1810</v>
      </c>
      <c r="N746">
        <v>3</v>
      </c>
      <c r="O746" t="s">
        <v>1816</v>
      </c>
      <c r="P746" t="s">
        <v>1834</v>
      </c>
    </row>
    <row r="747" spans="1:16" x14ac:dyDescent="0.3">
      <c r="A747" t="s">
        <v>758</v>
      </c>
      <c r="B747" t="s">
        <v>1718</v>
      </c>
      <c r="C747">
        <v>22</v>
      </c>
      <c r="D747" t="s">
        <v>1784</v>
      </c>
      <c r="E747" t="s">
        <v>1786</v>
      </c>
      <c r="F747" t="s">
        <v>1794</v>
      </c>
      <c r="G747" s="5">
        <v>18484</v>
      </c>
      <c r="H747" t="s">
        <v>1802</v>
      </c>
      <c r="I747" t="s">
        <v>1806</v>
      </c>
      <c r="J747" s="2">
        <v>43381</v>
      </c>
      <c r="K747">
        <f t="shared" ca="1" si="22"/>
        <v>7</v>
      </c>
      <c r="L747">
        <f t="shared" ca="1" si="23"/>
        <v>2</v>
      </c>
      <c r="M747" t="s">
        <v>1810</v>
      </c>
      <c r="N747">
        <v>5</v>
      </c>
      <c r="O747" t="s">
        <v>1815</v>
      </c>
      <c r="P747" t="s">
        <v>1832</v>
      </c>
    </row>
    <row r="748" spans="1:16" x14ac:dyDescent="0.3">
      <c r="A748" t="s">
        <v>759</v>
      </c>
      <c r="B748" t="s">
        <v>1743</v>
      </c>
      <c r="C748">
        <v>41</v>
      </c>
      <c r="D748" t="s">
        <v>1785</v>
      </c>
      <c r="E748" t="s">
        <v>1787</v>
      </c>
      <c r="F748" t="s">
        <v>1800</v>
      </c>
      <c r="G748" s="5">
        <v>44911</v>
      </c>
      <c r="H748" t="s">
        <v>1802</v>
      </c>
      <c r="I748" t="s">
        <v>1807</v>
      </c>
      <c r="J748" s="2">
        <v>43924</v>
      </c>
      <c r="K748">
        <f t="shared" ca="1" si="22"/>
        <v>5</v>
      </c>
      <c r="L748">
        <f t="shared" ca="1" si="23"/>
        <v>8</v>
      </c>
      <c r="M748" t="s">
        <v>1809</v>
      </c>
      <c r="N748">
        <v>1</v>
      </c>
      <c r="O748" t="s">
        <v>1817</v>
      </c>
      <c r="P748" t="s">
        <v>1831</v>
      </c>
    </row>
    <row r="749" spans="1:16" x14ac:dyDescent="0.3">
      <c r="A749" t="s">
        <v>760</v>
      </c>
      <c r="B749" t="s">
        <v>1735</v>
      </c>
      <c r="C749">
        <v>27</v>
      </c>
      <c r="D749" t="s">
        <v>1783</v>
      </c>
      <c r="E749" t="s">
        <v>1788</v>
      </c>
      <c r="F749" t="s">
        <v>1798</v>
      </c>
      <c r="G749" s="5">
        <v>75725</v>
      </c>
      <c r="H749" t="s">
        <v>1805</v>
      </c>
      <c r="I749" t="s">
        <v>1808</v>
      </c>
      <c r="J749" s="2">
        <v>42617</v>
      </c>
      <c r="K749">
        <f t="shared" ca="1" si="22"/>
        <v>9</v>
      </c>
      <c r="L749">
        <f t="shared" ca="1" si="23"/>
        <v>3</v>
      </c>
      <c r="M749" t="s">
        <v>1809</v>
      </c>
      <c r="N749">
        <v>2</v>
      </c>
      <c r="O749" t="s">
        <v>1815</v>
      </c>
      <c r="P749" t="s">
        <v>1833</v>
      </c>
    </row>
    <row r="750" spans="1:16" x14ac:dyDescent="0.3">
      <c r="A750" t="s">
        <v>761</v>
      </c>
      <c r="B750" t="s">
        <v>1734</v>
      </c>
      <c r="C750">
        <v>34</v>
      </c>
      <c r="D750" t="s">
        <v>1784</v>
      </c>
      <c r="E750" t="s">
        <v>1791</v>
      </c>
      <c r="F750" t="s">
        <v>1799</v>
      </c>
      <c r="G750" s="5">
        <v>62540</v>
      </c>
      <c r="H750" t="s">
        <v>1805</v>
      </c>
      <c r="I750" t="s">
        <v>1807</v>
      </c>
      <c r="J750" s="2">
        <v>43169</v>
      </c>
      <c r="K750">
        <f t="shared" ca="1" si="22"/>
        <v>7</v>
      </c>
      <c r="L750">
        <f t="shared" ca="1" si="23"/>
        <v>9</v>
      </c>
      <c r="M750" t="s">
        <v>1809</v>
      </c>
      <c r="N750">
        <v>1</v>
      </c>
      <c r="O750" t="s">
        <v>1816</v>
      </c>
      <c r="P750" t="s">
        <v>1833</v>
      </c>
    </row>
    <row r="751" spans="1:16" x14ac:dyDescent="0.3">
      <c r="A751" t="s">
        <v>762</v>
      </c>
      <c r="B751" t="s">
        <v>1767</v>
      </c>
      <c r="C751">
        <v>21</v>
      </c>
      <c r="D751" t="s">
        <v>1785</v>
      </c>
      <c r="E751" t="s">
        <v>1791</v>
      </c>
      <c r="F751" t="s">
        <v>1794</v>
      </c>
      <c r="G751" s="5">
        <v>67666</v>
      </c>
      <c r="H751" t="s">
        <v>1801</v>
      </c>
      <c r="I751" t="s">
        <v>1808</v>
      </c>
      <c r="J751" s="2">
        <v>43299</v>
      </c>
      <c r="K751">
        <f t="shared" ca="1" si="22"/>
        <v>7</v>
      </c>
      <c r="L751">
        <f t="shared" ca="1" si="23"/>
        <v>4</v>
      </c>
      <c r="M751" t="s">
        <v>1810</v>
      </c>
      <c r="N751">
        <v>4</v>
      </c>
      <c r="O751" t="s">
        <v>1815</v>
      </c>
      <c r="P751" t="s">
        <v>1832</v>
      </c>
    </row>
    <row r="752" spans="1:16" x14ac:dyDescent="0.3">
      <c r="A752" t="s">
        <v>763</v>
      </c>
      <c r="B752" t="s">
        <v>1741</v>
      </c>
      <c r="C752">
        <v>43</v>
      </c>
      <c r="D752" t="s">
        <v>1785</v>
      </c>
      <c r="E752" t="s">
        <v>1791</v>
      </c>
      <c r="F752" t="s">
        <v>1799</v>
      </c>
      <c r="G752" s="5">
        <v>87065</v>
      </c>
      <c r="H752" t="s">
        <v>1805</v>
      </c>
      <c r="I752" t="s">
        <v>1808</v>
      </c>
      <c r="J752" s="2">
        <v>45350</v>
      </c>
      <c r="K752">
        <f t="shared" ca="1" si="22"/>
        <v>1</v>
      </c>
      <c r="L752">
        <f t="shared" ca="1" si="23"/>
        <v>9</v>
      </c>
      <c r="M752" t="s">
        <v>1809</v>
      </c>
      <c r="N752">
        <v>1</v>
      </c>
      <c r="O752" t="s">
        <v>1816</v>
      </c>
      <c r="P752" t="s">
        <v>1831</v>
      </c>
    </row>
    <row r="753" spans="1:16" x14ac:dyDescent="0.3">
      <c r="A753" t="s">
        <v>764</v>
      </c>
      <c r="B753" t="s">
        <v>1751</v>
      </c>
      <c r="C753">
        <v>32</v>
      </c>
      <c r="D753" t="s">
        <v>1783</v>
      </c>
      <c r="E753" t="s">
        <v>1787</v>
      </c>
      <c r="F753" t="s">
        <v>1796</v>
      </c>
      <c r="G753" s="5">
        <v>109010</v>
      </c>
      <c r="H753" t="s">
        <v>1804</v>
      </c>
      <c r="I753" t="s">
        <v>1806</v>
      </c>
      <c r="J753" s="2">
        <v>44197</v>
      </c>
      <c r="K753">
        <f t="shared" ca="1" si="22"/>
        <v>4</v>
      </c>
      <c r="L753">
        <f t="shared" ca="1" si="23"/>
        <v>11</v>
      </c>
      <c r="M753" t="s">
        <v>1809</v>
      </c>
      <c r="N753">
        <v>1</v>
      </c>
      <c r="O753" t="s">
        <v>1815</v>
      </c>
      <c r="P753" t="s">
        <v>1833</v>
      </c>
    </row>
    <row r="754" spans="1:16" x14ac:dyDescent="0.3">
      <c r="A754" t="s">
        <v>765</v>
      </c>
      <c r="B754" t="s">
        <v>1739</v>
      </c>
      <c r="C754">
        <v>29</v>
      </c>
      <c r="D754" t="s">
        <v>1784</v>
      </c>
      <c r="E754" t="s">
        <v>1786</v>
      </c>
      <c r="F754" t="s">
        <v>1794</v>
      </c>
      <c r="G754" s="5">
        <v>24980</v>
      </c>
      <c r="H754" t="s">
        <v>1804</v>
      </c>
      <c r="I754" t="s">
        <v>1807</v>
      </c>
      <c r="J754" s="2">
        <v>45925</v>
      </c>
      <c r="K754">
        <f t="shared" ca="1" si="22"/>
        <v>0</v>
      </c>
      <c r="L754">
        <f t="shared" ca="1" si="23"/>
        <v>2</v>
      </c>
      <c r="M754" t="s">
        <v>1810</v>
      </c>
      <c r="N754">
        <v>2</v>
      </c>
      <c r="O754" t="s">
        <v>1813</v>
      </c>
      <c r="P754" t="s">
        <v>1833</v>
      </c>
    </row>
    <row r="755" spans="1:16" x14ac:dyDescent="0.3">
      <c r="A755" t="s">
        <v>766</v>
      </c>
      <c r="B755" t="s">
        <v>1755</v>
      </c>
      <c r="C755">
        <v>24</v>
      </c>
      <c r="D755" t="s">
        <v>1783</v>
      </c>
      <c r="E755" t="s">
        <v>1787</v>
      </c>
      <c r="F755" t="s">
        <v>1794</v>
      </c>
      <c r="G755" s="5">
        <v>116475</v>
      </c>
      <c r="H755" t="s">
        <v>1805</v>
      </c>
      <c r="I755" t="s">
        <v>1808</v>
      </c>
      <c r="J755" s="2">
        <v>44480</v>
      </c>
      <c r="K755">
        <f t="shared" ca="1" si="22"/>
        <v>4</v>
      </c>
      <c r="L755">
        <f t="shared" ca="1" si="23"/>
        <v>1</v>
      </c>
      <c r="M755" t="s">
        <v>1810</v>
      </c>
      <c r="N755">
        <v>2</v>
      </c>
      <c r="O755" t="s">
        <v>1817</v>
      </c>
      <c r="P755" t="s">
        <v>1832</v>
      </c>
    </row>
    <row r="756" spans="1:16" x14ac:dyDescent="0.3">
      <c r="A756" t="s">
        <v>767</v>
      </c>
      <c r="B756" t="s">
        <v>1753</v>
      </c>
      <c r="C756">
        <v>50</v>
      </c>
      <c r="D756" t="s">
        <v>1785</v>
      </c>
      <c r="E756" t="s">
        <v>1790</v>
      </c>
      <c r="F756" t="s">
        <v>1796</v>
      </c>
      <c r="G756" s="5">
        <v>80096</v>
      </c>
      <c r="H756" t="s">
        <v>1805</v>
      </c>
      <c r="I756" t="s">
        <v>1808</v>
      </c>
      <c r="J756" s="2">
        <v>45051</v>
      </c>
      <c r="K756">
        <f t="shared" ca="1" si="22"/>
        <v>2</v>
      </c>
      <c r="L756">
        <f t="shared" ca="1" si="23"/>
        <v>7</v>
      </c>
      <c r="M756" t="s">
        <v>1809</v>
      </c>
      <c r="N756">
        <v>2</v>
      </c>
      <c r="O756" t="s">
        <v>1815</v>
      </c>
      <c r="P756" t="s">
        <v>1834</v>
      </c>
    </row>
    <row r="757" spans="1:16" x14ac:dyDescent="0.3">
      <c r="A757" t="s">
        <v>768</v>
      </c>
      <c r="B757" t="s">
        <v>1743</v>
      </c>
      <c r="C757">
        <v>35</v>
      </c>
      <c r="D757" t="s">
        <v>1784</v>
      </c>
      <c r="E757" t="s">
        <v>1786</v>
      </c>
      <c r="F757" t="s">
        <v>1800</v>
      </c>
      <c r="G757" s="5">
        <v>58107</v>
      </c>
      <c r="H757" t="s">
        <v>1803</v>
      </c>
      <c r="I757" t="s">
        <v>1806</v>
      </c>
      <c r="J757" s="2">
        <v>43081</v>
      </c>
      <c r="K757">
        <f t="shared" ca="1" si="22"/>
        <v>8</v>
      </c>
      <c r="L757">
        <f t="shared" ca="1" si="23"/>
        <v>11</v>
      </c>
      <c r="M757" t="s">
        <v>1810</v>
      </c>
      <c r="N757">
        <v>3</v>
      </c>
      <c r="O757" t="s">
        <v>1813</v>
      </c>
      <c r="P757" t="s">
        <v>1833</v>
      </c>
    </row>
    <row r="758" spans="1:16" x14ac:dyDescent="0.3">
      <c r="A758" t="s">
        <v>769</v>
      </c>
      <c r="B758" t="s">
        <v>1751</v>
      </c>
      <c r="C758">
        <v>25</v>
      </c>
      <c r="D758" t="s">
        <v>1784</v>
      </c>
      <c r="E758" t="s">
        <v>1790</v>
      </c>
      <c r="F758" t="s">
        <v>1796</v>
      </c>
      <c r="G758" s="5">
        <v>86002</v>
      </c>
      <c r="H758" t="s">
        <v>1802</v>
      </c>
      <c r="I758" t="s">
        <v>1806</v>
      </c>
      <c r="J758" s="2">
        <v>42606</v>
      </c>
      <c r="K758">
        <f t="shared" ca="1" si="22"/>
        <v>9</v>
      </c>
      <c r="L758">
        <f t="shared" ca="1" si="23"/>
        <v>3</v>
      </c>
      <c r="M758" t="s">
        <v>1810</v>
      </c>
      <c r="N758">
        <v>5</v>
      </c>
      <c r="O758" t="s">
        <v>1817</v>
      </c>
      <c r="P758" t="s">
        <v>1832</v>
      </c>
    </row>
    <row r="759" spans="1:16" x14ac:dyDescent="0.3">
      <c r="A759" t="s">
        <v>770</v>
      </c>
      <c r="B759" t="s">
        <v>1723</v>
      </c>
      <c r="C759">
        <v>49</v>
      </c>
      <c r="D759" t="s">
        <v>1784</v>
      </c>
      <c r="E759" t="s">
        <v>1787</v>
      </c>
      <c r="F759" t="s">
        <v>1799</v>
      </c>
      <c r="G759" s="5">
        <v>66170</v>
      </c>
      <c r="H759" t="s">
        <v>1803</v>
      </c>
      <c r="I759" t="s">
        <v>1808</v>
      </c>
      <c r="J759" s="2">
        <v>43556</v>
      </c>
      <c r="K759">
        <f t="shared" ca="1" si="22"/>
        <v>6</v>
      </c>
      <c r="L759">
        <f t="shared" ca="1" si="23"/>
        <v>8</v>
      </c>
      <c r="M759" t="s">
        <v>1810</v>
      </c>
      <c r="N759">
        <v>1</v>
      </c>
      <c r="O759" t="s">
        <v>1816</v>
      </c>
      <c r="P759" t="s">
        <v>1834</v>
      </c>
    </row>
    <row r="760" spans="1:16" x14ac:dyDescent="0.3">
      <c r="A760" t="s">
        <v>771</v>
      </c>
      <c r="B760" t="s">
        <v>1721</v>
      </c>
      <c r="C760">
        <v>36</v>
      </c>
      <c r="D760" t="s">
        <v>1785</v>
      </c>
      <c r="E760" t="s">
        <v>1793</v>
      </c>
      <c r="F760" t="s">
        <v>1797</v>
      </c>
      <c r="G760" s="5">
        <v>65067</v>
      </c>
      <c r="H760" t="s">
        <v>1804</v>
      </c>
      <c r="I760" t="s">
        <v>1806</v>
      </c>
      <c r="J760" s="2">
        <v>44538</v>
      </c>
      <c r="K760">
        <f t="shared" ca="1" si="22"/>
        <v>4</v>
      </c>
      <c r="L760">
        <f t="shared" ca="1" si="23"/>
        <v>0</v>
      </c>
      <c r="M760" t="s">
        <v>1809</v>
      </c>
      <c r="N760">
        <v>3</v>
      </c>
      <c r="O760" t="s">
        <v>1815</v>
      </c>
      <c r="P760" t="s">
        <v>1831</v>
      </c>
    </row>
    <row r="761" spans="1:16" x14ac:dyDescent="0.3">
      <c r="A761" t="s">
        <v>772</v>
      </c>
      <c r="B761" t="s">
        <v>1713</v>
      </c>
      <c r="C761">
        <v>24</v>
      </c>
      <c r="D761" t="s">
        <v>1784</v>
      </c>
      <c r="E761" t="s">
        <v>1792</v>
      </c>
      <c r="F761" t="s">
        <v>1798</v>
      </c>
      <c r="G761" s="5">
        <v>89568</v>
      </c>
      <c r="H761" t="s">
        <v>1804</v>
      </c>
      <c r="I761" t="s">
        <v>1807</v>
      </c>
      <c r="J761" s="2">
        <v>45203</v>
      </c>
      <c r="K761">
        <f t="shared" ca="1" si="22"/>
        <v>2</v>
      </c>
      <c r="L761">
        <f t="shared" ca="1" si="23"/>
        <v>2</v>
      </c>
      <c r="M761" t="s">
        <v>1810</v>
      </c>
      <c r="N761">
        <v>3</v>
      </c>
      <c r="O761" t="s">
        <v>1814</v>
      </c>
      <c r="P761" t="s">
        <v>1832</v>
      </c>
    </row>
    <row r="762" spans="1:16" x14ac:dyDescent="0.3">
      <c r="A762" t="s">
        <v>773</v>
      </c>
      <c r="B762" t="s">
        <v>1734</v>
      </c>
      <c r="C762">
        <v>58</v>
      </c>
      <c r="D762" t="s">
        <v>1783</v>
      </c>
      <c r="E762" t="s">
        <v>1788</v>
      </c>
      <c r="F762" t="s">
        <v>1799</v>
      </c>
      <c r="G762" s="5">
        <v>19118</v>
      </c>
      <c r="H762" t="s">
        <v>1804</v>
      </c>
      <c r="I762" t="s">
        <v>1808</v>
      </c>
      <c r="J762" s="2">
        <v>45806</v>
      </c>
      <c r="K762">
        <f t="shared" ca="1" si="22"/>
        <v>0</v>
      </c>
      <c r="L762">
        <f t="shared" ca="1" si="23"/>
        <v>6</v>
      </c>
      <c r="M762" t="s">
        <v>1810</v>
      </c>
      <c r="N762">
        <v>4</v>
      </c>
      <c r="O762" t="s">
        <v>1811</v>
      </c>
      <c r="P762" t="s">
        <v>1834</v>
      </c>
    </row>
    <row r="763" spans="1:16" x14ac:dyDescent="0.3">
      <c r="A763" t="s">
        <v>774</v>
      </c>
      <c r="B763" t="s">
        <v>1717</v>
      </c>
      <c r="C763">
        <v>20</v>
      </c>
      <c r="D763" t="s">
        <v>1784</v>
      </c>
      <c r="E763" t="s">
        <v>1791</v>
      </c>
      <c r="F763" t="s">
        <v>1798</v>
      </c>
      <c r="G763" s="5">
        <v>70101</v>
      </c>
      <c r="H763" t="s">
        <v>1802</v>
      </c>
      <c r="I763" t="s">
        <v>1806</v>
      </c>
      <c r="J763" s="2">
        <v>45506</v>
      </c>
      <c r="K763">
        <f t="shared" ca="1" si="22"/>
        <v>1</v>
      </c>
      <c r="L763">
        <f t="shared" ca="1" si="23"/>
        <v>4</v>
      </c>
      <c r="M763" t="s">
        <v>1809</v>
      </c>
      <c r="N763">
        <v>4</v>
      </c>
      <c r="O763" t="s">
        <v>1815</v>
      </c>
      <c r="P763" t="s">
        <v>1832</v>
      </c>
    </row>
    <row r="764" spans="1:16" x14ac:dyDescent="0.3">
      <c r="A764" t="s">
        <v>775</v>
      </c>
      <c r="B764" t="s">
        <v>1771</v>
      </c>
      <c r="C764">
        <v>55</v>
      </c>
      <c r="D764" t="s">
        <v>1784</v>
      </c>
      <c r="E764" t="s">
        <v>1790</v>
      </c>
      <c r="F764" t="s">
        <v>1799</v>
      </c>
      <c r="G764" s="5">
        <v>62650</v>
      </c>
      <c r="H764" t="s">
        <v>1801</v>
      </c>
      <c r="I764" t="s">
        <v>1808</v>
      </c>
      <c r="J764" s="2">
        <v>45902</v>
      </c>
      <c r="K764">
        <f t="shared" ca="1" si="22"/>
        <v>0</v>
      </c>
      <c r="L764">
        <f t="shared" ca="1" si="23"/>
        <v>3</v>
      </c>
      <c r="M764" t="s">
        <v>1809</v>
      </c>
      <c r="N764">
        <v>4</v>
      </c>
      <c r="O764" t="s">
        <v>1811</v>
      </c>
      <c r="P764" t="s">
        <v>1834</v>
      </c>
    </row>
    <row r="765" spans="1:16" x14ac:dyDescent="0.3">
      <c r="A765" t="s">
        <v>776</v>
      </c>
      <c r="B765" t="s">
        <v>1743</v>
      </c>
      <c r="C765">
        <v>48</v>
      </c>
      <c r="D765" t="s">
        <v>1785</v>
      </c>
      <c r="E765" t="s">
        <v>1792</v>
      </c>
      <c r="F765" t="s">
        <v>1798</v>
      </c>
      <c r="G765" s="5">
        <v>67112</v>
      </c>
      <c r="H765" t="s">
        <v>1805</v>
      </c>
      <c r="I765" t="s">
        <v>1807</v>
      </c>
      <c r="J765" s="2">
        <v>43689</v>
      </c>
      <c r="K765">
        <f t="shared" ca="1" si="22"/>
        <v>6</v>
      </c>
      <c r="L765">
        <f t="shared" ca="1" si="23"/>
        <v>3</v>
      </c>
      <c r="M765" t="s">
        <v>1809</v>
      </c>
      <c r="N765">
        <v>4</v>
      </c>
      <c r="O765" t="s">
        <v>1817</v>
      </c>
      <c r="P765" t="s">
        <v>1834</v>
      </c>
    </row>
    <row r="766" spans="1:16" x14ac:dyDescent="0.3">
      <c r="A766" t="s">
        <v>777</v>
      </c>
      <c r="B766" t="s">
        <v>1722</v>
      </c>
      <c r="C766">
        <v>46</v>
      </c>
      <c r="D766" t="s">
        <v>1784</v>
      </c>
      <c r="E766" t="s">
        <v>1787</v>
      </c>
      <c r="F766" t="s">
        <v>1799</v>
      </c>
      <c r="G766" s="5">
        <v>117987</v>
      </c>
      <c r="H766" t="s">
        <v>1805</v>
      </c>
      <c r="I766" t="s">
        <v>1808</v>
      </c>
      <c r="J766" s="2">
        <v>43773</v>
      </c>
      <c r="K766">
        <f t="shared" ca="1" si="22"/>
        <v>6</v>
      </c>
      <c r="L766">
        <f t="shared" ca="1" si="23"/>
        <v>1</v>
      </c>
      <c r="M766" t="s">
        <v>1809</v>
      </c>
      <c r="N766">
        <v>5</v>
      </c>
      <c r="O766" t="s">
        <v>1818</v>
      </c>
      <c r="P766" t="s">
        <v>1834</v>
      </c>
    </row>
    <row r="767" spans="1:16" x14ac:dyDescent="0.3">
      <c r="A767" t="s">
        <v>778</v>
      </c>
      <c r="B767" t="s">
        <v>1776</v>
      </c>
      <c r="C767">
        <v>41</v>
      </c>
      <c r="D767" t="s">
        <v>1785</v>
      </c>
      <c r="E767" t="s">
        <v>1787</v>
      </c>
      <c r="F767" t="s">
        <v>1798</v>
      </c>
      <c r="G767" s="5">
        <v>67980</v>
      </c>
      <c r="H767" t="s">
        <v>1803</v>
      </c>
      <c r="I767" t="s">
        <v>1807</v>
      </c>
      <c r="J767" s="2">
        <v>44627</v>
      </c>
      <c r="K767">
        <f t="shared" ca="1" si="22"/>
        <v>3</v>
      </c>
      <c r="L767">
        <f t="shared" ca="1" si="23"/>
        <v>9</v>
      </c>
      <c r="M767" t="s">
        <v>1810</v>
      </c>
      <c r="N767">
        <v>2</v>
      </c>
      <c r="O767" t="s">
        <v>1812</v>
      </c>
      <c r="P767" t="s">
        <v>1831</v>
      </c>
    </row>
    <row r="768" spans="1:16" x14ac:dyDescent="0.3">
      <c r="A768" t="s">
        <v>779</v>
      </c>
      <c r="B768" t="s">
        <v>1757</v>
      </c>
      <c r="C768">
        <v>56</v>
      </c>
      <c r="D768" t="s">
        <v>1784</v>
      </c>
      <c r="E768" t="s">
        <v>1788</v>
      </c>
      <c r="F768" t="s">
        <v>1798</v>
      </c>
      <c r="G768" s="5">
        <v>30221</v>
      </c>
      <c r="H768" t="s">
        <v>1801</v>
      </c>
      <c r="I768" t="s">
        <v>1806</v>
      </c>
      <c r="J768" s="2">
        <v>44702</v>
      </c>
      <c r="K768">
        <f t="shared" ca="1" si="22"/>
        <v>3</v>
      </c>
      <c r="L768">
        <f t="shared" ca="1" si="23"/>
        <v>6</v>
      </c>
      <c r="M768" t="s">
        <v>1809</v>
      </c>
      <c r="N768">
        <v>1</v>
      </c>
      <c r="O768" t="s">
        <v>1812</v>
      </c>
      <c r="P768" t="s">
        <v>1834</v>
      </c>
    </row>
    <row r="769" spans="1:16" x14ac:dyDescent="0.3">
      <c r="A769" t="s">
        <v>780</v>
      </c>
      <c r="B769" t="s">
        <v>1752</v>
      </c>
      <c r="C769">
        <v>32</v>
      </c>
      <c r="D769" t="s">
        <v>1783</v>
      </c>
      <c r="E769" t="s">
        <v>1787</v>
      </c>
      <c r="F769" t="s">
        <v>1798</v>
      </c>
      <c r="G769" s="5">
        <v>55200</v>
      </c>
      <c r="H769" t="s">
        <v>1802</v>
      </c>
      <c r="I769" t="s">
        <v>1808</v>
      </c>
      <c r="J769" s="2">
        <v>45139</v>
      </c>
      <c r="K769">
        <f t="shared" ca="1" si="22"/>
        <v>2</v>
      </c>
      <c r="L769">
        <f t="shared" ca="1" si="23"/>
        <v>4</v>
      </c>
      <c r="M769" t="s">
        <v>1809</v>
      </c>
      <c r="N769">
        <v>4</v>
      </c>
      <c r="O769" t="s">
        <v>1818</v>
      </c>
      <c r="P769" t="s">
        <v>1833</v>
      </c>
    </row>
    <row r="770" spans="1:16" x14ac:dyDescent="0.3">
      <c r="A770" t="s">
        <v>781</v>
      </c>
      <c r="B770" t="s">
        <v>1753</v>
      </c>
      <c r="C770">
        <v>20</v>
      </c>
      <c r="D770" t="s">
        <v>1783</v>
      </c>
      <c r="E770" t="s">
        <v>1789</v>
      </c>
      <c r="F770" t="s">
        <v>1800</v>
      </c>
      <c r="G770" s="5">
        <v>71852</v>
      </c>
      <c r="H770" t="s">
        <v>1802</v>
      </c>
      <c r="I770" t="s">
        <v>1807</v>
      </c>
      <c r="J770" s="2">
        <v>42966</v>
      </c>
      <c r="K770">
        <f t="shared" ca="1" si="22"/>
        <v>8</v>
      </c>
      <c r="L770">
        <f t="shared" ca="1" si="23"/>
        <v>3</v>
      </c>
      <c r="M770" t="s">
        <v>1810</v>
      </c>
      <c r="N770">
        <v>4</v>
      </c>
      <c r="O770" t="s">
        <v>1813</v>
      </c>
      <c r="P770" t="s">
        <v>1832</v>
      </c>
    </row>
    <row r="771" spans="1:16" x14ac:dyDescent="0.3">
      <c r="A771" t="s">
        <v>782</v>
      </c>
      <c r="B771" t="s">
        <v>1750</v>
      </c>
      <c r="C771">
        <v>33</v>
      </c>
      <c r="D771" t="s">
        <v>1783</v>
      </c>
      <c r="E771" t="s">
        <v>1786</v>
      </c>
      <c r="F771" t="s">
        <v>1800</v>
      </c>
      <c r="G771" s="5">
        <v>58600</v>
      </c>
      <c r="H771" t="s">
        <v>1803</v>
      </c>
      <c r="I771" t="s">
        <v>1807</v>
      </c>
      <c r="J771" s="2">
        <v>44910</v>
      </c>
      <c r="K771">
        <f t="shared" ref="K771:K834" ca="1" si="24">YEAR(TODAY()) - YEAR(J771)</f>
        <v>3</v>
      </c>
      <c r="L771">
        <f t="shared" ref="L771:L834" ca="1" si="25">DATEDIF(J771,TODAY(),"YM")</f>
        <v>11</v>
      </c>
      <c r="M771" t="s">
        <v>1810</v>
      </c>
      <c r="N771">
        <v>5</v>
      </c>
      <c r="O771" t="s">
        <v>1815</v>
      </c>
      <c r="P771" t="s">
        <v>1833</v>
      </c>
    </row>
    <row r="772" spans="1:16" x14ac:dyDescent="0.3">
      <c r="A772" t="s">
        <v>783</v>
      </c>
      <c r="B772" t="s">
        <v>1719</v>
      </c>
      <c r="C772">
        <v>49</v>
      </c>
      <c r="D772" t="s">
        <v>1784</v>
      </c>
      <c r="E772" t="s">
        <v>1786</v>
      </c>
      <c r="F772" t="s">
        <v>1798</v>
      </c>
      <c r="G772" s="5">
        <v>18975</v>
      </c>
      <c r="H772" t="s">
        <v>1803</v>
      </c>
      <c r="I772" t="s">
        <v>1807</v>
      </c>
      <c r="J772" s="2">
        <v>45815</v>
      </c>
      <c r="K772">
        <f t="shared" ca="1" si="24"/>
        <v>0</v>
      </c>
      <c r="L772">
        <f t="shared" ca="1" si="25"/>
        <v>6</v>
      </c>
      <c r="M772" t="s">
        <v>1810</v>
      </c>
      <c r="N772">
        <v>5</v>
      </c>
      <c r="O772" t="s">
        <v>1815</v>
      </c>
      <c r="P772" t="s">
        <v>1834</v>
      </c>
    </row>
    <row r="773" spans="1:16" x14ac:dyDescent="0.3">
      <c r="A773" t="s">
        <v>784</v>
      </c>
      <c r="B773" t="s">
        <v>1739</v>
      </c>
      <c r="C773">
        <v>56</v>
      </c>
      <c r="D773" t="s">
        <v>1784</v>
      </c>
      <c r="E773" t="s">
        <v>1790</v>
      </c>
      <c r="F773" t="s">
        <v>1795</v>
      </c>
      <c r="G773" s="5">
        <v>78646</v>
      </c>
      <c r="H773" t="s">
        <v>1801</v>
      </c>
      <c r="I773" t="s">
        <v>1806</v>
      </c>
      <c r="J773" s="2">
        <v>42811</v>
      </c>
      <c r="K773">
        <f t="shared" ca="1" si="24"/>
        <v>8</v>
      </c>
      <c r="L773">
        <f t="shared" ca="1" si="25"/>
        <v>8</v>
      </c>
      <c r="M773" t="s">
        <v>1810</v>
      </c>
      <c r="N773">
        <v>4</v>
      </c>
      <c r="O773" t="s">
        <v>1817</v>
      </c>
      <c r="P773" t="s">
        <v>1834</v>
      </c>
    </row>
    <row r="774" spans="1:16" x14ac:dyDescent="0.3">
      <c r="A774" t="s">
        <v>785</v>
      </c>
      <c r="B774" t="s">
        <v>1728</v>
      </c>
      <c r="C774">
        <v>31</v>
      </c>
      <c r="D774" t="s">
        <v>1784</v>
      </c>
      <c r="E774" t="s">
        <v>1786</v>
      </c>
      <c r="F774" t="s">
        <v>1795</v>
      </c>
      <c r="G774" s="5">
        <v>41537</v>
      </c>
      <c r="H774" t="s">
        <v>1803</v>
      </c>
      <c r="I774" t="s">
        <v>1808</v>
      </c>
      <c r="J774" s="2">
        <v>44013</v>
      </c>
      <c r="K774">
        <f t="shared" ca="1" si="24"/>
        <v>5</v>
      </c>
      <c r="L774">
        <f t="shared" ca="1" si="25"/>
        <v>5</v>
      </c>
      <c r="M774" t="s">
        <v>1809</v>
      </c>
      <c r="N774">
        <v>5</v>
      </c>
      <c r="O774" t="s">
        <v>1813</v>
      </c>
      <c r="P774" t="s">
        <v>1833</v>
      </c>
    </row>
    <row r="775" spans="1:16" x14ac:dyDescent="0.3">
      <c r="A775" t="s">
        <v>786</v>
      </c>
      <c r="B775" t="s">
        <v>1746</v>
      </c>
      <c r="C775">
        <v>22</v>
      </c>
      <c r="D775" t="s">
        <v>1783</v>
      </c>
      <c r="E775" t="s">
        <v>1791</v>
      </c>
      <c r="F775" t="s">
        <v>1794</v>
      </c>
      <c r="G775" s="5">
        <v>53884</v>
      </c>
      <c r="H775" t="s">
        <v>1805</v>
      </c>
      <c r="I775" t="s">
        <v>1808</v>
      </c>
      <c r="J775" s="2">
        <v>45168</v>
      </c>
      <c r="K775">
        <f t="shared" ca="1" si="24"/>
        <v>2</v>
      </c>
      <c r="L775">
        <f t="shared" ca="1" si="25"/>
        <v>3</v>
      </c>
      <c r="M775" t="s">
        <v>1809</v>
      </c>
      <c r="N775">
        <v>2</v>
      </c>
      <c r="O775" t="s">
        <v>1812</v>
      </c>
      <c r="P775" t="s">
        <v>1832</v>
      </c>
    </row>
    <row r="776" spans="1:16" x14ac:dyDescent="0.3">
      <c r="A776" t="s">
        <v>787</v>
      </c>
      <c r="B776" t="s">
        <v>1750</v>
      </c>
      <c r="C776">
        <v>55</v>
      </c>
      <c r="D776" t="s">
        <v>1783</v>
      </c>
      <c r="E776" t="s">
        <v>1789</v>
      </c>
      <c r="F776" t="s">
        <v>1799</v>
      </c>
      <c r="G776" s="5">
        <v>28031</v>
      </c>
      <c r="H776" t="s">
        <v>1801</v>
      </c>
      <c r="I776" t="s">
        <v>1806</v>
      </c>
      <c r="J776" s="2">
        <v>45577</v>
      </c>
      <c r="K776">
        <f t="shared" ca="1" si="24"/>
        <v>1</v>
      </c>
      <c r="L776">
        <f t="shared" ca="1" si="25"/>
        <v>1</v>
      </c>
      <c r="M776" t="s">
        <v>1810</v>
      </c>
      <c r="N776">
        <v>4</v>
      </c>
      <c r="O776" t="s">
        <v>1812</v>
      </c>
      <c r="P776" t="s">
        <v>1834</v>
      </c>
    </row>
    <row r="777" spans="1:16" x14ac:dyDescent="0.3">
      <c r="A777" t="s">
        <v>788</v>
      </c>
      <c r="B777" t="s">
        <v>1738</v>
      </c>
      <c r="C777">
        <v>33</v>
      </c>
      <c r="D777" t="s">
        <v>1785</v>
      </c>
      <c r="E777" t="s">
        <v>1792</v>
      </c>
      <c r="F777" t="s">
        <v>1797</v>
      </c>
      <c r="G777" s="5">
        <v>78577</v>
      </c>
      <c r="H777" t="s">
        <v>1801</v>
      </c>
      <c r="I777" t="s">
        <v>1806</v>
      </c>
      <c r="J777" s="2">
        <v>45282</v>
      </c>
      <c r="K777">
        <f t="shared" ca="1" si="24"/>
        <v>2</v>
      </c>
      <c r="L777">
        <f t="shared" ca="1" si="25"/>
        <v>11</v>
      </c>
      <c r="M777" t="s">
        <v>1810</v>
      </c>
      <c r="N777">
        <v>4</v>
      </c>
      <c r="O777" t="s">
        <v>1817</v>
      </c>
      <c r="P777" t="s">
        <v>1833</v>
      </c>
    </row>
    <row r="778" spans="1:16" x14ac:dyDescent="0.3">
      <c r="A778" t="s">
        <v>789</v>
      </c>
      <c r="B778" t="s">
        <v>1750</v>
      </c>
      <c r="C778">
        <v>32</v>
      </c>
      <c r="D778" t="s">
        <v>1784</v>
      </c>
      <c r="E778" t="s">
        <v>1792</v>
      </c>
      <c r="F778" t="s">
        <v>1796</v>
      </c>
      <c r="G778" s="5">
        <v>19407</v>
      </c>
      <c r="H778" t="s">
        <v>1801</v>
      </c>
      <c r="I778" t="s">
        <v>1806</v>
      </c>
      <c r="J778" s="2">
        <v>42997</v>
      </c>
      <c r="K778">
        <f t="shared" ca="1" si="24"/>
        <v>8</v>
      </c>
      <c r="L778">
        <f t="shared" ca="1" si="25"/>
        <v>2</v>
      </c>
      <c r="M778" t="s">
        <v>1810</v>
      </c>
      <c r="N778">
        <v>4</v>
      </c>
      <c r="O778" t="s">
        <v>1812</v>
      </c>
      <c r="P778" t="s">
        <v>1833</v>
      </c>
    </row>
    <row r="779" spans="1:16" x14ac:dyDescent="0.3">
      <c r="A779" t="s">
        <v>790</v>
      </c>
      <c r="B779" t="s">
        <v>1726</v>
      </c>
      <c r="C779">
        <v>25</v>
      </c>
      <c r="D779" t="s">
        <v>1785</v>
      </c>
      <c r="E779" t="s">
        <v>1786</v>
      </c>
      <c r="F779" t="s">
        <v>1800</v>
      </c>
      <c r="G779" s="5">
        <v>111530</v>
      </c>
      <c r="H779" t="s">
        <v>1802</v>
      </c>
      <c r="I779" t="s">
        <v>1808</v>
      </c>
      <c r="J779" s="2">
        <v>45798</v>
      </c>
      <c r="K779">
        <f t="shared" ca="1" si="24"/>
        <v>0</v>
      </c>
      <c r="L779">
        <f t="shared" ca="1" si="25"/>
        <v>6</v>
      </c>
      <c r="M779" t="s">
        <v>1810</v>
      </c>
      <c r="N779">
        <v>2</v>
      </c>
      <c r="O779" t="s">
        <v>1816</v>
      </c>
      <c r="P779" t="s">
        <v>1832</v>
      </c>
    </row>
    <row r="780" spans="1:16" x14ac:dyDescent="0.3">
      <c r="A780" t="s">
        <v>791</v>
      </c>
      <c r="B780" t="s">
        <v>1735</v>
      </c>
      <c r="C780">
        <v>26</v>
      </c>
      <c r="D780" t="s">
        <v>1783</v>
      </c>
      <c r="E780" t="s">
        <v>1788</v>
      </c>
      <c r="F780" t="s">
        <v>1795</v>
      </c>
      <c r="G780" s="5">
        <v>34272</v>
      </c>
      <c r="H780" t="s">
        <v>1803</v>
      </c>
      <c r="I780" t="s">
        <v>1807</v>
      </c>
      <c r="J780" s="2">
        <v>42755</v>
      </c>
      <c r="K780">
        <f t="shared" ca="1" si="24"/>
        <v>8</v>
      </c>
      <c r="L780">
        <f t="shared" ca="1" si="25"/>
        <v>10</v>
      </c>
      <c r="M780" t="s">
        <v>1809</v>
      </c>
      <c r="N780">
        <v>3</v>
      </c>
      <c r="O780" t="s">
        <v>1816</v>
      </c>
      <c r="P780" t="s">
        <v>1833</v>
      </c>
    </row>
    <row r="781" spans="1:16" x14ac:dyDescent="0.3">
      <c r="A781" t="s">
        <v>792</v>
      </c>
      <c r="B781" t="s">
        <v>1737</v>
      </c>
      <c r="C781">
        <v>31</v>
      </c>
      <c r="D781" t="s">
        <v>1783</v>
      </c>
      <c r="E781" t="s">
        <v>1792</v>
      </c>
      <c r="F781" t="s">
        <v>1795</v>
      </c>
      <c r="G781" s="5">
        <v>106479</v>
      </c>
      <c r="H781" t="s">
        <v>1802</v>
      </c>
      <c r="I781" t="s">
        <v>1808</v>
      </c>
      <c r="J781" s="2">
        <v>45291</v>
      </c>
      <c r="K781">
        <f t="shared" ca="1" si="24"/>
        <v>2</v>
      </c>
      <c r="L781">
        <f t="shared" ca="1" si="25"/>
        <v>11</v>
      </c>
      <c r="M781" t="s">
        <v>1809</v>
      </c>
      <c r="N781">
        <v>5</v>
      </c>
      <c r="O781" t="s">
        <v>1813</v>
      </c>
      <c r="P781" t="s">
        <v>1833</v>
      </c>
    </row>
    <row r="782" spans="1:16" x14ac:dyDescent="0.3">
      <c r="A782" t="s">
        <v>793</v>
      </c>
      <c r="B782" t="s">
        <v>1746</v>
      </c>
      <c r="C782">
        <v>39</v>
      </c>
      <c r="D782" t="s">
        <v>1784</v>
      </c>
      <c r="E782" t="s">
        <v>1792</v>
      </c>
      <c r="F782" t="s">
        <v>1797</v>
      </c>
      <c r="G782" s="5">
        <v>96407</v>
      </c>
      <c r="H782" t="s">
        <v>1801</v>
      </c>
      <c r="I782" t="s">
        <v>1808</v>
      </c>
      <c r="J782" s="2">
        <v>45580</v>
      </c>
      <c r="K782">
        <f t="shared" ca="1" si="24"/>
        <v>1</v>
      </c>
      <c r="L782">
        <f t="shared" ca="1" si="25"/>
        <v>1</v>
      </c>
      <c r="M782" t="s">
        <v>1809</v>
      </c>
      <c r="N782">
        <v>2</v>
      </c>
      <c r="O782" t="s">
        <v>1817</v>
      </c>
      <c r="P782" t="s">
        <v>1831</v>
      </c>
    </row>
    <row r="783" spans="1:16" x14ac:dyDescent="0.3">
      <c r="A783" t="s">
        <v>794</v>
      </c>
      <c r="B783" t="s">
        <v>1732</v>
      </c>
      <c r="C783">
        <v>25</v>
      </c>
      <c r="D783" t="s">
        <v>1783</v>
      </c>
      <c r="E783" t="s">
        <v>1787</v>
      </c>
      <c r="F783" t="s">
        <v>1797</v>
      </c>
      <c r="G783" s="5">
        <v>21662</v>
      </c>
      <c r="H783" t="s">
        <v>1804</v>
      </c>
      <c r="I783" t="s">
        <v>1807</v>
      </c>
      <c r="J783" s="2">
        <v>45223</v>
      </c>
      <c r="K783">
        <f t="shared" ca="1" si="24"/>
        <v>2</v>
      </c>
      <c r="L783">
        <f t="shared" ca="1" si="25"/>
        <v>1</v>
      </c>
      <c r="M783" t="s">
        <v>1809</v>
      </c>
      <c r="N783">
        <v>2</v>
      </c>
      <c r="O783" t="s">
        <v>1813</v>
      </c>
      <c r="P783" t="s">
        <v>1832</v>
      </c>
    </row>
    <row r="784" spans="1:16" x14ac:dyDescent="0.3">
      <c r="A784" t="s">
        <v>795</v>
      </c>
      <c r="B784" t="s">
        <v>1749</v>
      </c>
      <c r="C784">
        <v>30</v>
      </c>
      <c r="D784" t="s">
        <v>1783</v>
      </c>
      <c r="E784" t="s">
        <v>1787</v>
      </c>
      <c r="F784" t="s">
        <v>1797</v>
      </c>
      <c r="G784" s="5">
        <v>85174</v>
      </c>
      <c r="H784" t="s">
        <v>1804</v>
      </c>
      <c r="I784" t="s">
        <v>1808</v>
      </c>
      <c r="J784" s="2">
        <v>44740</v>
      </c>
      <c r="K784">
        <f t="shared" ca="1" si="24"/>
        <v>3</v>
      </c>
      <c r="L784">
        <f t="shared" ca="1" si="25"/>
        <v>5</v>
      </c>
      <c r="M784" t="s">
        <v>1809</v>
      </c>
      <c r="N784">
        <v>5</v>
      </c>
      <c r="O784" t="s">
        <v>1815</v>
      </c>
      <c r="P784" t="s">
        <v>1833</v>
      </c>
    </row>
    <row r="785" spans="1:16" x14ac:dyDescent="0.3">
      <c r="A785" t="s">
        <v>796</v>
      </c>
      <c r="B785" t="s">
        <v>1748</v>
      </c>
      <c r="C785">
        <v>47</v>
      </c>
      <c r="D785" t="s">
        <v>1783</v>
      </c>
      <c r="E785" t="s">
        <v>1786</v>
      </c>
      <c r="F785" t="s">
        <v>1797</v>
      </c>
      <c r="G785" s="5">
        <v>46020</v>
      </c>
      <c r="H785" t="s">
        <v>1804</v>
      </c>
      <c r="I785" t="s">
        <v>1808</v>
      </c>
      <c r="J785" s="2">
        <v>43149</v>
      </c>
      <c r="K785">
        <f t="shared" ca="1" si="24"/>
        <v>7</v>
      </c>
      <c r="L785">
        <f t="shared" ca="1" si="25"/>
        <v>9</v>
      </c>
      <c r="M785" t="s">
        <v>1809</v>
      </c>
      <c r="N785">
        <v>4</v>
      </c>
      <c r="O785" t="s">
        <v>1817</v>
      </c>
      <c r="P785" t="s">
        <v>1834</v>
      </c>
    </row>
    <row r="786" spans="1:16" x14ac:dyDescent="0.3">
      <c r="A786" t="s">
        <v>797</v>
      </c>
      <c r="B786" t="s">
        <v>1768</v>
      </c>
      <c r="C786">
        <v>33</v>
      </c>
      <c r="D786" t="s">
        <v>1784</v>
      </c>
      <c r="E786" t="s">
        <v>1786</v>
      </c>
      <c r="F786" t="s">
        <v>1794</v>
      </c>
      <c r="G786" s="5">
        <v>26652</v>
      </c>
      <c r="H786" t="s">
        <v>1804</v>
      </c>
      <c r="I786" t="s">
        <v>1806</v>
      </c>
      <c r="J786" s="2">
        <v>44993</v>
      </c>
      <c r="K786">
        <f t="shared" ca="1" si="24"/>
        <v>2</v>
      </c>
      <c r="L786">
        <f t="shared" ca="1" si="25"/>
        <v>9</v>
      </c>
      <c r="M786" t="s">
        <v>1810</v>
      </c>
      <c r="N786">
        <v>1</v>
      </c>
      <c r="O786" t="s">
        <v>1813</v>
      </c>
      <c r="P786" t="s">
        <v>1833</v>
      </c>
    </row>
    <row r="787" spans="1:16" x14ac:dyDescent="0.3">
      <c r="A787" t="s">
        <v>798</v>
      </c>
      <c r="B787" t="s">
        <v>1743</v>
      </c>
      <c r="C787">
        <v>39</v>
      </c>
      <c r="D787" t="s">
        <v>1785</v>
      </c>
      <c r="E787" t="s">
        <v>1790</v>
      </c>
      <c r="F787" t="s">
        <v>1794</v>
      </c>
      <c r="G787" s="5">
        <v>31344</v>
      </c>
      <c r="H787" t="s">
        <v>1805</v>
      </c>
      <c r="I787" t="s">
        <v>1806</v>
      </c>
      <c r="J787" s="2">
        <v>43140</v>
      </c>
      <c r="K787">
        <f t="shared" ca="1" si="24"/>
        <v>7</v>
      </c>
      <c r="L787">
        <f t="shared" ca="1" si="25"/>
        <v>10</v>
      </c>
      <c r="M787" t="s">
        <v>1810</v>
      </c>
      <c r="N787">
        <v>1</v>
      </c>
      <c r="O787" t="s">
        <v>1817</v>
      </c>
      <c r="P787" t="s">
        <v>1831</v>
      </c>
    </row>
    <row r="788" spans="1:16" x14ac:dyDescent="0.3">
      <c r="A788" t="s">
        <v>799</v>
      </c>
      <c r="B788" t="s">
        <v>1746</v>
      </c>
      <c r="C788">
        <v>28</v>
      </c>
      <c r="D788" t="s">
        <v>1784</v>
      </c>
      <c r="E788" t="s">
        <v>1791</v>
      </c>
      <c r="F788" t="s">
        <v>1799</v>
      </c>
      <c r="G788" s="5">
        <v>101277</v>
      </c>
      <c r="H788" t="s">
        <v>1804</v>
      </c>
      <c r="I788" t="s">
        <v>1806</v>
      </c>
      <c r="J788" s="2">
        <v>44412</v>
      </c>
      <c r="K788">
        <f t="shared" ca="1" si="24"/>
        <v>4</v>
      </c>
      <c r="L788">
        <f t="shared" ca="1" si="25"/>
        <v>4</v>
      </c>
      <c r="M788" t="s">
        <v>1809</v>
      </c>
      <c r="N788">
        <v>3</v>
      </c>
      <c r="O788" t="s">
        <v>1818</v>
      </c>
      <c r="P788" t="s">
        <v>1833</v>
      </c>
    </row>
    <row r="789" spans="1:16" x14ac:dyDescent="0.3">
      <c r="A789" t="s">
        <v>800</v>
      </c>
      <c r="B789" t="s">
        <v>1759</v>
      </c>
      <c r="C789">
        <v>48</v>
      </c>
      <c r="D789" t="s">
        <v>1784</v>
      </c>
      <c r="E789" t="s">
        <v>1786</v>
      </c>
      <c r="F789" t="s">
        <v>1795</v>
      </c>
      <c r="G789" s="5">
        <v>83984</v>
      </c>
      <c r="H789" t="s">
        <v>1801</v>
      </c>
      <c r="I789" t="s">
        <v>1807</v>
      </c>
      <c r="J789" s="2">
        <v>42524</v>
      </c>
      <c r="K789">
        <f t="shared" ca="1" si="24"/>
        <v>9</v>
      </c>
      <c r="L789">
        <f t="shared" ca="1" si="25"/>
        <v>6</v>
      </c>
      <c r="M789" t="s">
        <v>1809</v>
      </c>
      <c r="N789">
        <v>3</v>
      </c>
      <c r="O789" t="s">
        <v>1815</v>
      </c>
      <c r="P789" t="s">
        <v>1834</v>
      </c>
    </row>
    <row r="790" spans="1:16" x14ac:dyDescent="0.3">
      <c r="A790" t="s">
        <v>801</v>
      </c>
      <c r="B790" t="s">
        <v>1750</v>
      </c>
      <c r="C790">
        <v>35</v>
      </c>
      <c r="D790" t="s">
        <v>1785</v>
      </c>
      <c r="E790" t="s">
        <v>1793</v>
      </c>
      <c r="F790" t="s">
        <v>1798</v>
      </c>
      <c r="G790" s="5">
        <v>25854</v>
      </c>
      <c r="H790" t="s">
        <v>1804</v>
      </c>
      <c r="I790" t="s">
        <v>1808</v>
      </c>
      <c r="J790" s="2">
        <v>43652</v>
      </c>
      <c r="K790">
        <f t="shared" ca="1" si="24"/>
        <v>6</v>
      </c>
      <c r="L790">
        <f t="shared" ca="1" si="25"/>
        <v>5</v>
      </c>
      <c r="M790" t="s">
        <v>1809</v>
      </c>
      <c r="N790">
        <v>2</v>
      </c>
      <c r="O790" t="s">
        <v>1811</v>
      </c>
      <c r="P790" t="s">
        <v>1833</v>
      </c>
    </row>
    <row r="791" spans="1:16" x14ac:dyDescent="0.3">
      <c r="A791" t="s">
        <v>802</v>
      </c>
      <c r="B791" t="s">
        <v>1778</v>
      </c>
      <c r="C791">
        <v>22</v>
      </c>
      <c r="D791" t="s">
        <v>1783</v>
      </c>
      <c r="E791" t="s">
        <v>1790</v>
      </c>
      <c r="F791" t="s">
        <v>1796</v>
      </c>
      <c r="G791" s="5">
        <v>114895</v>
      </c>
      <c r="H791" t="s">
        <v>1802</v>
      </c>
      <c r="I791" t="s">
        <v>1808</v>
      </c>
      <c r="J791" s="2">
        <v>43738</v>
      </c>
      <c r="K791">
        <f t="shared" ca="1" si="24"/>
        <v>6</v>
      </c>
      <c r="L791">
        <f t="shared" ca="1" si="25"/>
        <v>2</v>
      </c>
      <c r="M791" t="s">
        <v>1809</v>
      </c>
      <c r="N791">
        <v>5</v>
      </c>
      <c r="O791" t="s">
        <v>1811</v>
      </c>
      <c r="P791" t="s">
        <v>1832</v>
      </c>
    </row>
    <row r="792" spans="1:16" x14ac:dyDescent="0.3">
      <c r="A792" t="s">
        <v>803</v>
      </c>
      <c r="B792" t="s">
        <v>1725</v>
      </c>
      <c r="C792">
        <v>21</v>
      </c>
      <c r="D792" t="s">
        <v>1783</v>
      </c>
      <c r="E792" t="s">
        <v>1789</v>
      </c>
      <c r="F792" t="s">
        <v>1798</v>
      </c>
      <c r="G792" s="5">
        <v>62922</v>
      </c>
      <c r="H792" t="s">
        <v>1802</v>
      </c>
      <c r="I792" t="s">
        <v>1806</v>
      </c>
      <c r="J792" s="2">
        <v>42659</v>
      </c>
      <c r="K792">
        <f t="shared" ca="1" si="24"/>
        <v>9</v>
      </c>
      <c r="L792">
        <f t="shared" ca="1" si="25"/>
        <v>1</v>
      </c>
      <c r="M792" t="s">
        <v>1809</v>
      </c>
      <c r="N792">
        <v>2</v>
      </c>
      <c r="O792" t="s">
        <v>1811</v>
      </c>
      <c r="P792" t="s">
        <v>1832</v>
      </c>
    </row>
    <row r="793" spans="1:16" x14ac:dyDescent="0.3">
      <c r="A793" t="s">
        <v>804</v>
      </c>
      <c r="B793" t="s">
        <v>1739</v>
      </c>
      <c r="C793">
        <v>31</v>
      </c>
      <c r="D793" t="s">
        <v>1784</v>
      </c>
      <c r="E793" t="s">
        <v>1792</v>
      </c>
      <c r="F793" t="s">
        <v>1799</v>
      </c>
      <c r="G793" s="5">
        <v>26469</v>
      </c>
      <c r="H793" t="s">
        <v>1803</v>
      </c>
      <c r="I793" t="s">
        <v>1807</v>
      </c>
      <c r="J793" s="2">
        <v>43226</v>
      </c>
      <c r="K793">
        <f t="shared" ca="1" si="24"/>
        <v>7</v>
      </c>
      <c r="L793">
        <f t="shared" ca="1" si="25"/>
        <v>7</v>
      </c>
      <c r="M793" t="s">
        <v>1809</v>
      </c>
      <c r="N793">
        <v>2</v>
      </c>
      <c r="O793" t="s">
        <v>1815</v>
      </c>
      <c r="P793" t="s">
        <v>1833</v>
      </c>
    </row>
    <row r="794" spans="1:16" x14ac:dyDescent="0.3">
      <c r="A794" t="s">
        <v>805</v>
      </c>
      <c r="B794" t="s">
        <v>1761</v>
      </c>
      <c r="C794">
        <v>31</v>
      </c>
      <c r="D794" t="s">
        <v>1785</v>
      </c>
      <c r="E794" t="s">
        <v>1786</v>
      </c>
      <c r="F794" t="s">
        <v>1795</v>
      </c>
      <c r="G794" s="5">
        <v>48973</v>
      </c>
      <c r="H794" t="s">
        <v>1801</v>
      </c>
      <c r="I794" t="s">
        <v>1808</v>
      </c>
      <c r="J794" s="2">
        <v>45407</v>
      </c>
      <c r="K794">
        <f t="shared" ca="1" si="24"/>
        <v>1</v>
      </c>
      <c r="L794">
        <f t="shared" ca="1" si="25"/>
        <v>7</v>
      </c>
      <c r="M794" t="s">
        <v>1810</v>
      </c>
      <c r="N794">
        <v>3</v>
      </c>
      <c r="O794" t="s">
        <v>1816</v>
      </c>
      <c r="P794" t="s">
        <v>1833</v>
      </c>
    </row>
    <row r="795" spans="1:16" x14ac:dyDescent="0.3">
      <c r="A795" t="s">
        <v>806</v>
      </c>
      <c r="B795" t="s">
        <v>1732</v>
      </c>
      <c r="C795">
        <v>47</v>
      </c>
      <c r="D795" t="s">
        <v>1783</v>
      </c>
      <c r="E795" t="s">
        <v>1786</v>
      </c>
      <c r="F795" t="s">
        <v>1796</v>
      </c>
      <c r="G795" s="5">
        <v>57728</v>
      </c>
      <c r="H795" t="s">
        <v>1805</v>
      </c>
      <c r="I795" t="s">
        <v>1808</v>
      </c>
      <c r="J795" s="2">
        <v>45041</v>
      </c>
      <c r="K795">
        <f t="shared" ca="1" si="24"/>
        <v>2</v>
      </c>
      <c r="L795">
        <f t="shared" ca="1" si="25"/>
        <v>7</v>
      </c>
      <c r="M795" t="s">
        <v>1809</v>
      </c>
      <c r="N795">
        <v>3</v>
      </c>
      <c r="O795" t="s">
        <v>1812</v>
      </c>
      <c r="P795" t="s">
        <v>1834</v>
      </c>
    </row>
    <row r="796" spans="1:16" x14ac:dyDescent="0.3">
      <c r="A796" t="s">
        <v>807</v>
      </c>
      <c r="B796" t="s">
        <v>1757</v>
      </c>
      <c r="C796">
        <v>45</v>
      </c>
      <c r="D796" t="s">
        <v>1784</v>
      </c>
      <c r="E796" t="s">
        <v>1791</v>
      </c>
      <c r="F796" t="s">
        <v>1800</v>
      </c>
      <c r="G796" s="5">
        <v>79697</v>
      </c>
      <c r="H796" t="s">
        <v>1803</v>
      </c>
      <c r="I796" t="s">
        <v>1806</v>
      </c>
      <c r="J796" s="2">
        <v>44934</v>
      </c>
      <c r="K796">
        <f t="shared" ca="1" si="24"/>
        <v>2</v>
      </c>
      <c r="L796">
        <f t="shared" ca="1" si="25"/>
        <v>11</v>
      </c>
      <c r="M796" t="s">
        <v>1810</v>
      </c>
      <c r="N796">
        <v>2</v>
      </c>
      <c r="O796" t="s">
        <v>1812</v>
      </c>
      <c r="P796" t="s">
        <v>1831</v>
      </c>
    </row>
    <row r="797" spans="1:16" x14ac:dyDescent="0.3">
      <c r="A797" t="s">
        <v>808</v>
      </c>
      <c r="B797" t="s">
        <v>1720</v>
      </c>
      <c r="C797">
        <v>44</v>
      </c>
      <c r="D797" t="s">
        <v>1784</v>
      </c>
      <c r="E797" t="s">
        <v>1793</v>
      </c>
      <c r="F797" t="s">
        <v>1796</v>
      </c>
      <c r="G797" s="5">
        <v>117465</v>
      </c>
      <c r="H797" t="s">
        <v>1805</v>
      </c>
      <c r="I797" t="s">
        <v>1806</v>
      </c>
      <c r="J797" s="2">
        <v>43063</v>
      </c>
      <c r="K797">
        <f t="shared" ca="1" si="24"/>
        <v>8</v>
      </c>
      <c r="L797">
        <f t="shared" ca="1" si="25"/>
        <v>0</v>
      </c>
      <c r="M797" t="s">
        <v>1809</v>
      </c>
      <c r="N797">
        <v>3</v>
      </c>
      <c r="O797" t="s">
        <v>1811</v>
      </c>
      <c r="P797" t="s">
        <v>1831</v>
      </c>
    </row>
    <row r="798" spans="1:16" x14ac:dyDescent="0.3">
      <c r="A798" t="s">
        <v>809</v>
      </c>
      <c r="B798" t="s">
        <v>1737</v>
      </c>
      <c r="C798">
        <v>49</v>
      </c>
      <c r="D798" t="s">
        <v>1784</v>
      </c>
      <c r="E798" t="s">
        <v>1787</v>
      </c>
      <c r="F798" t="s">
        <v>1795</v>
      </c>
      <c r="G798" s="5">
        <v>91681</v>
      </c>
      <c r="H798" t="s">
        <v>1803</v>
      </c>
      <c r="I798" t="s">
        <v>1807</v>
      </c>
      <c r="J798" s="2">
        <v>43802</v>
      </c>
      <c r="K798">
        <f t="shared" ca="1" si="24"/>
        <v>6</v>
      </c>
      <c r="L798">
        <f t="shared" ca="1" si="25"/>
        <v>0</v>
      </c>
      <c r="M798" t="s">
        <v>1809</v>
      </c>
      <c r="N798">
        <v>4</v>
      </c>
      <c r="O798" t="s">
        <v>1815</v>
      </c>
      <c r="P798" t="s">
        <v>1834</v>
      </c>
    </row>
    <row r="799" spans="1:16" x14ac:dyDescent="0.3">
      <c r="A799" t="s">
        <v>810</v>
      </c>
      <c r="B799" t="s">
        <v>1776</v>
      </c>
      <c r="C799">
        <v>20</v>
      </c>
      <c r="D799" t="s">
        <v>1783</v>
      </c>
      <c r="E799" t="s">
        <v>1789</v>
      </c>
      <c r="F799" t="s">
        <v>1800</v>
      </c>
      <c r="G799" s="5">
        <v>82415</v>
      </c>
      <c r="H799" t="s">
        <v>1803</v>
      </c>
      <c r="I799" t="s">
        <v>1808</v>
      </c>
      <c r="J799" s="2">
        <v>45478</v>
      </c>
      <c r="K799">
        <f t="shared" ca="1" si="24"/>
        <v>1</v>
      </c>
      <c r="L799">
        <f t="shared" ca="1" si="25"/>
        <v>5</v>
      </c>
      <c r="M799" t="s">
        <v>1810</v>
      </c>
      <c r="N799">
        <v>4</v>
      </c>
      <c r="O799" t="s">
        <v>1812</v>
      </c>
      <c r="P799" t="s">
        <v>1832</v>
      </c>
    </row>
    <row r="800" spans="1:16" x14ac:dyDescent="0.3">
      <c r="A800" t="s">
        <v>811</v>
      </c>
      <c r="B800" t="s">
        <v>1780</v>
      </c>
      <c r="C800">
        <v>57</v>
      </c>
      <c r="D800" t="s">
        <v>1783</v>
      </c>
      <c r="E800" t="s">
        <v>1787</v>
      </c>
      <c r="F800" t="s">
        <v>1797</v>
      </c>
      <c r="G800" s="5">
        <v>23089</v>
      </c>
      <c r="H800" t="s">
        <v>1803</v>
      </c>
      <c r="I800" t="s">
        <v>1806</v>
      </c>
      <c r="J800" s="2">
        <v>43103</v>
      </c>
      <c r="K800">
        <f t="shared" ca="1" si="24"/>
        <v>7</v>
      </c>
      <c r="L800">
        <f t="shared" ca="1" si="25"/>
        <v>11</v>
      </c>
      <c r="M800" t="s">
        <v>1809</v>
      </c>
      <c r="N800">
        <v>4</v>
      </c>
      <c r="O800" t="s">
        <v>1814</v>
      </c>
      <c r="P800" t="s">
        <v>1834</v>
      </c>
    </row>
    <row r="801" spans="1:16" x14ac:dyDescent="0.3">
      <c r="A801" t="s">
        <v>812</v>
      </c>
      <c r="B801" t="s">
        <v>1753</v>
      </c>
      <c r="C801">
        <v>51</v>
      </c>
      <c r="D801" t="s">
        <v>1785</v>
      </c>
      <c r="E801" t="s">
        <v>1789</v>
      </c>
      <c r="F801" t="s">
        <v>1797</v>
      </c>
      <c r="G801" s="5">
        <v>109285</v>
      </c>
      <c r="H801" t="s">
        <v>1803</v>
      </c>
      <c r="I801" t="s">
        <v>1808</v>
      </c>
      <c r="J801" s="2">
        <v>45451</v>
      </c>
      <c r="K801">
        <f t="shared" ca="1" si="24"/>
        <v>1</v>
      </c>
      <c r="L801">
        <f t="shared" ca="1" si="25"/>
        <v>6</v>
      </c>
      <c r="M801" t="s">
        <v>1809</v>
      </c>
      <c r="N801">
        <v>2</v>
      </c>
      <c r="O801" t="s">
        <v>1812</v>
      </c>
      <c r="P801" t="s">
        <v>1834</v>
      </c>
    </row>
    <row r="802" spans="1:16" x14ac:dyDescent="0.3">
      <c r="A802" t="s">
        <v>813</v>
      </c>
      <c r="B802" t="s">
        <v>1720</v>
      </c>
      <c r="C802">
        <v>43</v>
      </c>
      <c r="D802" t="s">
        <v>1785</v>
      </c>
      <c r="E802" t="s">
        <v>1792</v>
      </c>
      <c r="F802" t="s">
        <v>1794</v>
      </c>
      <c r="G802" s="5">
        <v>109418</v>
      </c>
      <c r="H802" t="s">
        <v>1802</v>
      </c>
      <c r="I802" t="s">
        <v>1808</v>
      </c>
      <c r="J802" s="2">
        <v>44917</v>
      </c>
      <c r="K802">
        <f t="shared" ca="1" si="24"/>
        <v>3</v>
      </c>
      <c r="L802">
        <f t="shared" ca="1" si="25"/>
        <v>11</v>
      </c>
      <c r="M802" t="s">
        <v>1810</v>
      </c>
      <c r="N802">
        <v>2</v>
      </c>
      <c r="O802" t="s">
        <v>1814</v>
      </c>
      <c r="P802" t="s">
        <v>1831</v>
      </c>
    </row>
    <row r="803" spans="1:16" x14ac:dyDescent="0.3">
      <c r="A803" t="s">
        <v>814</v>
      </c>
      <c r="B803" t="s">
        <v>1730</v>
      </c>
      <c r="C803">
        <v>57</v>
      </c>
      <c r="D803" t="s">
        <v>1785</v>
      </c>
      <c r="E803" t="s">
        <v>1791</v>
      </c>
      <c r="F803" t="s">
        <v>1797</v>
      </c>
      <c r="G803" s="5">
        <v>19617</v>
      </c>
      <c r="H803" t="s">
        <v>1801</v>
      </c>
      <c r="I803" t="s">
        <v>1806</v>
      </c>
      <c r="J803" s="2">
        <v>45352</v>
      </c>
      <c r="K803">
        <f t="shared" ca="1" si="24"/>
        <v>1</v>
      </c>
      <c r="L803">
        <f t="shared" ca="1" si="25"/>
        <v>9</v>
      </c>
      <c r="M803" t="s">
        <v>1810</v>
      </c>
      <c r="N803">
        <v>4</v>
      </c>
      <c r="O803" t="s">
        <v>1813</v>
      </c>
      <c r="P803" t="s">
        <v>1834</v>
      </c>
    </row>
    <row r="804" spans="1:16" x14ac:dyDescent="0.3">
      <c r="A804" t="s">
        <v>815</v>
      </c>
      <c r="B804" t="s">
        <v>1756</v>
      </c>
      <c r="C804">
        <v>47</v>
      </c>
      <c r="D804" t="s">
        <v>1783</v>
      </c>
      <c r="E804" t="s">
        <v>1787</v>
      </c>
      <c r="F804" t="s">
        <v>1794</v>
      </c>
      <c r="G804" s="5">
        <v>51144</v>
      </c>
      <c r="H804" t="s">
        <v>1804</v>
      </c>
      <c r="I804" t="s">
        <v>1806</v>
      </c>
      <c r="J804" s="2">
        <v>44621</v>
      </c>
      <c r="K804">
        <f t="shared" ca="1" si="24"/>
        <v>3</v>
      </c>
      <c r="L804">
        <f t="shared" ca="1" si="25"/>
        <v>9</v>
      </c>
      <c r="M804" t="s">
        <v>1810</v>
      </c>
      <c r="N804">
        <v>5</v>
      </c>
      <c r="O804" t="s">
        <v>1814</v>
      </c>
      <c r="P804" t="s">
        <v>1834</v>
      </c>
    </row>
    <row r="805" spans="1:16" x14ac:dyDescent="0.3">
      <c r="A805" t="s">
        <v>816</v>
      </c>
      <c r="B805" t="s">
        <v>1750</v>
      </c>
      <c r="C805">
        <v>25</v>
      </c>
      <c r="D805" t="s">
        <v>1783</v>
      </c>
      <c r="E805" t="s">
        <v>1789</v>
      </c>
      <c r="F805" t="s">
        <v>1796</v>
      </c>
      <c r="G805" s="5">
        <v>36705</v>
      </c>
      <c r="H805" t="s">
        <v>1802</v>
      </c>
      <c r="I805" t="s">
        <v>1806</v>
      </c>
      <c r="J805" s="2">
        <v>44068</v>
      </c>
      <c r="K805">
        <f t="shared" ca="1" si="24"/>
        <v>5</v>
      </c>
      <c r="L805">
        <f t="shared" ca="1" si="25"/>
        <v>3</v>
      </c>
      <c r="M805" t="s">
        <v>1810</v>
      </c>
      <c r="N805">
        <v>1</v>
      </c>
      <c r="O805" t="s">
        <v>1816</v>
      </c>
      <c r="P805" t="s">
        <v>1832</v>
      </c>
    </row>
    <row r="806" spans="1:16" x14ac:dyDescent="0.3">
      <c r="A806" t="s">
        <v>817</v>
      </c>
      <c r="B806" t="s">
        <v>1726</v>
      </c>
      <c r="C806">
        <v>26</v>
      </c>
      <c r="D806" t="s">
        <v>1783</v>
      </c>
      <c r="E806" t="s">
        <v>1787</v>
      </c>
      <c r="F806" t="s">
        <v>1800</v>
      </c>
      <c r="G806" s="5">
        <v>86807</v>
      </c>
      <c r="H806" t="s">
        <v>1804</v>
      </c>
      <c r="I806" t="s">
        <v>1806</v>
      </c>
      <c r="J806" s="2">
        <v>44203</v>
      </c>
      <c r="K806">
        <f t="shared" ca="1" si="24"/>
        <v>4</v>
      </c>
      <c r="L806">
        <f t="shared" ca="1" si="25"/>
        <v>11</v>
      </c>
      <c r="M806" t="s">
        <v>1809</v>
      </c>
      <c r="N806">
        <v>2</v>
      </c>
      <c r="O806" t="s">
        <v>1817</v>
      </c>
      <c r="P806" t="s">
        <v>1833</v>
      </c>
    </row>
    <row r="807" spans="1:16" x14ac:dyDescent="0.3">
      <c r="A807" t="s">
        <v>818</v>
      </c>
      <c r="B807" t="s">
        <v>1749</v>
      </c>
      <c r="C807">
        <v>28</v>
      </c>
      <c r="D807" t="s">
        <v>1783</v>
      </c>
      <c r="E807" t="s">
        <v>1790</v>
      </c>
      <c r="F807" t="s">
        <v>1795</v>
      </c>
      <c r="G807" s="5">
        <v>41853</v>
      </c>
      <c r="H807" t="s">
        <v>1801</v>
      </c>
      <c r="I807" t="s">
        <v>1808</v>
      </c>
      <c r="J807" s="2">
        <v>44760</v>
      </c>
      <c r="K807">
        <f t="shared" ca="1" si="24"/>
        <v>3</v>
      </c>
      <c r="L807">
        <f t="shared" ca="1" si="25"/>
        <v>4</v>
      </c>
      <c r="M807" t="s">
        <v>1809</v>
      </c>
      <c r="N807">
        <v>2</v>
      </c>
      <c r="O807" t="s">
        <v>1815</v>
      </c>
      <c r="P807" t="s">
        <v>1833</v>
      </c>
    </row>
    <row r="808" spans="1:16" x14ac:dyDescent="0.3">
      <c r="A808" t="s">
        <v>819</v>
      </c>
      <c r="B808" t="s">
        <v>1733</v>
      </c>
      <c r="C808">
        <v>31</v>
      </c>
      <c r="D808" t="s">
        <v>1783</v>
      </c>
      <c r="E808" t="s">
        <v>1788</v>
      </c>
      <c r="F808" t="s">
        <v>1800</v>
      </c>
      <c r="G808" s="5">
        <v>71581</v>
      </c>
      <c r="H808" t="s">
        <v>1805</v>
      </c>
      <c r="I808" t="s">
        <v>1807</v>
      </c>
      <c r="J808" s="2">
        <v>45044</v>
      </c>
      <c r="K808">
        <f t="shared" ca="1" si="24"/>
        <v>2</v>
      </c>
      <c r="L808">
        <f t="shared" ca="1" si="25"/>
        <v>7</v>
      </c>
      <c r="M808" t="s">
        <v>1809</v>
      </c>
      <c r="N808">
        <v>1</v>
      </c>
      <c r="O808" t="s">
        <v>1814</v>
      </c>
      <c r="P808" t="s">
        <v>1833</v>
      </c>
    </row>
    <row r="809" spans="1:16" x14ac:dyDescent="0.3">
      <c r="A809" t="s">
        <v>820</v>
      </c>
      <c r="B809" t="s">
        <v>1718</v>
      </c>
      <c r="C809">
        <v>27</v>
      </c>
      <c r="D809" t="s">
        <v>1784</v>
      </c>
      <c r="E809" t="s">
        <v>1793</v>
      </c>
      <c r="F809" t="s">
        <v>1797</v>
      </c>
      <c r="G809" s="5">
        <v>62846</v>
      </c>
      <c r="H809" t="s">
        <v>1805</v>
      </c>
      <c r="I809" t="s">
        <v>1807</v>
      </c>
      <c r="J809" s="2">
        <v>44395</v>
      </c>
      <c r="K809">
        <f t="shared" ca="1" si="24"/>
        <v>4</v>
      </c>
      <c r="L809">
        <f t="shared" ca="1" si="25"/>
        <v>4</v>
      </c>
      <c r="M809" t="s">
        <v>1810</v>
      </c>
      <c r="N809">
        <v>1</v>
      </c>
      <c r="O809" t="s">
        <v>1818</v>
      </c>
      <c r="P809" t="s">
        <v>1833</v>
      </c>
    </row>
    <row r="810" spans="1:16" x14ac:dyDescent="0.3">
      <c r="A810" t="s">
        <v>821</v>
      </c>
      <c r="B810" t="s">
        <v>1740</v>
      </c>
      <c r="C810">
        <v>20</v>
      </c>
      <c r="D810" t="s">
        <v>1785</v>
      </c>
      <c r="E810" t="s">
        <v>1792</v>
      </c>
      <c r="F810" t="s">
        <v>1798</v>
      </c>
      <c r="G810" s="5">
        <v>30693</v>
      </c>
      <c r="H810" t="s">
        <v>1805</v>
      </c>
      <c r="I810" t="s">
        <v>1807</v>
      </c>
      <c r="J810" s="2">
        <v>43976</v>
      </c>
      <c r="K810">
        <f t="shared" ca="1" si="24"/>
        <v>5</v>
      </c>
      <c r="L810">
        <f t="shared" ca="1" si="25"/>
        <v>6</v>
      </c>
      <c r="M810" t="s">
        <v>1810</v>
      </c>
      <c r="N810">
        <v>4</v>
      </c>
      <c r="O810" t="s">
        <v>1812</v>
      </c>
      <c r="P810" t="s">
        <v>1832</v>
      </c>
    </row>
    <row r="811" spans="1:16" x14ac:dyDescent="0.3">
      <c r="A811" t="s">
        <v>822</v>
      </c>
      <c r="B811" t="s">
        <v>1753</v>
      </c>
      <c r="C811">
        <v>47</v>
      </c>
      <c r="D811" t="s">
        <v>1784</v>
      </c>
      <c r="E811" t="s">
        <v>1789</v>
      </c>
      <c r="F811" t="s">
        <v>1796</v>
      </c>
      <c r="G811" s="5">
        <v>107372</v>
      </c>
      <c r="H811" t="s">
        <v>1804</v>
      </c>
      <c r="I811" t="s">
        <v>1807</v>
      </c>
      <c r="J811" s="2">
        <v>43917</v>
      </c>
      <c r="K811">
        <f t="shared" ca="1" si="24"/>
        <v>5</v>
      </c>
      <c r="L811">
        <f t="shared" ca="1" si="25"/>
        <v>8</v>
      </c>
      <c r="M811" t="s">
        <v>1810</v>
      </c>
      <c r="N811">
        <v>4</v>
      </c>
      <c r="O811" t="s">
        <v>1818</v>
      </c>
      <c r="P811" t="s">
        <v>1834</v>
      </c>
    </row>
    <row r="812" spans="1:16" x14ac:dyDescent="0.3">
      <c r="A812" t="s">
        <v>823</v>
      </c>
      <c r="B812" t="s">
        <v>1741</v>
      </c>
      <c r="C812">
        <v>41</v>
      </c>
      <c r="D812" t="s">
        <v>1783</v>
      </c>
      <c r="E812" t="s">
        <v>1792</v>
      </c>
      <c r="F812" t="s">
        <v>1799</v>
      </c>
      <c r="G812" s="5">
        <v>77889</v>
      </c>
      <c r="H812" t="s">
        <v>1803</v>
      </c>
      <c r="I812" t="s">
        <v>1806</v>
      </c>
      <c r="J812" s="2">
        <v>45859</v>
      </c>
      <c r="K812">
        <f t="shared" ca="1" si="24"/>
        <v>0</v>
      </c>
      <c r="L812">
        <f t="shared" ca="1" si="25"/>
        <v>4</v>
      </c>
      <c r="M812" t="s">
        <v>1809</v>
      </c>
      <c r="N812">
        <v>1</v>
      </c>
      <c r="O812" t="s">
        <v>1813</v>
      </c>
      <c r="P812" t="s">
        <v>1831</v>
      </c>
    </row>
    <row r="813" spans="1:16" x14ac:dyDescent="0.3">
      <c r="A813" t="s">
        <v>824</v>
      </c>
      <c r="B813" t="s">
        <v>1739</v>
      </c>
      <c r="C813">
        <v>35</v>
      </c>
      <c r="D813" t="s">
        <v>1784</v>
      </c>
      <c r="E813" t="s">
        <v>1790</v>
      </c>
      <c r="F813" t="s">
        <v>1794</v>
      </c>
      <c r="G813" s="5">
        <v>99048</v>
      </c>
      <c r="H813" t="s">
        <v>1803</v>
      </c>
      <c r="I813" t="s">
        <v>1806</v>
      </c>
      <c r="J813" s="2">
        <v>44130</v>
      </c>
      <c r="K813">
        <f t="shared" ca="1" si="24"/>
        <v>5</v>
      </c>
      <c r="L813">
        <f t="shared" ca="1" si="25"/>
        <v>1</v>
      </c>
      <c r="M813" t="s">
        <v>1809</v>
      </c>
      <c r="N813">
        <v>1</v>
      </c>
      <c r="O813" t="s">
        <v>1817</v>
      </c>
      <c r="P813" t="s">
        <v>1833</v>
      </c>
    </row>
    <row r="814" spans="1:16" x14ac:dyDescent="0.3">
      <c r="A814" t="s">
        <v>825</v>
      </c>
      <c r="B814" t="s">
        <v>1733</v>
      </c>
      <c r="C814">
        <v>43</v>
      </c>
      <c r="D814" t="s">
        <v>1783</v>
      </c>
      <c r="E814" t="s">
        <v>1789</v>
      </c>
      <c r="F814" t="s">
        <v>1800</v>
      </c>
      <c r="G814" s="5">
        <v>106857</v>
      </c>
      <c r="H814" t="s">
        <v>1802</v>
      </c>
      <c r="I814" t="s">
        <v>1806</v>
      </c>
      <c r="J814" s="2">
        <v>44422</v>
      </c>
      <c r="K814">
        <f t="shared" ca="1" si="24"/>
        <v>4</v>
      </c>
      <c r="L814">
        <f t="shared" ca="1" si="25"/>
        <v>3</v>
      </c>
      <c r="M814" t="s">
        <v>1810</v>
      </c>
      <c r="N814">
        <v>5</v>
      </c>
      <c r="O814" t="s">
        <v>1813</v>
      </c>
      <c r="P814" t="s">
        <v>1831</v>
      </c>
    </row>
    <row r="815" spans="1:16" x14ac:dyDescent="0.3">
      <c r="A815" t="s">
        <v>826</v>
      </c>
      <c r="B815" t="s">
        <v>1731</v>
      </c>
      <c r="C815">
        <v>50</v>
      </c>
      <c r="D815" t="s">
        <v>1785</v>
      </c>
      <c r="E815" t="s">
        <v>1793</v>
      </c>
      <c r="F815" t="s">
        <v>1800</v>
      </c>
      <c r="G815" s="5">
        <v>114243</v>
      </c>
      <c r="H815" t="s">
        <v>1804</v>
      </c>
      <c r="I815" t="s">
        <v>1806</v>
      </c>
      <c r="J815" s="2">
        <v>43237</v>
      </c>
      <c r="K815">
        <f t="shared" ca="1" si="24"/>
        <v>7</v>
      </c>
      <c r="L815">
        <f t="shared" ca="1" si="25"/>
        <v>6</v>
      </c>
      <c r="M815" t="s">
        <v>1809</v>
      </c>
      <c r="N815">
        <v>5</v>
      </c>
      <c r="O815" t="s">
        <v>1818</v>
      </c>
      <c r="P815" t="s">
        <v>1834</v>
      </c>
    </row>
    <row r="816" spans="1:16" x14ac:dyDescent="0.3">
      <c r="A816" t="s">
        <v>827</v>
      </c>
      <c r="B816" t="s">
        <v>1781</v>
      </c>
      <c r="C816">
        <v>25</v>
      </c>
      <c r="D816" t="s">
        <v>1784</v>
      </c>
      <c r="E816" t="s">
        <v>1790</v>
      </c>
      <c r="F816" t="s">
        <v>1800</v>
      </c>
      <c r="G816" s="5">
        <v>40027</v>
      </c>
      <c r="H816" t="s">
        <v>1801</v>
      </c>
      <c r="I816" t="s">
        <v>1808</v>
      </c>
      <c r="J816" s="2">
        <v>45152</v>
      </c>
      <c r="K816">
        <f t="shared" ca="1" si="24"/>
        <v>2</v>
      </c>
      <c r="L816">
        <f t="shared" ca="1" si="25"/>
        <v>3</v>
      </c>
      <c r="M816" t="s">
        <v>1809</v>
      </c>
      <c r="N816">
        <v>2</v>
      </c>
      <c r="O816" t="s">
        <v>1815</v>
      </c>
      <c r="P816" t="s">
        <v>1832</v>
      </c>
    </row>
    <row r="817" spans="1:16" x14ac:dyDescent="0.3">
      <c r="A817" t="s">
        <v>828</v>
      </c>
      <c r="B817" t="s">
        <v>1751</v>
      </c>
      <c r="C817">
        <v>25</v>
      </c>
      <c r="D817" t="s">
        <v>1783</v>
      </c>
      <c r="E817" t="s">
        <v>1787</v>
      </c>
      <c r="F817" t="s">
        <v>1797</v>
      </c>
      <c r="G817" s="5">
        <v>111816</v>
      </c>
      <c r="H817" t="s">
        <v>1802</v>
      </c>
      <c r="I817" t="s">
        <v>1808</v>
      </c>
      <c r="J817" s="2">
        <v>44008</v>
      </c>
      <c r="K817">
        <f t="shared" ca="1" si="24"/>
        <v>5</v>
      </c>
      <c r="L817">
        <f t="shared" ca="1" si="25"/>
        <v>5</v>
      </c>
      <c r="M817" t="s">
        <v>1810</v>
      </c>
      <c r="N817">
        <v>2</v>
      </c>
      <c r="O817" t="s">
        <v>1814</v>
      </c>
      <c r="P817" t="s">
        <v>1832</v>
      </c>
    </row>
    <row r="818" spans="1:16" x14ac:dyDescent="0.3">
      <c r="A818" t="s">
        <v>829</v>
      </c>
      <c r="B818" t="s">
        <v>1747</v>
      </c>
      <c r="C818">
        <v>27</v>
      </c>
      <c r="D818" t="s">
        <v>1785</v>
      </c>
      <c r="E818" t="s">
        <v>1791</v>
      </c>
      <c r="F818" t="s">
        <v>1794</v>
      </c>
      <c r="G818" s="5">
        <v>88063</v>
      </c>
      <c r="H818" t="s">
        <v>1803</v>
      </c>
      <c r="I818" t="s">
        <v>1807</v>
      </c>
      <c r="J818" s="2">
        <v>45696</v>
      </c>
      <c r="K818">
        <f t="shared" ca="1" si="24"/>
        <v>0</v>
      </c>
      <c r="L818">
        <f t="shared" ca="1" si="25"/>
        <v>10</v>
      </c>
      <c r="M818" t="s">
        <v>1810</v>
      </c>
      <c r="N818">
        <v>2</v>
      </c>
      <c r="O818" t="s">
        <v>1813</v>
      </c>
      <c r="P818" t="s">
        <v>1833</v>
      </c>
    </row>
    <row r="819" spans="1:16" x14ac:dyDescent="0.3">
      <c r="A819" t="s">
        <v>830</v>
      </c>
      <c r="B819" t="s">
        <v>1731</v>
      </c>
      <c r="C819">
        <v>44</v>
      </c>
      <c r="D819" t="s">
        <v>1785</v>
      </c>
      <c r="E819" t="s">
        <v>1787</v>
      </c>
      <c r="F819" t="s">
        <v>1798</v>
      </c>
      <c r="G819" s="5">
        <v>48587</v>
      </c>
      <c r="H819" t="s">
        <v>1804</v>
      </c>
      <c r="I819" t="s">
        <v>1807</v>
      </c>
      <c r="J819" s="2">
        <v>43629</v>
      </c>
      <c r="K819">
        <f t="shared" ca="1" si="24"/>
        <v>6</v>
      </c>
      <c r="L819">
        <f t="shared" ca="1" si="25"/>
        <v>5</v>
      </c>
      <c r="M819" t="s">
        <v>1809</v>
      </c>
      <c r="N819">
        <v>1</v>
      </c>
      <c r="O819" t="s">
        <v>1813</v>
      </c>
      <c r="P819" t="s">
        <v>1831</v>
      </c>
    </row>
    <row r="820" spans="1:16" x14ac:dyDescent="0.3">
      <c r="A820" t="s">
        <v>831</v>
      </c>
      <c r="B820" t="s">
        <v>1758</v>
      </c>
      <c r="C820">
        <v>57</v>
      </c>
      <c r="D820" t="s">
        <v>1783</v>
      </c>
      <c r="E820" t="s">
        <v>1793</v>
      </c>
      <c r="F820" t="s">
        <v>1796</v>
      </c>
      <c r="G820" s="5">
        <v>93083</v>
      </c>
      <c r="H820" t="s">
        <v>1802</v>
      </c>
      <c r="I820" t="s">
        <v>1808</v>
      </c>
      <c r="J820" s="2">
        <v>43995</v>
      </c>
      <c r="K820">
        <f t="shared" ca="1" si="24"/>
        <v>5</v>
      </c>
      <c r="L820">
        <f t="shared" ca="1" si="25"/>
        <v>5</v>
      </c>
      <c r="M820" t="s">
        <v>1809</v>
      </c>
      <c r="N820">
        <v>3</v>
      </c>
      <c r="O820" t="s">
        <v>1818</v>
      </c>
      <c r="P820" t="s">
        <v>1834</v>
      </c>
    </row>
    <row r="821" spans="1:16" x14ac:dyDescent="0.3">
      <c r="A821" t="s">
        <v>832</v>
      </c>
      <c r="B821" t="s">
        <v>1759</v>
      </c>
      <c r="C821">
        <v>32</v>
      </c>
      <c r="D821" t="s">
        <v>1784</v>
      </c>
      <c r="E821" t="s">
        <v>1787</v>
      </c>
      <c r="F821" t="s">
        <v>1799</v>
      </c>
      <c r="G821" s="5">
        <v>59896</v>
      </c>
      <c r="H821" t="s">
        <v>1804</v>
      </c>
      <c r="I821" t="s">
        <v>1806</v>
      </c>
      <c r="J821" s="2">
        <v>45700</v>
      </c>
      <c r="K821">
        <f t="shared" ca="1" si="24"/>
        <v>0</v>
      </c>
      <c r="L821">
        <f t="shared" ca="1" si="25"/>
        <v>9</v>
      </c>
      <c r="M821" t="s">
        <v>1809</v>
      </c>
      <c r="N821">
        <v>5</v>
      </c>
      <c r="O821" t="s">
        <v>1815</v>
      </c>
      <c r="P821" t="s">
        <v>1833</v>
      </c>
    </row>
    <row r="822" spans="1:16" x14ac:dyDescent="0.3">
      <c r="A822" t="s">
        <v>833</v>
      </c>
      <c r="B822" t="s">
        <v>1718</v>
      </c>
      <c r="C822">
        <v>20</v>
      </c>
      <c r="D822" t="s">
        <v>1785</v>
      </c>
      <c r="E822" t="s">
        <v>1790</v>
      </c>
      <c r="F822" t="s">
        <v>1798</v>
      </c>
      <c r="G822" s="5">
        <v>59409</v>
      </c>
      <c r="H822" t="s">
        <v>1804</v>
      </c>
      <c r="I822" t="s">
        <v>1807</v>
      </c>
      <c r="J822" s="2">
        <v>44485</v>
      </c>
      <c r="K822">
        <f t="shared" ca="1" si="24"/>
        <v>4</v>
      </c>
      <c r="L822">
        <f t="shared" ca="1" si="25"/>
        <v>1</v>
      </c>
      <c r="M822" t="s">
        <v>1810</v>
      </c>
      <c r="N822">
        <v>2</v>
      </c>
      <c r="O822" t="s">
        <v>1814</v>
      </c>
      <c r="P822" t="s">
        <v>1832</v>
      </c>
    </row>
    <row r="823" spans="1:16" x14ac:dyDescent="0.3">
      <c r="A823" t="s">
        <v>834</v>
      </c>
      <c r="B823" t="s">
        <v>1749</v>
      </c>
      <c r="C823">
        <v>22</v>
      </c>
      <c r="D823" t="s">
        <v>1785</v>
      </c>
      <c r="E823" t="s">
        <v>1789</v>
      </c>
      <c r="F823" t="s">
        <v>1795</v>
      </c>
      <c r="G823" s="5">
        <v>58487</v>
      </c>
      <c r="H823" t="s">
        <v>1801</v>
      </c>
      <c r="I823" t="s">
        <v>1808</v>
      </c>
      <c r="J823" s="2">
        <v>45910</v>
      </c>
      <c r="K823">
        <f t="shared" ca="1" si="24"/>
        <v>0</v>
      </c>
      <c r="L823">
        <f t="shared" ca="1" si="25"/>
        <v>3</v>
      </c>
      <c r="M823" t="s">
        <v>1810</v>
      </c>
      <c r="N823">
        <v>2</v>
      </c>
      <c r="O823" t="s">
        <v>1812</v>
      </c>
      <c r="P823" t="s">
        <v>1832</v>
      </c>
    </row>
    <row r="824" spans="1:16" x14ac:dyDescent="0.3">
      <c r="A824" t="s">
        <v>835</v>
      </c>
      <c r="B824" t="s">
        <v>1780</v>
      </c>
      <c r="C824">
        <v>44</v>
      </c>
      <c r="D824" t="s">
        <v>1783</v>
      </c>
      <c r="E824" t="s">
        <v>1789</v>
      </c>
      <c r="F824" t="s">
        <v>1799</v>
      </c>
      <c r="G824" s="5">
        <v>38014</v>
      </c>
      <c r="H824" t="s">
        <v>1802</v>
      </c>
      <c r="I824" t="s">
        <v>1806</v>
      </c>
      <c r="J824" s="2">
        <v>45757</v>
      </c>
      <c r="K824">
        <f t="shared" ca="1" si="24"/>
        <v>0</v>
      </c>
      <c r="L824">
        <f t="shared" ca="1" si="25"/>
        <v>8</v>
      </c>
      <c r="M824" t="s">
        <v>1809</v>
      </c>
      <c r="N824">
        <v>1</v>
      </c>
      <c r="O824" t="s">
        <v>1816</v>
      </c>
      <c r="P824" t="s">
        <v>1831</v>
      </c>
    </row>
    <row r="825" spans="1:16" x14ac:dyDescent="0.3">
      <c r="A825" t="s">
        <v>836</v>
      </c>
      <c r="B825" t="s">
        <v>1747</v>
      </c>
      <c r="C825">
        <v>45</v>
      </c>
      <c r="D825" t="s">
        <v>1784</v>
      </c>
      <c r="E825" t="s">
        <v>1791</v>
      </c>
      <c r="F825" t="s">
        <v>1795</v>
      </c>
      <c r="G825" s="5">
        <v>20826</v>
      </c>
      <c r="H825" t="s">
        <v>1803</v>
      </c>
      <c r="I825" t="s">
        <v>1808</v>
      </c>
      <c r="J825" s="2">
        <v>44168</v>
      </c>
      <c r="K825">
        <f t="shared" ca="1" si="24"/>
        <v>5</v>
      </c>
      <c r="L825">
        <f t="shared" ca="1" si="25"/>
        <v>0</v>
      </c>
      <c r="M825" t="s">
        <v>1810</v>
      </c>
      <c r="N825">
        <v>3</v>
      </c>
      <c r="O825" t="s">
        <v>1811</v>
      </c>
      <c r="P825" t="s">
        <v>1831</v>
      </c>
    </row>
    <row r="826" spans="1:16" x14ac:dyDescent="0.3">
      <c r="A826" t="s">
        <v>837</v>
      </c>
      <c r="B826" t="s">
        <v>1716</v>
      </c>
      <c r="C826">
        <v>53</v>
      </c>
      <c r="D826" t="s">
        <v>1785</v>
      </c>
      <c r="E826" t="s">
        <v>1788</v>
      </c>
      <c r="F826" t="s">
        <v>1794</v>
      </c>
      <c r="G826" s="5">
        <v>55010</v>
      </c>
      <c r="H826" t="s">
        <v>1802</v>
      </c>
      <c r="I826" t="s">
        <v>1806</v>
      </c>
      <c r="J826" s="2">
        <v>45945</v>
      </c>
      <c r="K826">
        <f t="shared" ca="1" si="24"/>
        <v>0</v>
      </c>
      <c r="L826">
        <f t="shared" ca="1" si="25"/>
        <v>1</v>
      </c>
      <c r="M826" t="s">
        <v>1810</v>
      </c>
      <c r="N826">
        <v>1</v>
      </c>
      <c r="O826" t="s">
        <v>1816</v>
      </c>
      <c r="P826" t="s">
        <v>1834</v>
      </c>
    </row>
    <row r="827" spans="1:16" x14ac:dyDescent="0.3">
      <c r="A827" t="s">
        <v>838</v>
      </c>
      <c r="B827" t="s">
        <v>1741</v>
      </c>
      <c r="C827">
        <v>57</v>
      </c>
      <c r="D827" t="s">
        <v>1783</v>
      </c>
      <c r="E827" t="s">
        <v>1788</v>
      </c>
      <c r="F827" t="s">
        <v>1794</v>
      </c>
      <c r="G827" s="5">
        <v>77969</v>
      </c>
      <c r="H827" t="s">
        <v>1802</v>
      </c>
      <c r="I827" t="s">
        <v>1806</v>
      </c>
      <c r="J827" s="2">
        <v>43001</v>
      </c>
      <c r="K827">
        <f t="shared" ca="1" si="24"/>
        <v>8</v>
      </c>
      <c r="L827">
        <f t="shared" ca="1" si="25"/>
        <v>2</v>
      </c>
      <c r="M827" t="s">
        <v>1810</v>
      </c>
      <c r="N827">
        <v>4</v>
      </c>
      <c r="O827" t="s">
        <v>1814</v>
      </c>
      <c r="P827" t="s">
        <v>1834</v>
      </c>
    </row>
    <row r="828" spans="1:16" x14ac:dyDescent="0.3">
      <c r="A828" t="s">
        <v>839</v>
      </c>
      <c r="B828" t="s">
        <v>1776</v>
      </c>
      <c r="C828">
        <v>33</v>
      </c>
      <c r="D828" t="s">
        <v>1785</v>
      </c>
      <c r="E828" t="s">
        <v>1786</v>
      </c>
      <c r="F828" t="s">
        <v>1794</v>
      </c>
      <c r="G828" s="5">
        <v>114379</v>
      </c>
      <c r="H828" t="s">
        <v>1801</v>
      </c>
      <c r="I828" t="s">
        <v>1808</v>
      </c>
      <c r="J828" s="2">
        <v>45411</v>
      </c>
      <c r="K828">
        <f t="shared" ca="1" si="24"/>
        <v>1</v>
      </c>
      <c r="L828">
        <f t="shared" ca="1" si="25"/>
        <v>7</v>
      </c>
      <c r="M828" t="s">
        <v>1809</v>
      </c>
      <c r="N828">
        <v>2</v>
      </c>
      <c r="O828" t="s">
        <v>1811</v>
      </c>
      <c r="P828" t="s">
        <v>1833</v>
      </c>
    </row>
    <row r="829" spans="1:16" x14ac:dyDescent="0.3">
      <c r="A829" t="s">
        <v>840</v>
      </c>
      <c r="B829" t="s">
        <v>1746</v>
      </c>
      <c r="C829">
        <v>30</v>
      </c>
      <c r="D829" t="s">
        <v>1783</v>
      </c>
      <c r="E829" t="s">
        <v>1793</v>
      </c>
      <c r="F829" t="s">
        <v>1800</v>
      </c>
      <c r="G829" s="5">
        <v>64607</v>
      </c>
      <c r="H829" t="s">
        <v>1802</v>
      </c>
      <c r="I829" t="s">
        <v>1807</v>
      </c>
      <c r="J829" s="2">
        <v>42918</v>
      </c>
      <c r="K829">
        <f t="shared" ca="1" si="24"/>
        <v>8</v>
      </c>
      <c r="L829">
        <f t="shared" ca="1" si="25"/>
        <v>5</v>
      </c>
      <c r="M829" t="s">
        <v>1810</v>
      </c>
      <c r="N829">
        <v>5</v>
      </c>
      <c r="O829" t="s">
        <v>1811</v>
      </c>
      <c r="P829" t="s">
        <v>1833</v>
      </c>
    </row>
    <row r="830" spans="1:16" x14ac:dyDescent="0.3">
      <c r="A830" t="s">
        <v>841</v>
      </c>
      <c r="B830" t="s">
        <v>1749</v>
      </c>
      <c r="C830">
        <v>45</v>
      </c>
      <c r="D830" t="s">
        <v>1783</v>
      </c>
      <c r="E830" t="s">
        <v>1792</v>
      </c>
      <c r="F830" t="s">
        <v>1798</v>
      </c>
      <c r="G830" s="5">
        <v>33571</v>
      </c>
      <c r="H830" t="s">
        <v>1803</v>
      </c>
      <c r="I830" t="s">
        <v>1808</v>
      </c>
      <c r="J830" s="2">
        <v>43677</v>
      </c>
      <c r="K830">
        <f t="shared" ca="1" si="24"/>
        <v>6</v>
      </c>
      <c r="L830">
        <f t="shared" ca="1" si="25"/>
        <v>4</v>
      </c>
      <c r="M830" t="s">
        <v>1809</v>
      </c>
      <c r="N830">
        <v>4</v>
      </c>
      <c r="O830" t="s">
        <v>1813</v>
      </c>
      <c r="P830" t="s">
        <v>1831</v>
      </c>
    </row>
    <row r="831" spans="1:16" x14ac:dyDescent="0.3">
      <c r="A831" t="s">
        <v>842</v>
      </c>
      <c r="B831" t="s">
        <v>1755</v>
      </c>
      <c r="C831">
        <v>44</v>
      </c>
      <c r="D831" t="s">
        <v>1784</v>
      </c>
      <c r="E831" t="s">
        <v>1790</v>
      </c>
      <c r="F831" t="s">
        <v>1797</v>
      </c>
      <c r="G831" s="5">
        <v>66145</v>
      </c>
      <c r="H831" t="s">
        <v>1801</v>
      </c>
      <c r="I831" t="s">
        <v>1807</v>
      </c>
      <c r="J831" s="2">
        <v>42776</v>
      </c>
      <c r="K831">
        <f t="shared" ca="1" si="24"/>
        <v>8</v>
      </c>
      <c r="L831">
        <f t="shared" ca="1" si="25"/>
        <v>10</v>
      </c>
      <c r="M831" t="s">
        <v>1809</v>
      </c>
      <c r="N831">
        <v>4</v>
      </c>
      <c r="O831" t="s">
        <v>1815</v>
      </c>
      <c r="P831" t="s">
        <v>1831</v>
      </c>
    </row>
    <row r="832" spans="1:16" x14ac:dyDescent="0.3">
      <c r="A832" t="s">
        <v>843</v>
      </c>
      <c r="B832" t="s">
        <v>1735</v>
      </c>
      <c r="C832">
        <v>56</v>
      </c>
      <c r="D832" t="s">
        <v>1785</v>
      </c>
      <c r="E832" t="s">
        <v>1790</v>
      </c>
      <c r="F832" t="s">
        <v>1794</v>
      </c>
      <c r="G832" s="5">
        <v>53877</v>
      </c>
      <c r="H832" t="s">
        <v>1801</v>
      </c>
      <c r="I832" t="s">
        <v>1806</v>
      </c>
      <c r="J832" s="2">
        <v>43179</v>
      </c>
      <c r="K832">
        <f t="shared" ca="1" si="24"/>
        <v>7</v>
      </c>
      <c r="L832">
        <f t="shared" ca="1" si="25"/>
        <v>8</v>
      </c>
      <c r="M832" t="s">
        <v>1810</v>
      </c>
      <c r="N832">
        <v>4</v>
      </c>
      <c r="O832" t="s">
        <v>1811</v>
      </c>
      <c r="P832" t="s">
        <v>1834</v>
      </c>
    </row>
    <row r="833" spans="1:16" x14ac:dyDescent="0.3">
      <c r="A833" t="s">
        <v>844</v>
      </c>
      <c r="B833" t="s">
        <v>1763</v>
      </c>
      <c r="C833">
        <v>28</v>
      </c>
      <c r="D833" t="s">
        <v>1783</v>
      </c>
      <c r="E833" t="s">
        <v>1789</v>
      </c>
      <c r="F833" t="s">
        <v>1794</v>
      </c>
      <c r="G833" s="5">
        <v>26322</v>
      </c>
      <c r="H833" t="s">
        <v>1805</v>
      </c>
      <c r="I833" t="s">
        <v>1807</v>
      </c>
      <c r="J833" s="2">
        <v>44098</v>
      </c>
      <c r="K833">
        <f t="shared" ca="1" si="24"/>
        <v>5</v>
      </c>
      <c r="L833">
        <f t="shared" ca="1" si="25"/>
        <v>2</v>
      </c>
      <c r="M833" t="s">
        <v>1809</v>
      </c>
      <c r="N833">
        <v>4</v>
      </c>
      <c r="O833" t="s">
        <v>1812</v>
      </c>
      <c r="P833" t="s">
        <v>1833</v>
      </c>
    </row>
    <row r="834" spans="1:16" x14ac:dyDescent="0.3">
      <c r="A834" t="s">
        <v>845</v>
      </c>
      <c r="B834" t="s">
        <v>1777</v>
      </c>
      <c r="C834">
        <v>57</v>
      </c>
      <c r="D834" t="s">
        <v>1785</v>
      </c>
      <c r="E834" t="s">
        <v>1793</v>
      </c>
      <c r="F834" t="s">
        <v>1799</v>
      </c>
      <c r="G834" s="5">
        <v>116763</v>
      </c>
      <c r="H834" t="s">
        <v>1802</v>
      </c>
      <c r="I834" t="s">
        <v>1806</v>
      </c>
      <c r="J834" s="2">
        <v>42918</v>
      </c>
      <c r="K834">
        <f t="shared" ca="1" si="24"/>
        <v>8</v>
      </c>
      <c r="L834">
        <f t="shared" ca="1" si="25"/>
        <v>5</v>
      </c>
      <c r="M834" t="s">
        <v>1809</v>
      </c>
      <c r="N834">
        <v>5</v>
      </c>
      <c r="O834" t="s">
        <v>1816</v>
      </c>
      <c r="P834" t="s">
        <v>1834</v>
      </c>
    </row>
    <row r="835" spans="1:16" x14ac:dyDescent="0.3">
      <c r="A835" t="s">
        <v>846</v>
      </c>
      <c r="B835" t="s">
        <v>1735</v>
      </c>
      <c r="C835">
        <v>48</v>
      </c>
      <c r="D835" t="s">
        <v>1784</v>
      </c>
      <c r="E835" t="s">
        <v>1793</v>
      </c>
      <c r="F835" t="s">
        <v>1798</v>
      </c>
      <c r="G835" s="5">
        <v>23130</v>
      </c>
      <c r="H835" t="s">
        <v>1805</v>
      </c>
      <c r="I835" t="s">
        <v>1807</v>
      </c>
      <c r="J835" s="2">
        <v>45111</v>
      </c>
      <c r="K835">
        <f t="shared" ref="K835:K898" ca="1" si="26">YEAR(TODAY()) - YEAR(J835)</f>
        <v>2</v>
      </c>
      <c r="L835">
        <f t="shared" ref="L835:L898" ca="1" si="27">DATEDIF(J835,TODAY(),"YM")</f>
        <v>5</v>
      </c>
      <c r="M835" t="s">
        <v>1809</v>
      </c>
      <c r="N835">
        <v>1</v>
      </c>
      <c r="O835" t="s">
        <v>1814</v>
      </c>
      <c r="P835" t="s">
        <v>1834</v>
      </c>
    </row>
    <row r="836" spans="1:16" x14ac:dyDescent="0.3">
      <c r="A836" t="s">
        <v>847</v>
      </c>
      <c r="B836" t="s">
        <v>1714</v>
      </c>
      <c r="C836">
        <v>27</v>
      </c>
      <c r="D836" t="s">
        <v>1785</v>
      </c>
      <c r="E836" t="s">
        <v>1788</v>
      </c>
      <c r="F836" t="s">
        <v>1795</v>
      </c>
      <c r="G836" s="5">
        <v>65652</v>
      </c>
      <c r="H836" t="s">
        <v>1802</v>
      </c>
      <c r="I836" t="s">
        <v>1808</v>
      </c>
      <c r="J836" s="2">
        <v>45133</v>
      </c>
      <c r="K836">
        <f t="shared" ca="1" si="26"/>
        <v>2</v>
      </c>
      <c r="L836">
        <f t="shared" ca="1" si="27"/>
        <v>4</v>
      </c>
      <c r="M836" t="s">
        <v>1809</v>
      </c>
      <c r="N836">
        <v>2</v>
      </c>
      <c r="O836" t="s">
        <v>1814</v>
      </c>
      <c r="P836" t="s">
        <v>1833</v>
      </c>
    </row>
    <row r="837" spans="1:16" x14ac:dyDescent="0.3">
      <c r="A837" t="s">
        <v>848</v>
      </c>
      <c r="B837" t="s">
        <v>1735</v>
      </c>
      <c r="C837">
        <v>38</v>
      </c>
      <c r="D837" t="s">
        <v>1785</v>
      </c>
      <c r="E837" t="s">
        <v>1790</v>
      </c>
      <c r="F837" t="s">
        <v>1795</v>
      </c>
      <c r="G837" s="5">
        <v>36331</v>
      </c>
      <c r="H837" t="s">
        <v>1803</v>
      </c>
      <c r="I837" t="s">
        <v>1806</v>
      </c>
      <c r="J837" s="2">
        <v>43719</v>
      </c>
      <c r="K837">
        <f t="shared" ca="1" si="26"/>
        <v>6</v>
      </c>
      <c r="L837">
        <f t="shared" ca="1" si="27"/>
        <v>2</v>
      </c>
      <c r="M837" t="s">
        <v>1810</v>
      </c>
      <c r="N837">
        <v>5</v>
      </c>
      <c r="O837" t="s">
        <v>1815</v>
      </c>
      <c r="P837" t="s">
        <v>1831</v>
      </c>
    </row>
    <row r="838" spans="1:16" x14ac:dyDescent="0.3">
      <c r="A838" t="s">
        <v>849</v>
      </c>
      <c r="B838" t="s">
        <v>1745</v>
      </c>
      <c r="C838">
        <v>22</v>
      </c>
      <c r="D838" t="s">
        <v>1783</v>
      </c>
      <c r="E838" t="s">
        <v>1792</v>
      </c>
      <c r="F838" t="s">
        <v>1798</v>
      </c>
      <c r="G838" s="5">
        <v>42651</v>
      </c>
      <c r="H838" t="s">
        <v>1804</v>
      </c>
      <c r="I838" t="s">
        <v>1807</v>
      </c>
      <c r="J838" s="2">
        <v>42987</v>
      </c>
      <c r="K838">
        <f t="shared" ca="1" si="26"/>
        <v>8</v>
      </c>
      <c r="L838">
        <f t="shared" ca="1" si="27"/>
        <v>3</v>
      </c>
      <c r="M838" t="s">
        <v>1809</v>
      </c>
      <c r="N838">
        <v>5</v>
      </c>
      <c r="O838" t="s">
        <v>1817</v>
      </c>
      <c r="P838" t="s">
        <v>1832</v>
      </c>
    </row>
    <row r="839" spans="1:16" x14ac:dyDescent="0.3">
      <c r="A839" t="s">
        <v>850</v>
      </c>
      <c r="B839" t="s">
        <v>1734</v>
      </c>
      <c r="C839">
        <v>47</v>
      </c>
      <c r="D839" t="s">
        <v>1783</v>
      </c>
      <c r="E839" t="s">
        <v>1788</v>
      </c>
      <c r="F839" t="s">
        <v>1800</v>
      </c>
      <c r="G839" s="5">
        <v>52167</v>
      </c>
      <c r="H839" t="s">
        <v>1802</v>
      </c>
      <c r="I839" t="s">
        <v>1808</v>
      </c>
      <c r="J839" s="2">
        <v>44306</v>
      </c>
      <c r="K839">
        <f t="shared" ca="1" si="26"/>
        <v>4</v>
      </c>
      <c r="L839">
        <f t="shared" ca="1" si="27"/>
        <v>7</v>
      </c>
      <c r="M839" t="s">
        <v>1809</v>
      </c>
      <c r="N839">
        <v>3</v>
      </c>
      <c r="O839" t="s">
        <v>1811</v>
      </c>
      <c r="P839" t="s">
        <v>1834</v>
      </c>
    </row>
    <row r="840" spans="1:16" x14ac:dyDescent="0.3">
      <c r="A840" t="s">
        <v>851</v>
      </c>
      <c r="B840" t="s">
        <v>1772</v>
      </c>
      <c r="C840">
        <v>33</v>
      </c>
      <c r="D840" t="s">
        <v>1783</v>
      </c>
      <c r="E840" t="s">
        <v>1788</v>
      </c>
      <c r="F840" t="s">
        <v>1794</v>
      </c>
      <c r="G840" s="5">
        <v>100984</v>
      </c>
      <c r="H840" t="s">
        <v>1802</v>
      </c>
      <c r="I840" t="s">
        <v>1806</v>
      </c>
      <c r="J840" s="2">
        <v>43962</v>
      </c>
      <c r="K840">
        <f t="shared" ca="1" si="26"/>
        <v>5</v>
      </c>
      <c r="L840">
        <f t="shared" ca="1" si="27"/>
        <v>6</v>
      </c>
      <c r="M840" t="s">
        <v>1809</v>
      </c>
      <c r="N840">
        <v>4</v>
      </c>
      <c r="O840" t="s">
        <v>1816</v>
      </c>
      <c r="P840" t="s">
        <v>1833</v>
      </c>
    </row>
    <row r="841" spans="1:16" x14ac:dyDescent="0.3">
      <c r="A841" t="s">
        <v>852</v>
      </c>
      <c r="B841" t="s">
        <v>1741</v>
      </c>
      <c r="C841">
        <v>47</v>
      </c>
      <c r="D841" t="s">
        <v>1784</v>
      </c>
      <c r="E841" t="s">
        <v>1792</v>
      </c>
      <c r="F841" t="s">
        <v>1798</v>
      </c>
      <c r="G841" s="5">
        <v>97116</v>
      </c>
      <c r="H841" t="s">
        <v>1801</v>
      </c>
      <c r="I841" t="s">
        <v>1808</v>
      </c>
      <c r="J841" s="2">
        <v>42948</v>
      </c>
      <c r="K841">
        <f t="shared" ca="1" si="26"/>
        <v>8</v>
      </c>
      <c r="L841">
        <f t="shared" ca="1" si="27"/>
        <v>4</v>
      </c>
      <c r="M841" t="s">
        <v>1809</v>
      </c>
      <c r="N841">
        <v>5</v>
      </c>
      <c r="O841" t="s">
        <v>1811</v>
      </c>
      <c r="P841" t="s">
        <v>1834</v>
      </c>
    </row>
    <row r="842" spans="1:16" x14ac:dyDescent="0.3">
      <c r="A842" t="s">
        <v>853</v>
      </c>
      <c r="B842" t="s">
        <v>1757</v>
      </c>
      <c r="C842">
        <v>25</v>
      </c>
      <c r="D842" t="s">
        <v>1784</v>
      </c>
      <c r="E842" t="s">
        <v>1789</v>
      </c>
      <c r="F842" t="s">
        <v>1796</v>
      </c>
      <c r="G842" s="5">
        <v>119983</v>
      </c>
      <c r="H842" t="s">
        <v>1802</v>
      </c>
      <c r="I842" t="s">
        <v>1807</v>
      </c>
      <c r="J842" s="2">
        <v>43558</v>
      </c>
      <c r="K842">
        <f t="shared" ca="1" si="26"/>
        <v>6</v>
      </c>
      <c r="L842">
        <f t="shared" ca="1" si="27"/>
        <v>8</v>
      </c>
      <c r="M842" t="s">
        <v>1809</v>
      </c>
      <c r="N842">
        <v>1</v>
      </c>
      <c r="O842" t="s">
        <v>1811</v>
      </c>
      <c r="P842" t="s">
        <v>1832</v>
      </c>
    </row>
    <row r="843" spans="1:16" x14ac:dyDescent="0.3">
      <c r="A843" t="s">
        <v>854</v>
      </c>
      <c r="B843" t="s">
        <v>1743</v>
      </c>
      <c r="C843">
        <v>26</v>
      </c>
      <c r="D843" t="s">
        <v>1783</v>
      </c>
      <c r="E843" t="s">
        <v>1791</v>
      </c>
      <c r="F843" t="s">
        <v>1794</v>
      </c>
      <c r="G843" s="5">
        <v>87006</v>
      </c>
      <c r="H843" t="s">
        <v>1804</v>
      </c>
      <c r="I843" t="s">
        <v>1806</v>
      </c>
      <c r="J843" s="2">
        <v>45802</v>
      </c>
      <c r="K843">
        <f t="shared" ca="1" si="26"/>
        <v>0</v>
      </c>
      <c r="L843">
        <f t="shared" ca="1" si="27"/>
        <v>6</v>
      </c>
      <c r="M843" t="s">
        <v>1810</v>
      </c>
      <c r="N843">
        <v>1</v>
      </c>
      <c r="O843" t="s">
        <v>1817</v>
      </c>
      <c r="P843" t="s">
        <v>1833</v>
      </c>
    </row>
    <row r="844" spans="1:16" x14ac:dyDescent="0.3">
      <c r="A844" t="s">
        <v>855</v>
      </c>
      <c r="B844" t="s">
        <v>1717</v>
      </c>
      <c r="C844">
        <v>38</v>
      </c>
      <c r="D844" t="s">
        <v>1785</v>
      </c>
      <c r="E844" t="s">
        <v>1788</v>
      </c>
      <c r="F844" t="s">
        <v>1797</v>
      </c>
      <c r="G844" s="5">
        <v>97621</v>
      </c>
      <c r="H844" t="s">
        <v>1801</v>
      </c>
      <c r="I844" t="s">
        <v>1807</v>
      </c>
      <c r="J844" s="2">
        <v>43740</v>
      </c>
      <c r="K844">
        <f t="shared" ca="1" si="26"/>
        <v>6</v>
      </c>
      <c r="L844">
        <f t="shared" ca="1" si="27"/>
        <v>2</v>
      </c>
      <c r="M844" t="s">
        <v>1810</v>
      </c>
      <c r="N844">
        <v>2</v>
      </c>
      <c r="O844" t="s">
        <v>1817</v>
      </c>
      <c r="P844" t="s">
        <v>1831</v>
      </c>
    </row>
    <row r="845" spans="1:16" x14ac:dyDescent="0.3">
      <c r="A845" t="s">
        <v>856</v>
      </c>
      <c r="B845" t="s">
        <v>1771</v>
      </c>
      <c r="C845">
        <v>58</v>
      </c>
      <c r="D845" t="s">
        <v>1784</v>
      </c>
      <c r="E845" t="s">
        <v>1790</v>
      </c>
      <c r="F845" t="s">
        <v>1798</v>
      </c>
      <c r="G845" s="5">
        <v>95635</v>
      </c>
      <c r="H845" t="s">
        <v>1804</v>
      </c>
      <c r="I845" t="s">
        <v>1807</v>
      </c>
      <c r="J845" s="2">
        <v>45250</v>
      </c>
      <c r="K845">
        <f t="shared" ca="1" si="26"/>
        <v>2</v>
      </c>
      <c r="L845">
        <f t="shared" ca="1" si="27"/>
        <v>0</v>
      </c>
      <c r="M845" t="s">
        <v>1809</v>
      </c>
      <c r="N845">
        <v>2</v>
      </c>
      <c r="O845" t="s">
        <v>1816</v>
      </c>
      <c r="P845" t="s">
        <v>1834</v>
      </c>
    </row>
    <row r="846" spans="1:16" x14ac:dyDescent="0.3">
      <c r="A846" t="s">
        <v>857</v>
      </c>
      <c r="B846" t="s">
        <v>1744</v>
      </c>
      <c r="C846">
        <v>37</v>
      </c>
      <c r="D846" t="s">
        <v>1783</v>
      </c>
      <c r="E846" t="s">
        <v>1789</v>
      </c>
      <c r="F846" t="s">
        <v>1799</v>
      </c>
      <c r="G846" s="5">
        <v>110733</v>
      </c>
      <c r="H846" t="s">
        <v>1802</v>
      </c>
      <c r="I846" t="s">
        <v>1806</v>
      </c>
      <c r="J846" s="2">
        <v>44931</v>
      </c>
      <c r="K846">
        <f t="shared" ca="1" si="26"/>
        <v>2</v>
      </c>
      <c r="L846">
        <f t="shared" ca="1" si="27"/>
        <v>11</v>
      </c>
      <c r="M846" t="s">
        <v>1810</v>
      </c>
      <c r="N846">
        <v>4</v>
      </c>
      <c r="O846" t="s">
        <v>1816</v>
      </c>
      <c r="P846" t="s">
        <v>1831</v>
      </c>
    </row>
    <row r="847" spans="1:16" x14ac:dyDescent="0.3">
      <c r="A847" t="s">
        <v>858</v>
      </c>
      <c r="B847" t="s">
        <v>1737</v>
      </c>
      <c r="C847">
        <v>49</v>
      </c>
      <c r="D847" t="s">
        <v>1785</v>
      </c>
      <c r="E847" t="s">
        <v>1788</v>
      </c>
      <c r="F847" t="s">
        <v>1800</v>
      </c>
      <c r="G847" s="5">
        <v>54152</v>
      </c>
      <c r="H847" t="s">
        <v>1805</v>
      </c>
      <c r="I847" t="s">
        <v>1806</v>
      </c>
      <c r="J847" s="2">
        <v>45772</v>
      </c>
      <c r="K847">
        <f t="shared" ca="1" si="26"/>
        <v>0</v>
      </c>
      <c r="L847">
        <f t="shared" ca="1" si="27"/>
        <v>7</v>
      </c>
      <c r="M847" t="s">
        <v>1809</v>
      </c>
      <c r="N847">
        <v>3</v>
      </c>
      <c r="O847" t="s">
        <v>1813</v>
      </c>
      <c r="P847" t="s">
        <v>1834</v>
      </c>
    </row>
    <row r="848" spans="1:16" x14ac:dyDescent="0.3">
      <c r="A848" t="s">
        <v>859</v>
      </c>
      <c r="B848" t="s">
        <v>1728</v>
      </c>
      <c r="C848">
        <v>40</v>
      </c>
      <c r="D848" t="s">
        <v>1783</v>
      </c>
      <c r="E848" t="s">
        <v>1793</v>
      </c>
      <c r="F848" t="s">
        <v>1794</v>
      </c>
      <c r="G848" s="5">
        <v>28052</v>
      </c>
      <c r="H848" t="s">
        <v>1802</v>
      </c>
      <c r="I848" t="s">
        <v>1807</v>
      </c>
      <c r="J848" s="2">
        <v>43114</v>
      </c>
      <c r="K848">
        <f t="shared" ca="1" si="26"/>
        <v>7</v>
      </c>
      <c r="L848">
        <f t="shared" ca="1" si="27"/>
        <v>10</v>
      </c>
      <c r="M848" t="s">
        <v>1809</v>
      </c>
      <c r="N848">
        <v>1</v>
      </c>
      <c r="O848" t="s">
        <v>1814</v>
      </c>
      <c r="P848" t="s">
        <v>1831</v>
      </c>
    </row>
    <row r="849" spans="1:16" x14ac:dyDescent="0.3">
      <c r="A849" t="s">
        <v>860</v>
      </c>
      <c r="B849" t="s">
        <v>1748</v>
      </c>
      <c r="C849">
        <v>20</v>
      </c>
      <c r="D849" t="s">
        <v>1784</v>
      </c>
      <c r="E849" t="s">
        <v>1791</v>
      </c>
      <c r="F849" t="s">
        <v>1800</v>
      </c>
      <c r="G849" s="5">
        <v>80869</v>
      </c>
      <c r="H849" t="s">
        <v>1805</v>
      </c>
      <c r="I849" t="s">
        <v>1806</v>
      </c>
      <c r="J849" s="2">
        <v>45210</v>
      </c>
      <c r="K849">
        <f t="shared" ca="1" si="26"/>
        <v>2</v>
      </c>
      <c r="L849">
        <f t="shared" ca="1" si="27"/>
        <v>1</v>
      </c>
      <c r="M849" t="s">
        <v>1809</v>
      </c>
      <c r="N849">
        <v>4</v>
      </c>
      <c r="O849" t="s">
        <v>1818</v>
      </c>
      <c r="P849" t="s">
        <v>1832</v>
      </c>
    </row>
    <row r="850" spans="1:16" x14ac:dyDescent="0.3">
      <c r="A850" t="s">
        <v>861</v>
      </c>
      <c r="B850" t="s">
        <v>1729</v>
      </c>
      <c r="C850">
        <v>20</v>
      </c>
      <c r="D850" t="s">
        <v>1785</v>
      </c>
      <c r="E850" t="s">
        <v>1787</v>
      </c>
      <c r="F850" t="s">
        <v>1795</v>
      </c>
      <c r="G850" s="5">
        <v>110090</v>
      </c>
      <c r="H850" t="s">
        <v>1804</v>
      </c>
      <c r="I850" t="s">
        <v>1807</v>
      </c>
      <c r="J850" s="2">
        <v>45464</v>
      </c>
      <c r="K850">
        <f t="shared" ca="1" si="26"/>
        <v>1</v>
      </c>
      <c r="L850">
        <f t="shared" ca="1" si="27"/>
        <v>5</v>
      </c>
      <c r="M850" t="s">
        <v>1809</v>
      </c>
      <c r="N850">
        <v>5</v>
      </c>
      <c r="O850" t="s">
        <v>1812</v>
      </c>
      <c r="P850" t="s">
        <v>1832</v>
      </c>
    </row>
    <row r="851" spans="1:16" x14ac:dyDescent="0.3">
      <c r="A851" t="s">
        <v>862</v>
      </c>
      <c r="B851" t="s">
        <v>1749</v>
      </c>
      <c r="C851">
        <v>53</v>
      </c>
      <c r="D851" t="s">
        <v>1783</v>
      </c>
      <c r="E851" t="s">
        <v>1791</v>
      </c>
      <c r="F851" t="s">
        <v>1796</v>
      </c>
      <c r="G851" s="5">
        <v>27846</v>
      </c>
      <c r="H851" t="s">
        <v>1802</v>
      </c>
      <c r="I851" t="s">
        <v>1806</v>
      </c>
      <c r="J851" s="2">
        <v>43885</v>
      </c>
      <c r="K851">
        <f t="shared" ca="1" si="26"/>
        <v>5</v>
      </c>
      <c r="L851">
        <f t="shared" ca="1" si="27"/>
        <v>9</v>
      </c>
      <c r="M851" t="s">
        <v>1809</v>
      </c>
      <c r="N851">
        <v>4</v>
      </c>
      <c r="O851" t="s">
        <v>1812</v>
      </c>
      <c r="P851" t="s">
        <v>1834</v>
      </c>
    </row>
    <row r="852" spans="1:16" x14ac:dyDescent="0.3">
      <c r="A852" t="s">
        <v>863</v>
      </c>
      <c r="B852" t="s">
        <v>1782</v>
      </c>
      <c r="C852">
        <v>43</v>
      </c>
      <c r="D852" t="s">
        <v>1783</v>
      </c>
      <c r="E852" t="s">
        <v>1789</v>
      </c>
      <c r="F852" t="s">
        <v>1798</v>
      </c>
      <c r="G852" s="5">
        <v>107006</v>
      </c>
      <c r="H852" t="s">
        <v>1805</v>
      </c>
      <c r="I852" t="s">
        <v>1807</v>
      </c>
      <c r="J852" s="2">
        <v>43626</v>
      </c>
      <c r="K852">
        <f t="shared" ca="1" si="26"/>
        <v>6</v>
      </c>
      <c r="L852">
        <f t="shared" ca="1" si="27"/>
        <v>6</v>
      </c>
      <c r="M852" t="s">
        <v>1810</v>
      </c>
      <c r="N852">
        <v>4</v>
      </c>
      <c r="O852" t="s">
        <v>1814</v>
      </c>
      <c r="P852" t="s">
        <v>1831</v>
      </c>
    </row>
    <row r="853" spans="1:16" x14ac:dyDescent="0.3">
      <c r="A853" t="s">
        <v>864</v>
      </c>
      <c r="B853" t="s">
        <v>1734</v>
      </c>
      <c r="C853">
        <v>20</v>
      </c>
      <c r="D853" t="s">
        <v>1785</v>
      </c>
      <c r="E853" t="s">
        <v>1787</v>
      </c>
      <c r="F853" t="s">
        <v>1796</v>
      </c>
      <c r="G853" s="5">
        <v>46503</v>
      </c>
      <c r="H853" t="s">
        <v>1805</v>
      </c>
      <c r="I853" t="s">
        <v>1807</v>
      </c>
      <c r="J853" s="2">
        <v>44334</v>
      </c>
      <c r="K853">
        <f t="shared" ca="1" si="26"/>
        <v>4</v>
      </c>
      <c r="L853">
        <f t="shared" ca="1" si="27"/>
        <v>6</v>
      </c>
      <c r="M853" t="s">
        <v>1810</v>
      </c>
      <c r="N853">
        <v>1</v>
      </c>
      <c r="O853" t="s">
        <v>1817</v>
      </c>
      <c r="P853" t="s">
        <v>1832</v>
      </c>
    </row>
    <row r="854" spans="1:16" x14ac:dyDescent="0.3">
      <c r="A854" t="s">
        <v>865</v>
      </c>
      <c r="B854" t="s">
        <v>1735</v>
      </c>
      <c r="C854">
        <v>49</v>
      </c>
      <c r="D854" t="s">
        <v>1784</v>
      </c>
      <c r="E854" t="s">
        <v>1788</v>
      </c>
      <c r="F854" t="s">
        <v>1797</v>
      </c>
      <c r="G854" s="5">
        <v>64385</v>
      </c>
      <c r="H854" t="s">
        <v>1801</v>
      </c>
      <c r="I854" t="s">
        <v>1808</v>
      </c>
      <c r="J854" s="2">
        <v>45397</v>
      </c>
      <c r="K854">
        <f t="shared" ca="1" si="26"/>
        <v>1</v>
      </c>
      <c r="L854">
        <f t="shared" ca="1" si="27"/>
        <v>7</v>
      </c>
      <c r="M854" t="s">
        <v>1809</v>
      </c>
      <c r="N854">
        <v>4</v>
      </c>
      <c r="O854" t="s">
        <v>1817</v>
      </c>
      <c r="P854" t="s">
        <v>1834</v>
      </c>
    </row>
    <row r="855" spans="1:16" x14ac:dyDescent="0.3">
      <c r="A855" t="s">
        <v>866</v>
      </c>
      <c r="B855" t="s">
        <v>1714</v>
      </c>
      <c r="C855">
        <v>47</v>
      </c>
      <c r="D855" t="s">
        <v>1784</v>
      </c>
      <c r="E855" t="s">
        <v>1786</v>
      </c>
      <c r="F855" t="s">
        <v>1795</v>
      </c>
      <c r="G855" s="5">
        <v>29107</v>
      </c>
      <c r="H855" t="s">
        <v>1805</v>
      </c>
      <c r="I855" t="s">
        <v>1807</v>
      </c>
      <c r="J855" s="2">
        <v>44120</v>
      </c>
      <c r="K855">
        <f t="shared" ca="1" si="26"/>
        <v>5</v>
      </c>
      <c r="L855">
        <f t="shared" ca="1" si="27"/>
        <v>1</v>
      </c>
      <c r="M855" t="s">
        <v>1809</v>
      </c>
      <c r="N855">
        <v>4</v>
      </c>
      <c r="O855" t="s">
        <v>1818</v>
      </c>
      <c r="P855" t="s">
        <v>1834</v>
      </c>
    </row>
    <row r="856" spans="1:16" x14ac:dyDescent="0.3">
      <c r="A856" t="s">
        <v>867</v>
      </c>
      <c r="B856" t="s">
        <v>1751</v>
      </c>
      <c r="C856">
        <v>36</v>
      </c>
      <c r="D856" t="s">
        <v>1783</v>
      </c>
      <c r="E856" t="s">
        <v>1790</v>
      </c>
      <c r="F856" t="s">
        <v>1796</v>
      </c>
      <c r="G856" s="5">
        <v>69820</v>
      </c>
      <c r="H856" t="s">
        <v>1804</v>
      </c>
      <c r="I856" t="s">
        <v>1808</v>
      </c>
      <c r="J856" s="2">
        <v>44192</v>
      </c>
      <c r="K856">
        <f t="shared" ca="1" si="26"/>
        <v>5</v>
      </c>
      <c r="L856">
        <f t="shared" ca="1" si="27"/>
        <v>11</v>
      </c>
      <c r="M856" t="s">
        <v>1809</v>
      </c>
      <c r="N856">
        <v>5</v>
      </c>
      <c r="O856" t="s">
        <v>1814</v>
      </c>
      <c r="P856" t="s">
        <v>1831</v>
      </c>
    </row>
    <row r="857" spans="1:16" x14ac:dyDescent="0.3">
      <c r="A857" t="s">
        <v>868</v>
      </c>
      <c r="B857" t="s">
        <v>1718</v>
      </c>
      <c r="C857">
        <v>48</v>
      </c>
      <c r="D857" t="s">
        <v>1783</v>
      </c>
      <c r="E857" t="s">
        <v>1791</v>
      </c>
      <c r="F857" t="s">
        <v>1794</v>
      </c>
      <c r="G857" s="5">
        <v>64365</v>
      </c>
      <c r="H857" t="s">
        <v>1803</v>
      </c>
      <c r="I857" t="s">
        <v>1807</v>
      </c>
      <c r="J857" s="2">
        <v>43909</v>
      </c>
      <c r="K857">
        <f t="shared" ca="1" si="26"/>
        <v>5</v>
      </c>
      <c r="L857">
        <f t="shared" ca="1" si="27"/>
        <v>8</v>
      </c>
      <c r="M857" t="s">
        <v>1809</v>
      </c>
      <c r="N857">
        <v>1</v>
      </c>
      <c r="O857" t="s">
        <v>1815</v>
      </c>
      <c r="P857" t="s">
        <v>1834</v>
      </c>
    </row>
    <row r="858" spans="1:16" x14ac:dyDescent="0.3">
      <c r="A858" t="s">
        <v>869</v>
      </c>
      <c r="B858" t="s">
        <v>1767</v>
      </c>
      <c r="C858">
        <v>28</v>
      </c>
      <c r="D858" t="s">
        <v>1784</v>
      </c>
      <c r="E858" t="s">
        <v>1787</v>
      </c>
      <c r="F858" t="s">
        <v>1796</v>
      </c>
      <c r="G858" s="5">
        <v>115507</v>
      </c>
      <c r="H858" t="s">
        <v>1801</v>
      </c>
      <c r="I858" t="s">
        <v>1807</v>
      </c>
      <c r="J858" s="2">
        <v>45166</v>
      </c>
      <c r="K858">
        <f t="shared" ca="1" si="26"/>
        <v>2</v>
      </c>
      <c r="L858">
        <f t="shared" ca="1" si="27"/>
        <v>3</v>
      </c>
      <c r="M858" t="s">
        <v>1809</v>
      </c>
      <c r="N858">
        <v>4</v>
      </c>
      <c r="O858" t="s">
        <v>1814</v>
      </c>
      <c r="P858" t="s">
        <v>1833</v>
      </c>
    </row>
    <row r="859" spans="1:16" x14ac:dyDescent="0.3">
      <c r="A859" t="s">
        <v>870</v>
      </c>
      <c r="B859" t="s">
        <v>1718</v>
      </c>
      <c r="C859">
        <v>51</v>
      </c>
      <c r="D859" t="s">
        <v>1785</v>
      </c>
      <c r="E859" t="s">
        <v>1790</v>
      </c>
      <c r="F859" t="s">
        <v>1794</v>
      </c>
      <c r="G859" s="5">
        <v>107356</v>
      </c>
      <c r="H859" t="s">
        <v>1802</v>
      </c>
      <c r="I859" t="s">
        <v>1808</v>
      </c>
      <c r="J859" s="2">
        <v>45514</v>
      </c>
      <c r="K859">
        <f t="shared" ca="1" si="26"/>
        <v>1</v>
      </c>
      <c r="L859">
        <f t="shared" ca="1" si="27"/>
        <v>4</v>
      </c>
      <c r="M859" t="s">
        <v>1810</v>
      </c>
      <c r="N859">
        <v>5</v>
      </c>
      <c r="O859" t="s">
        <v>1811</v>
      </c>
      <c r="P859" t="s">
        <v>1834</v>
      </c>
    </row>
    <row r="860" spans="1:16" x14ac:dyDescent="0.3">
      <c r="A860" t="s">
        <v>871</v>
      </c>
      <c r="B860" t="s">
        <v>1761</v>
      </c>
      <c r="C860">
        <v>26</v>
      </c>
      <c r="D860" t="s">
        <v>1783</v>
      </c>
      <c r="E860" t="s">
        <v>1791</v>
      </c>
      <c r="F860" t="s">
        <v>1796</v>
      </c>
      <c r="G860" s="5">
        <v>38387</v>
      </c>
      <c r="H860" t="s">
        <v>1805</v>
      </c>
      <c r="I860" t="s">
        <v>1807</v>
      </c>
      <c r="J860" s="2">
        <v>45581</v>
      </c>
      <c r="K860">
        <f t="shared" ca="1" si="26"/>
        <v>1</v>
      </c>
      <c r="L860">
        <f t="shared" ca="1" si="27"/>
        <v>1</v>
      </c>
      <c r="M860" t="s">
        <v>1809</v>
      </c>
      <c r="N860">
        <v>1</v>
      </c>
      <c r="O860" t="s">
        <v>1817</v>
      </c>
      <c r="P860" t="s">
        <v>1833</v>
      </c>
    </row>
    <row r="861" spans="1:16" x14ac:dyDescent="0.3">
      <c r="A861" t="s">
        <v>872</v>
      </c>
      <c r="B861" t="s">
        <v>1744</v>
      </c>
      <c r="C861">
        <v>20</v>
      </c>
      <c r="D861" t="s">
        <v>1784</v>
      </c>
      <c r="E861" t="s">
        <v>1790</v>
      </c>
      <c r="F861" t="s">
        <v>1796</v>
      </c>
      <c r="G861" s="5">
        <v>55940</v>
      </c>
      <c r="H861" t="s">
        <v>1803</v>
      </c>
      <c r="I861" t="s">
        <v>1807</v>
      </c>
      <c r="J861" s="2">
        <v>45554</v>
      </c>
      <c r="K861">
        <f t="shared" ca="1" si="26"/>
        <v>1</v>
      </c>
      <c r="L861">
        <f t="shared" ca="1" si="27"/>
        <v>2</v>
      </c>
      <c r="M861" t="s">
        <v>1810</v>
      </c>
      <c r="N861">
        <v>2</v>
      </c>
      <c r="O861" t="s">
        <v>1816</v>
      </c>
      <c r="P861" t="s">
        <v>1832</v>
      </c>
    </row>
    <row r="862" spans="1:16" x14ac:dyDescent="0.3">
      <c r="A862" t="s">
        <v>873</v>
      </c>
      <c r="B862" t="s">
        <v>1756</v>
      </c>
      <c r="C862">
        <v>35</v>
      </c>
      <c r="D862" t="s">
        <v>1784</v>
      </c>
      <c r="E862" t="s">
        <v>1793</v>
      </c>
      <c r="F862" t="s">
        <v>1794</v>
      </c>
      <c r="G862" s="5">
        <v>52541</v>
      </c>
      <c r="H862" t="s">
        <v>1802</v>
      </c>
      <c r="I862" t="s">
        <v>1806</v>
      </c>
      <c r="J862" s="2">
        <v>45799</v>
      </c>
      <c r="K862">
        <f t="shared" ca="1" si="26"/>
        <v>0</v>
      </c>
      <c r="L862">
        <f t="shared" ca="1" si="27"/>
        <v>6</v>
      </c>
      <c r="M862" t="s">
        <v>1810</v>
      </c>
      <c r="N862">
        <v>2</v>
      </c>
      <c r="O862" t="s">
        <v>1812</v>
      </c>
      <c r="P862" t="s">
        <v>1833</v>
      </c>
    </row>
    <row r="863" spans="1:16" x14ac:dyDescent="0.3">
      <c r="A863" t="s">
        <v>874</v>
      </c>
      <c r="B863" t="s">
        <v>1745</v>
      </c>
      <c r="C863">
        <v>52</v>
      </c>
      <c r="D863" t="s">
        <v>1785</v>
      </c>
      <c r="E863" t="s">
        <v>1791</v>
      </c>
      <c r="F863" t="s">
        <v>1799</v>
      </c>
      <c r="G863" s="5">
        <v>42729</v>
      </c>
      <c r="H863" t="s">
        <v>1805</v>
      </c>
      <c r="I863" t="s">
        <v>1806</v>
      </c>
      <c r="J863" s="2">
        <v>45036</v>
      </c>
      <c r="K863">
        <f t="shared" ca="1" si="26"/>
        <v>2</v>
      </c>
      <c r="L863">
        <f t="shared" ca="1" si="27"/>
        <v>7</v>
      </c>
      <c r="M863" t="s">
        <v>1809</v>
      </c>
      <c r="N863">
        <v>2</v>
      </c>
      <c r="O863" t="s">
        <v>1813</v>
      </c>
      <c r="P863" t="s">
        <v>1834</v>
      </c>
    </row>
    <row r="864" spans="1:16" x14ac:dyDescent="0.3">
      <c r="A864" t="s">
        <v>875</v>
      </c>
      <c r="B864" t="s">
        <v>1781</v>
      </c>
      <c r="C864">
        <v>22</v>
      </c>
      <c r="D864" t="s">
        <v>1784</v>
      </c>
      <c r="E864" t="s">
        <v>1786</v>
      </c>
      <c r="F864" t="s">
        <v>1800</v>
      </c>
      <c r="G864" s="5">
        <v>37163</v>
      </c>
      <c r="H864" t="s">
        <v>1801</v>
      </c>
      <c r="I864" t="s">
        <v>1806</v>
      </c>
      <c r="J864" s="2">
        <v>43255</v>
      </c>
      <c r="K864">
        <f t="shared" ca="1" si="26"/>
        <v>7</v>
      </c>
      <c r="L864">
        <f t="shared" ca="1" si="27"/>
        <v>6</v>
      </c>
      <c r="M864" t="s">
        <v>1809</v>
      </c>
      <c r="N864">
        <v>1</v>
      </c>
      <c r="O864" t="s">
        <v>1811</v>
      </c>
      <c r="P864" t="s">
        <v>1832</v>
      </c>
    </row>
    <row r="865" spans="1:16" x14ac:dyDescent="0.3">
      <c r="A865" t="s">
        <v>876</v>
      </c>
      <c r="B865" t="s">
        <v>1744</v>
      </c>
      <c r="C865">
        <v>39</v>
      </c>
      <c r="D865" t="s">
        <v>1785</v>
      </c>
      <c r="E865" t="s">
        <v>1786</v>
      </c>
      <c r="F865" t="s">
        <v>1796</v>
      </c>
      <c r="G865" s="5">
        <v>47068</v>
      </c>
      <c r="H865" t="s">
        <v>1803</v>
      </c>
      <c r="I865" t="s">
        <v>1808</v>
      </c>
      <c r="J865" s="2">
        <v>42689</v>
      </c>
      <c r="K865">
        <f t="shared" ca="1" si="26"/>
        <v>9</v>
      </c>
      <c r="L865">
        <f t="shared" ca="1" si="27"/>
        <v>0</v>
      </c>
      <c r="M865" t="s">
        <v>1810</v>
      </c>
      <c r="N865">
        <v>1</v>
      </c>
      <c r="O865" t="s">
        <v>1814</v>
      </c>
      <c r="P865" t="s">
        <v>1831</v>
      </c>
    </row>
    <row r="866" spans="1:16" x14ac:dyDescent="0.3">
      <c r="A866" t="s">
        <v>877</v>
      </c>
      <c r="B866" t="s">
        <v>1757</v>
      </c>
      <c r="C866">
        <v>43</v>
      </c>
      <c r="D866" t="s">
        <v>1784</v>
      </c>
      <c r="E866" t="s">
        <v>1789</v>
      </c>
      <c r="F866" t="s">
        <v>1800</v>
      </c>
      <c r="G866" s="5">
        <v>111268</v>
      </c>
      <c r="H866" t="s">
        <v>1802</v>
      </c>
      <c r="I866" t="s">
        <v>1808</v>
      </c>
      <c r="J866" s="2">
        <v>42632</v>
      </c>
      <c r="K866">
        <f t="shared" ca="1" si="26"/>
        <v>9</v>
      </c>
      <c r="L866">
        <f t="shared" ca="1" si="27"/>
        <v>2</v>
      </c>
      <c r="M866" t="s">
        <v>1809</v>
      </c>
      <c r="N866">
        <v>1</v>
      </c>
      <c r="O866" t="s">
        <v>1818</v>
      </c>
      <c r="P866" t="s">
        <v>1831</v>
      </c>
    </row>
    <row r="867" spans="1:16" x14ac:dyDescent="0.3">
      <c r="A867" t="s">
        <v>878</v>
      </c>
      <c r="B867" t="s">
        <v>1733</v>
      </c>
      <c r="C867">
        <v>40</v>
      </c>
      <c r="D867" t="s">
        <v>1783</v>
      </c>
      <c r="E867" t="s">
        <v>1788</v>
      </c>
      <c r="F867" t="s">
        <v>1796</v>
      </c>
      <c r="G867" s="5">
        <v>79873</v>
      </c>
      <c r="H867" t="s">
        <v>1805</v>
      </c>
      <c r="I867" t="s">
        <v>1807</v>
      </c>
      <c r="J867" s="2">
        <v>44202</v>
      </c>
      <c r="K867">
        <f t="shared" ca="1" si="26"/>
        <v>4</v>
      </c>
      <c r="L867">
        <f t="shared" ca="1" si="27"/>
        <v>11</v>
      </c>
      <c r="M867" t="s">
        <v>1809</v>
      </c>
      <c r="N867">
        <v>3</v>
      </c>
      <c r="O867" t="s">
        <v>1812</v>
      </c>
      <c r="P867" t="s">
        <v>1831</v>
      </c>
    </row>
    <row r="868" spans="1:16" x14ac:dyDescent="0.3">
      <c r="A868" t="s">
        <v>879</v>
      </c>
      <c r="B868" t="s">
        <v>1775</v>
      </c>
      <c r="C868">
        <v>39</v>
      </c>
      <c r="D868" t="s">
        <v>1783</v>
      </c>
      <c r="E868" t="s">
        <v>1793</v>
      </c>
      <c r="F868" t="s">
        <v>1797</v>
      </c>
      <c r="G868" s="5">
        <v>105680</v>
      </c>
      <c r="H868" t="s">
        <v>1805</v>
      </c>
      <c r="I868" t="s">
        <v>1807</v>
      </c>
      <c r="J868" s="2">
        <v>43794</v>
      </c>
      <c r="K868">
        <f t="shared" ca="1" si="26"/>
        <v>6</v>
      </c>
      <c r="L868">
        <f t="shared" ca="1" si="27"/>
        <v>0</v>
      </c>
      <c r="M868" t="s">
        <v>1810</v>
      </c>
      <c r="N868">
        <v>3</v>
      </c>
      <c r="O868" t="s">
        <v>1817</v>
      </c>
      <c r="P868" t="s">
        <v>1831</v>
      </c>
    </row>
    <row r="869" spans="1:16" x14ac:dyDescent="0.3">
      <c r="A869" t="s">
        <v>880</v>
      </c>
      <c r="B869" t="s">
        <v>1778</v>
      </c>
      <c r="C869">
        <v>37</v>
      </c>
      <c r="D869" t="s">
        <v>1783</v>
      </c>
      <c r="E869" t="s">
        <v>1787</v>
      </c>
      <c r="F869" t="s">
        <v>1797</v>
      </c>
      <c r="G869" s="5">
        <v>29433</v>
      </c>
      <c r="H869" t="s">
        <v>1802</v>
      </c>
      <c r="I869" t="s">
        <v>1806</v>
      </c>
      <c r="J869" s="2">
        <v>45479</v>
      </c>
      <c r="K869">
        <f t="shared" ca="1" si="26"/>
        <v>1</v>
      </c>
      <c r="L869">
        <f t="shared" ca="1" si="27"/>
        <v>5</v>
      </c>
      <c r="M869" t="s">
        <v>1809</v>
      </c>
      <c r="N869">
        <v>1</v>
      </c>
      <c r="O869" t="s">
        <v>1815</v>
      </c>
      <c r="P869" t="s">
        <v>1831</v>
      </c>
    </row>
    <row r="870" spans="1:16" x14ac:dyDescent="0.3">
      <c r="A870" t="s">
        <v>881</v>
      </c>
      <c r="B870" t="s">
        <v>1778</v>
      </c>
      <c r="C870">
        <v>48</v>
      </c>
      <c r="D870" t="s">
        <v>1783</v>
      </c>
      <c r="E870" t="s">
        <v>1793</v>
      </c>
      <c r="F870" t="s">
        <v>1795</v>
      </c>
      <c r="G870" s="5">
        <v>89641</v>
      </c>
      <c r="H870" t="s">
        <v>1804</v>
      </c>
      <c r="I870" t="s">
        <v>1808</v>
      </c>
      <c r="J870" s="2">
        <v>45409</v>
      </c>
      <c r="K870">
        <f t="shared" ca="1" si="26"/>
        <v>1</v>
      </c>
      <c r="L870">
        <f t="shared" ca="1" si="27"/>
        <v>7</v>
      </c>
      <c r="M870" t="s">
        <v>1810</v>
      </c>
      <c r="N870">
        <v>2</v>
      </c>
      <c r="O870" t="s">
        <v>1816</v>
      </c>
      <c r="P870" t="s">
        <v>1834</v>
      </c>
    </row>
    <row r="871" spans="1:16" x14ac:dyDescent="0.3">
      <c r="A871" t="s">
        <v>882</v>
      </c>
      <c r="B871" t="s">
        <v>1752</v>
      </c>
      <c r="C871">
        <v>32</v>
      </c>
      <c r="D871" t="s">
        <v>1784</v>
      </c>
      <c r="E871" t="s">
        <v>1788</v>
      </c>
      <c r="F871" t="s">
        <v>1799</v>
      </c>
      <c r="G871" s="5">
        <v>117530</v>
      </c>
      <c r="H871" t="s">
        <v>1805</v>
      </c>
      <c r="I871" t="s">
        <v>1808</v>
      </c>
      <c r="J871" s="2">
        <v>43937</v>
      </c>
      <c r="K871">
        <f t="shared" ca="1" si="26"/>
        <v>5</v>
      </c>
      <c r="L871">
        <f t="shared" ca="1" si="27"/>
        <v>7</v>
      </c>
      <c r="M871" t="s">
        <v>1810</v>
      </c>
      <c r="N871">
        <v>1</v>
      </c>
      <c r="O871" t="s">
        <v>1811</v>
      </c>
      <c r="P871" t="s">
        <v>1833</v>
      </c>
    </row>
    <row r="872" spans="1:16" x14ac:dyDescent="0.3">
      <c r="A872" t="s">
        <v>883</v>
      </c>
      <c r="B872" t="s">
        <v>1718</v>
      </c>
      <c r="C872">
        <v>46</v>
      </c>
      <c r="D872" t="s">
        <v>1785</v>
      </c>
      <c r="E872" t="s">
        <v>1792</v>
      </c>
      <c r="F872" t="s">
        <v>1795</v>
      </c>
      <c r="G872" s="5">
        <v>39880</v>
      </c>
      <c r="H872" t="s">
        <v>1804</v>
      </c>
      <c r="I872" t="s">
        <v>1806</v>
      </c>
      <c r="J872" s="2">
        <v>42966</v>
      </c>
      <c r="K872">
        <f t="shared" ca="1" si="26"/>
        <v>8</v>
      </c>
      <c r="L872">
        <f t="shared" ca="1" si="27"/>
        <v>3</v>
      </c>
      <c r="M872" t="s">
        <v>1810</v>
      </c>
      <c r="N872">
        <v>1</v>
      </c>
      <c r="O872" t="s">
        <v>1818</v>
      </c>
      <c r="P872" t="s">
        <v>1834</v>
      </c>
    </row>
    <row r="873" spans="1:16" x14ac:dyDescent="0.3">
      <c r="A873" t="s">
        <v>884</v>
      </c>
      <c r="B873" t="s">
        <v>1778</v>
      </c>
      <c r="C873">
        <v>45</v>
      </c>
      <c r="D873" t="s">
        <v>1784</v>
      </c>
      <c r="E873" t="s">
        <v>1793</v>
      </c>
      <c r="F873" t="s">
        <v>1800</v>
      </c>
      <c r="G873" s="5">
        <v>39694</v>
      </c>
      <c r="H873" t="s">
        <v>1805</v>
      </c>
      <c r="I873" t="s">
        <v>1808</v>
      </c>
      <c r="J873" s="2">
        <v>44741</v>
      </c>
      <c r="K873">
        <f t="shared" ca="1" si="26"/>
        <v>3</v>
      </c>
      <c r="L873">
        <f t="shared" ca="1" si="27"/>
        <v>5</v>
      </c>
      <c r="M873" t="s">
        <v>1810</v>
      </c>
      <c r="N873">
        <v>4</v>
      </c>
      <c r="O873" t="s">
        <v>1814</v>
      </c>
      <c r="P873" t="s">
        <v>1831</v>
      </c>
    </row>
    <row r="874" spans="1:16" x14ac:dyDescent="0.3">
      <c r="A874" t="s">
        <v>885</v>
      </c>
      <c r="B874" t="s">
        <v>1732</v>
      </c>
      <c r="C874">
        <v>20</v>
      </c>
      <c r="D874" t="s">
        <v>1783</v>
      </c>
      <c r="E874" t="s">
        <v>1786</v>
      </c>
      <c r="F874" t="s">
        <v>1794</v>
      </c>
      <c r="G874" s="5">
        <v>95609</v>
      </c>
      <c r="H874" t="s">
        <v>1801</v>
      </c>
      <c r="I874" t="s">
        <v>1806</v>
      </c>
      <c r="J874" s="2">
        <v>44303</v>
      </c>
      <c r="K874">
        <f t="shared" ca="1" si="26"/>
        <v>4</v>
      </c>
      <c r="L874">
        <f t="shared" ca="1" si="27"/>
        <v>7</v>
      </c>
      <c r="M874" t="s">
        <v>1810</v>
      </c>
      <c r="N874">
        <v>3</v>
      </c>
      <c r="O874" t="s">
        <v>1815</v>
      </c>
      <c r="P874" t="s">
        <v>1832</v>
      </c>
    </row>
    <row r="875" spans="1:16" x14ac:dyDescent="0.3">
      <c r="A875" t="s">
        <v>886</v>
      </c>
      <c r="B875" t="s">
        <v>1780</v>
      </c>
      <c r="C875">
        <v>37</v>
      </c>
      <c r="D875" t="s">
        <v>1785</v>
      </c>
      <c r="E875" t="s">
        <v>1793</v>
      </c>
      <c r="F875" t="s">
        <v>1798</v>
      </c>
      <c r="G875" s="5">
        <v>40427</v>
      </c>
      <c r="H875" t="s">
        <v>1801</v>
      </c>
      <c r="I875" t="s">
        <v>1806</v>
      </c>
      <c r="J875" s="2">
        <v>43413</v>
      </c>
      <c r="K875">
        <f t="shared" ca="1" si="26"/>
        <v>7</v>
      </c>
      <c r="L875">
        <f t="shared" ca="1" si="27"/>
        <v>1</v>
      </c>
      <c r="M875" t="s">
        <v>1810</v>
      </c>
      <c r="N875">
        <v>1</v>
      </c>
      <c r="O875" t="s">
        <v>1816</v>
      </c>
      <c r="P875" t="s">
        <v>1831</v>
      </c>
    </row>
    <row r="876" spans="1:16" x14ac:dyDescent="0.3">
      <c r="A876" t="s">
        <v>887</v>
      </c>
      <c r="B876" t="s">
        <v>1734</v>
      </c>
      <c r="C876">
        <v>37</v>
      </c>
      <c r="D876" t="s">
        <v>1783</v>
      </c>
      <c r="E876" t="s">
        <v>1786</v>
      </c>
      <c r="F876" t="s">
        <v>1795</v>
      </c>
      <c r="G876" s="5">
        <v>45521</v>
      </c>
      <c r="H876" t="s">
        <v>1801</v>
      </c>
      <c r="I876" t="s">
        <v>1807</v>
      </c>
      <c r="J876" s="2">
        <v>45094</v>
      </c>
      <c r="K876">
        <f t="shared" ca="1" si="26"/>
        <v>2</v>
      </c>
      <c r="L876">
        <f t="shared" ca="1" si="27"/>
        <v>5</v>
      </c>
      <c r="M876" t="s">
        <v>1810</v>
      </c>
      <c r="N876">
        <v>5</v>
      </c>
      <c r="O876" t="s">
        <v>1817</v>
      </c>
      <c r="P876" t="s">
        <v>1831</v>
      </c>
    </row>
    <row r="877" spans="1:16" x14ac:dyDescent="0.3">
      <c r="A877" t="s">
        <v>888</v>
      </c>
      <c r="B877" t="s">
        <v>1724</v>
      </c>
      <c r="C877">
        <v>55</v>
      </c>
      <c r="D877" t="s">
        <v>1784</v>
      </c>
      <c r="E877" t="s">
        <v>1791</v>
      </c>
      <c r="F877" t="s">
        <v>1795</v>
      </c>
      <c r="G877" s="5">
        <v>71522</v>
      </c>
      <c r="H877" t="s">
        <v>1804</v>
      </c>
      <c r="I877" t="s">
        <v>1808</v>
      </c>
      <c r="J877" s="2">
        <v>42672</v>
      </c>
      <c r="K877">
        <f t="shared" ca="1" si="26"/>
        <v>9</v>
      </c>
      <c r="L877">
        <f t="shared" ca="1" si="27"/>
        <v>1</v>
      </c>
      <c r="M877" t="s">
        <v>1809</v>
      </c>
      <c r="N877">
        <v>3</v>
      </c>
      <c r="O877" t="s">
        <v>1815</v>
      </c>
      <c r="P877" t="s">
        <v>1834</v>
      </c>
    </row>
    <row r="878" spans="1:16" x14ac:dyDescent="0.3">
      <c r="A878" t="s">
        <v>889</v>
      </c>
      <c r="B878" t="s">
        <v>1734</v>
      </c>
      <c r="C878">
        <v>36</v>
      </c>
      <c r="D878" t="s">
        <v>1783</v>
      </c>
      <c r="E878" t="s">
        <v>1793</v>
      </c>
      <c r="F878" t="s">
        <v>1794</v>
      </c>
      <c r="G878" s="5">
        <v>112712</v>
      </c>
      <c r="H878" t="s">
        <v>1803</v>
      </c>
      <c r="I878" t="s">
        <v>1806</v>
      </c>
      <c r="J878" s="2">
        <v>43492</v>
      </c>
      <c r="K878">
        <f t="shared" ca="1" si="26"/>
        <v>6</v>
      </c>
      <c r="L878">
        <f t="shared" ca="1" si="27"/>
        <v>10</v>
      </c>
      <c r="M878" t="s">
        <v>1809</v>
      </c>
      <c r="N878">
        <v>4</v>
      </c>
      <c r="O878" t="s">
        <v>1815</v>
      </c>
      <c r="P878" t="s">
        <v>1831</v>
      </c>
    </row>
    <row r="879" spans="1:16" x14ac:dyDescent="0.3">
      <c r="A879" t="s">
        <v>890</v>
      </c>
      <c r="B879" t="s">
        <v>1775</v>
      </c>
      <c r="C879">
        <v>33</v>
      </c>
      <c r="D879" t="s">
        <v>1785</v>
      </c>
      <c r="E879" t="s">
        <v>1787</v>
      </c>
      <c r="F879" t="s">
        <v>1800</v>
      </c>
      <c r="G879" s="5">
        <v>38400</v>
      </c>
      <c r="H879" t="s">
        <v>1802</v>
      </c>
      <c r="I879" t="s">
        <v>1806</v>
      </c>
      <c r="J879" s="2">
        <v>45412</v>
      </c>
      <c r="K879">
        <f t="shared" ca="1" si="26"/>
        <v>1</v>
      </c>
      <c r="L879">
        <f t="shared" ca="1" si="27"/>
        <v>7</v>
      </c>
      <c r="M879" t="s">
        <v>1810</v>
      </c>
      <c r="N879">
        <v>3</v>
      </c>
      <c r="O879" t="s">
        <v>1816</v>
      </c>
      <c r="P879" t="s">
        <v>1833</v>
      </c>
    </row>
    <row r="880" spans="1:16" x14ac:dyDescent="0.3">
      <c r="A880" t="s">
        <v>891</v>
      </c>
      <c r="B880" t="s">
        <v>1726</v>
      </c>
      <c r="C880">
        <v>51</v>
      </c>
      <c r="D880" t="s">
        <v>1783</v>
      </c>
      <c r="E880" t="s">
        <v>1790</v>
      </c>
      <c r="F880" t="s">
        <v>1799</v>
      </c>
      <c r="G880" s="5">
        <v>42251</v>
      </c>
      <c r="H880" t="s">
        <v>1802</v>
      </c>
      <c r="I880" t="s">
        <v>1807</v>
      </c>
      <c r="J880" s="2">
        <v>44771</v>
      </c>
      <c r="K880">
        <f t="shared" ca="1" si="26"/>
        <v>3</v>
      </c>
      <c r="L880">
        <f t="shared" ca="1" si="27"/>
        <v>4</v>
      </c>
      <c r="M880" t="s">
        <v>1810</v>
      </c>
      <c r="N880">
        <v>2</v>
      </c>
      <c r="O880" t="s">
        <v>1814</v>
      </c>
      <c r="P880" t="s">
        <v>1834</v>
      </c>
    </row>
    <row r="881" spans="1:16" x14ac:dyDescent="0.3">
      <c r="A881" t="s">
        <v>892</v>
      </c>
      <c r="B881" t="s">
        <v>1740</v>
      </c>
      <c r="C881">
        <v>30</v>
      </c>
      <c r="D881" t="s">
        <v>1783</v>
      </c>
      <c r="E881" t="s">
        <v>1787</v>
      </c>
      <c r="F881" t="s">
        <v>1795</v>
      </c>
      <c r="G881" s="5">
        <v>108094</v>
      </c>
      <c r="H881" t="s">
        <v>1802</v>
      </c>
      <c r="I881" t="s">
        <v>1807</v>
      </c>
      <c r="J881" s="2">
        <v>43025</v>
      </c>
      <c r="K881">
        <f t="shared" ca="1" si="26"/>
        <v>8</v>
      </c>
      <c r="L881">
        <f t="shared" ca="1" si="27"/>
        <v>1</v>
      </c>
      <c r="M881" t="s">
        <v>1809</v>
      </c>
      <c r="N881">
        <v>4</v>
      </c>
      <c r="O881" t="s">
        <v>1815</v>
      </c>
      <c r="P881" t="s">
        <v>1833</v>
      </c>
    </row>
    <row r="882" spans="1:16" x14ac:dyDescent="0.3">
      <c r="A882" t="s">
        <v>893</v>
      </c>
      <c r="B882" t="s">
        <v>1747</v>
      </c>
      <c r="C882">
        <v>45</v>
      </c>
      <c r="D882" t="s">
        <v>1783</v>
      </c>
      <c r="E882" t="s">
        <v>1791</v>
      </c>
      <c r="F882" t="s">
        <v>1799</v>
      </c>
      <c r="G882" s="5">
        <v>113258</v>
      </c>
      <c r="H882" t="s">
        <v>1801</v>
      </c>
      <c r="I882" t="s">
        <v>1806</v>
      </c>
      <c r="J882" s="2">
        <v>42846</v>
      </c>
      <c r="K882">
        <f t="shared" ca="1" si="26"/>
        <v>8</v>
      </c>
      <c r="L882">
        <f t="shared" ca="1" si="27"/>
        <v>7</v>
      </c>
      <c r="M882" t="s">
        <v>1810</v>
      </c>
      <c r="N882">
        <v>4</v>
      </c>
      <c r="O882" t="s">
        <v>1818</v>
      </c>
      <c r="P882" t="s">
        <v>1831</v>
      </c>
    </row>
    <row r="883" spans="1:16" x14ac:dyDescent="0.3">
      <c r="A883" t="s">
        <v>894</v>
      </c>
      <c r="B883" t="s">
        <v>1765</v>
      </c>
      <c r="C883">
        <v>20</v>
      </c>
      <c r="D883" t="s">
        <v>1785</v>
      </c>
      <c r="E883" t="s">
        <v>1792</v>
      </c>
      <c r="F883" t="s">
        <v>1798</v>
      </c>
      <c r="G883" s="5">
        <v>35324</v>
      </c>
      <c r="H883" t="s">
        <v>1801</v>
      </c>
      <c r="I883" t="s">
        <v>1808</v>
      </c>
      <c r="J883" s="2">
        <v>43022</v>
      </c>
      <c r="K883">
        <f t="shared" ca="1" si="26"/>
        <v>8</v>
      </c>
      <c r="L883">
        <f t="shared" ca="1" si="27"/>
        <v>1</v>
      </c>
      <c r="M883" t="s">
        <v>1809</v>
      </c>
      <c r="N883">
        <v>1</v>
      </c>
      <c r="O883" t="s">
        <v>1813</v>
      </c>
      <c r="P883" t="s">
        <v>1832</v>
      </c>
    </row>
    <row r="884" spans="1:16" x14ac:dyDescent="0.3">
      <c r="A884" t="s">
        <v>895</v>
      </c>
      <c r="B884" t="s">
        <v>1719</v>
      </c>
      <c r="C884">
        <v>41</v>
      </c>
      <c r="D884" t="s">
        <v>1785</v>
      </c>
      <c r="E884" t="s">
        <v>1793</v>
      </c>
      <c r="F884" t="s">
        <v>1798</v>
      </c>
      <c r="G884" s="5">
        <v>44518</v>
      </c>
      <c r="H884" t="s">
        <v>1803</v>
      </c>
      <c r="I884" t="s">
        <v>1806</v>
      </c>
      <c r="J884" s="2">
        <v>44257</v>
      </c>
      <c r="K884">
        <f t="shared" ca="1" si="26"/>
        <v>4</v>
      </c>
      <c r="L884">
        <f t="shared" ca="1" si="27"/>
        <v>9</v>
      </c>
      <c r="M884" t="s">
        <v>1809</v>
      </c>
      <c r="N884">
        <v>3</v>
      </c>
      <c r="O884" t="s">
        <v>1817</v>
      </c>
      <c r="P884" t="s">
        <v>1831</v>
      </c>
    </row>
    <row r="885" spans="1:16" x14ac:dyDescent="0.3">
      <c r="A885" t="s">
        <v>896</v>
      </c>
      <c r="B885" t="s">
        <v>1721</v>
      </c>
      <c r="C885">
        <v>35</v>
      </c>
      <c r="D885" t="s">
        <v>1783</v>
      </c>
      <c r="E885" t="s">
        <v>1788</v>
      </c>
      <c r="F885" t="s">
        <v>1795</v>
      </c>
      <c r="G885" s="5">
        <v>100245</v>
      </c>
      <c r="H885" t="s">
        <v>1801</v>
      </c>
      <c r="I885" t="s">
        <v>1807</v>
      </c>
      <c r="J885" s="2">
        <v>45816</v>
      </c>
      <c r="K885">
        <f t="shared" ca="1" si="26"/>
        <v>0</v>
      </c>
      <c r="L885">
        <f t="shared" ca="1" si="27"/>
        <v>6</v>
      </c>
      <c r="M885" t="s">
        <v>1809</v>
      </c>
      <c r="N885">
        <v>1</v>
      </c>
      <c r="O885" t="s">
        <v>1814</v>
      </c>
      <c r="P885" t="s">
        <v>1833</v>
      </c>
    </row>
    <row r="886" spans="1:16" x14ac:dyDescent="0.3">
      <c r="A886" t="s">
        <v>897</v>
      </c>
      <c r="B886" t="s">
        <v>1777</v>
      </c>
      <c r="C886">
        <v>46</v>
      </c>
      <c r="D886" t="s">
        <v>1783</v>
      </c>
      <c r="E886" t="s">
        <v>1792</v>
      </c>
      <c r="F886" t="s">
        <v>1797</v>
      </c>
      <c r="G886" s="5">
        <v>47401</v>
      </c>
      <c r="H886" t="s">
        <v>1802</v>
      </c>
      <c r="I886" t="s">
        <v>1808</v>
      </c>
      <c r="J886" s="2">
        <v>44016</v>
      </c>
      <c r="K886">
        <f t="shared" ca="1" si="26"/>
        <v>5</v>
      </c>
      <c r="L886">
        <f t="shared" ca="1" si="27"/>
        <v>5</v>
      </c>
      <c r="M886" t="s">
        <v>1809</v>
      </c>
      <c r="N886">
        <v>3</v>
      </c>
      <c r="O886" t="s">
        <v>1814</v>
      </c>
      <c r="P886" t="s">
        <v>1834</v>
      </c>
    </row>
    <row r="887" spans="1:16" x14ac:dyDescent="0.3">
      <c r="A887" t="s">
        <v>898</v>
      </c>
      <c r="B887" t="s">
        <v>1778</v>
      </c>
      <c r="C887">
        <v>44</v>
      </c>
      <c r="D887" t="s">
        <v>1785</v>
      </c>
      <c r="E887" t="s">
        <v>1793</v>
      </c>
      <c r="F887" t="s">
        <v>1798</v>
      </c>
      <c r="G887" s="5">
        <v>82463</v>
      </c>
      <c r="H887" t="s">
        <v>1801</v>
      </c>
      <c r="I887" t="s">
        <v>1807</v>
      </c>
      <c r="J887" s="2">
        <v>42854</v>
      </c>
      <c r="K887">
        <f t="shared" ca="1" si="26"/>
        <v>8</v>
      </c>
      <c r="L887">
        <f t="shared" ca="1" si="27"/>
        <v>7</v>
      </c>
      <c r="M887" t="s">
        <v>1810</v>
      </c>
      <c r="N887">
        <v>3</v>
      </c>
      <c r="O887" t="s">
        <v>1813</v>
      </c>
      <c r="P887" t="s">
        <v>1831</v>
      </c>
    </row>
    <row r="888" spans="1:16" x14ac:dyDescent="0.3">
      <c r="A888" t="s">
        <v>899</v>
      </c>
      <c r="B888" t="s">
        <v>1715</v>
      </c>
      <c r="C888">
        <v>27</v>
      </c>
      <c r="D888" t="s">
        <v>1784</v>
      </c>
      <c r="E888" t="s">
        <v>1793</v>
      </c>
      <c r="F888" t="s">
        <v>1795</v>
      </c>
      <c r="G888" s="5">
        <v>23681</v>
      </c>
      <c r="H888" t="s">
        <v>1802</v>
      </c>
      <c r="I888" t="s">
        <v>1807</v>
      </c>
      <c r="J888" s="2">
        <v>44193</v>
      </c>
      <c r="K888">
        <f t="shared" ca="1" si="26"/>
        <v>5</v>
      </c>
      <c r="L888">
        <f t="shared" ca="1" si="27"/>
        <v>11</v>
      </c>
      <c r="M888" t="s">
        <v>1810</v>
      </c>
      <c r="N888">
        <v>5</v>
      </c>
      <c r="O888" t="s">
        <v>1816</v>
      </c>
      <c r="P888" t="s">
        <v>1833</v>
      </c>
    </row>
    <row r="889" spans="1:16" x14ac:dyDescent="0.3">
      <c r="A889" t="s">
        <v>900</v>
      </c>
      <c r="B889" t="s">
        <v>1782</v>
      </c>
      <c r="C889">
        <v>39</v>
      </c>
      <c r="D889" t="s">
        <v>1785</v>
      </c>
      <c r="E889" t="s">
        <v>1788</v>
      </c>
      <c r="F889" t="s">
        <v>1797</v>
      </c>
      <c r="G889" s="5">
        <v>63663</v>
      </c>
      <c r="H889" t="s">
        <v>1804</v>
      </c>
      <c r="I889" t="s">
        <v>1808</v>
      </c>
      <c r="J889" s="2">
        <v>45148</v>
      </c>
      <c r="K889">
        <f t="shared" ca="1" si="26"/>
        <v>2</v>
      </c>
      <c r="L889">
        <f t="shared" ca="1" si="27"/>
        <v>4</v>
      </c>
      <c r="M889" t="s">
        <v>1810</v>
      </c>
      <c r="N889">
        <v>3</v>
      </c>
      <c r="O889" t="s">
        <v>1813</v>
      </c>
      <c r="P889" t="s">
        <v>1831</v>
      </c>
    </row>
    <row r="890" spans="1:16" x14ac:dyDescent="0.3">
      <c r="A890" t="s">
        <v>901</v>
      </c>
      <c r="B890" t="s">
        <v>1720</v>
      </c>
      <c r="C890">
        <v>29</v>
      </c>
      <c r="D890" t="s">
        <v>1785</v>
      </c>
      <c r="E890" t="s">
        <v>1791</v>
      </c>
      <c r="F890" t="s">
        <v>1798</v>
      </c>
      <c r="G890" s="5">
        <v>59976</v>
      </c>
      <c r="H890" t="s">
        <v>1803</v>
      </c>
      <c r="I890" t="s">
        <v>1808</v>
      </c>
      <c r="J890" s="2">
        <v>45392</v>
      </c>
      <c r="K890">
        <f t="shared" ca="1" si="26"/>
        <v>1</v>
      </c>
      <c r="L890">
        <f t="shared" ca="1" si="27"/>
        <v>8</v>
      </c>
      <c r="M890" t="s">
        <v>1810</v>
      </c>
      <c r="N890">
        <v>1</v>
      </c>
      <c r="O890" t="s">
        <v>1813</v>
      </c>
      <c r="P890" t="s">
        <v>1833</v>
      </c>
    </row>
    <row r="891" spans="1:16" x14ac:dyDescent="0.3">
      <c r="A891" t="s">
        <v>902</v>
      </c>
      <c r="B891" t="s">
        <v>1770</v>
      </c>
      <c r="C891">
        <v>37</v>
      </c>
      <c r="D891" t="s">
        <v>1783</v>
      </c>
      <c r="E891" t="s">
        <v>1793</v>
      </c>
      <c r="F891" t="s">
        <v>1798</v>
      </c>
      <c r="G891" s="5">
        <v>60343</v>
      </c>
      <c r="H891" t="s">
        <v>1802</v>
      </c>
      <c r="I891" t="s">
        <v>1808</v>
      </c>
      <c r="J891" s="2">
        <v>43882</v>
      </c>
      <c r="K891">
        <f t="shared" ca="1" si="26"/>
        <v>5</v>
      </c>
      <c r="L891">
        <f t="shared" ca="1" si="27"/>
        <v>9</v>
      </c>
      <c r="M891" t="s">
        <v>1810</v>
      </c>
      <c r="N891">
        <v>4</v>
      </c>
      <c r="O891" t="s">
        <v>1811</v>
      </c>
      <c r="P891" t="s">
        <v>1831</v>
      </c>
    </row>
    <row r="892" spans="1:16" x14ac:dyDescent="0.3">
      <c r="A892" t="s">
        <v>903</v>
      </c>
      <c r="B892" t="s">
        <v>1747</v>
      </c>
      <c r="C892">
        <v>46</v>
      </c>
      <c r="D892" t="s">
        <v>1785</v>
      </c>
      <c r="E892" t="s">
        <v>1789</v>
      </c>
      <c r="F892" t="s">
        <v>1799</v>
      </c>
      <c r="G892" s="5">
        <v>36116</v>
      </c>
      <c r="H892" t="s">
        <v>1802</v>
      </c>
      <c r="I892" t="s">
        <v>1808</v>
      </c>
      <c r="J892" s="2">
        <v>44152</v>
      </c>
      <c r="K892">
        <f t="shared" ca="1" si="26"/>
        <v>5</v>
      </c>
      <c r="L892">
        <f t="shared" ca="1" si="27"/>
        <v>0</v>
      </c>
      <c r="M892" t="s">
        <v>1810</v>
      </c>
      <c r="N892">
        <v>5</v>
      </c>
      <c r="O892" t="s">
        <v>1812</v>
      </c>
      <c r="P892" t="s">
        <v>1834</v>
      </c>
    </row>
    <row r="893" spans="1:16" x14ac:dyDescent="0.3">
      <c r="A893" t="s">
        <v>904</v>
      </c>
      <c r="B893" t="s">
        <v>1771</v>
      </c>
      <c r="C893">
        <v>34</v>
      </c>
      <c r="D893" t="s">
        <v>1784</v>
      </c>
      <c r="E893" t="s">
        <v>1793</v>
      </c>
      <c r="F893" t="s">
        <v>1794</v>
      </c>
      <c r="G893" s="5">
        <v>94148</v>
      </c>
      <c r="H893" t="s">
        <v>1803</v>
      </c>
      <c r="I893" t="s">
        <v>1806</v>
      </c>
      <c r="J893" s="2">
        <v>44804</v>
      </c>
      <c r="K893">
        <f t="shared" ca="1" si="26"/>
        <v>3</v>
      </c>
      <c r="L893">
        <f t="shared" ca="1" si="27"/>
        <v>3</v>
      </c>
      <c r="M893" t="s">
        <v>1809</v>
      </c>
      <c r="N893">
        <v>1</v>
      </c>
      <c r="O893" t="s">
        <v>1815</v>
      </c>
      <c r="P893" t="s">
        <v>1833</v>
      </c>
    </row>
    <row r="894" spans="1:16" x14ac:dyDescent="0.3">
      <c r="A894" t="s">
        <v>905</v>
      </c>
      <c r="B894" t="s">
        <v>1724</v>
      </c>
      <c r="C894">
        <v>33</v>
      </c>
      <c r="D894" t="s">
        <v>1783</v>
      </c>
      <c r="E894" t="s">
        <v>1789</v>
      </c>
      <c r="F894" t="s">
        <v>1800</v>
      </c>
      <c r="G894" s="5">
        <v>91187</v>
      </c>
      <c r="H894" t="s">
        <v>1802</v>
      </c>
      <c r="I894" t="s">
        <v>1807</v>
      </c>
      <c r="J894" s="2">
        <v>42682</v>
      </c>
      <c r="K894">
        <f t="shared" ca="1" si="26"/>
        <v>9</v>
      </c>
      <c r="L894">
        <f t="shared" ca="1" si="27"/>
        <v>1</v>
      </c>
      <c r="M894" t="s">
        <v>1810</v>
      </c>
      <c r="N894">
        <v>3</v>
      </c>
      <c r="O894" t="s">
        <v>1816</v>
      </c>
      <c r="P894" t="s">
        <v>1833</v>
      </c>
    </row>
    <row r="895" spans="1:16" x14ac:dyDescent="0.3">
      <c r="A895" t="s">
        <v>906</v>
      </c>
      <c r="B895" t="s">
        <v>1728</v>
      </c>
      <c r="C895">
        <v>29</v>
      </c>
      <c r="D895" t="s">
        <v>1785</v>
      </c>
      <c r="E895" t="s">
        <v>1787</v>
      </c>
      <c r="F895" t="s">
        <v>1798</v>
      </c>
      <c r="G895" s="5">
        <v>49784</v>
      </c>
      <c r="H895" t="s">
        <v>1802</v>
      </c>
      <c r="I895" t="s">
        <v>1807</v>
      </c>
      <c r="J895" s="2">
        <v>45497</v>
      </c>
      <c r="K895">
        <f t="shared" ca="1" si="26"/>
        <v>1</v>
      </c>
      <c r="L895">
        <f t="shared" ca="1" si="27"/>
        <v>4</v>
      </c>
      <c r="M895" t="s">
        <v>1809</v>
      </c>
      <c r="N895">
        <v>1</v>
      </c>
      <c r="O895" t="s">
        <v>1816</v>
      </c>
      <c r="P895" t="s">
        <v>1833</v>
      </c>
    </row>
    <row r="896" spans="1:16" x14ac:dyDescent="0.3">
      <c r="A896" t="s">
        <v>907</v>
      </c>
      <c r="B896" t="s">
        <v>1746</v>
      </c>
      <c r="C896">
        <v>21</v>
      </c>
      <c r="D896" t="s">
        <v>1785</v>
      </c>
      <c r="E896" t="s">
        <v>1787</v>
      </c>
      <c r="F896" t="s">
        <v>1797</v>
      </c>
      <c r="G896" s="5">
        <v>66717</v>
      </c>
      <c r="H896" t="s">
        <v>1801</v>
      </c>
      <c r="I896" t="s">
        <v>1806</v>
      </c>
      <c r="J896" s="2">
        <v>44820</v>
      </c>
      <c r="K896">
        <f t="shared" ca="1" si="26"/>
        <v>3</v>
      </c>
      <c r="L896">
        <f t="shared" ca="1" si="27"/>
        <v>2</v>
      </c>
      <c r="M896" t="s">
        <v>1809</v>
      </c>
      <c r="N896">
        <v>4</v>
      </c>
      <c r="O896" t="s">
        <v>1816</v>
      </c>
      <c r="P896" t="s">
        <v>1832</v>
      </c>
    </row>
    <row r="897" spans="1:16" x14ac:dyDescent="0.3">
      <c r="A897" t="s">
        <v>908</v>
      </c>
      <c r="B897" t="s">
        <v>1752</v>
      </c>
      <c r="C897">
        <v>43</v>
      </c>
      <c r="D897" t="s">
        <v>1783</v>
      </c>
      <c r="E897" t="s">
        <v>1793</v>
      </c>
      <c r="F897" t="s">
        <v>1797</v>
      </c>
      <c r="G897" s="5">
        <v>50118</v>
      </c>
      <c r="H897" t="s">
        <v>1801</v>
      </c>
      <c r="I897" t="s">
        <v>1806</v>
      </c>
      <c r="J897" s="2">
        <v>45842</v>
      </c>
      <c r="K897">
        <f t="shared" ca="1" si="26"/>
        <v>0</v>
      </c>
      <c r="L897">
        <f t="shared" ca="1" si="27"/>
        <v>5</v>
      </c>
      <c r="M897" t="s">
        <v>1810</v>
      </c>
      <c r="N897">
        <v>2</v>
      </c>
      <c r="O897" t="s">
        <v>1816</v>
      </c>
      <c r="P897" t="s">
        <v>1831</v>
      </c>
    </row>
    <row r="898" spans="1:16" x14ac:dyDescent="0.3">
      <c r="A898" t="s">
        <v>909</v>
      </c>
      <c r="B898" t="s">
        <v>1747</v>
      </c>
      <c r="C898">
        <v>28</v>
      </c>
      <c r="D898" t="s">
        <v>1785</v>
      </c>
      <c r="E898" t="s">
        <v>1788</v>
      </c>
      <c r="F898" t="s">
        <v>1800</v>
      </c>
      <c r="G898" s="5">
        <v>79628</v>
      </c>
      <c r="H898" t="s">
        <v>1804</v>
      </c>
      <c r="I898" t="s">
        <v>1808</v>
      </c>
      <c r="J898" s="2">
        <v>45638</v>
      </c>
      <c r="K898">
        <f t="shared" ca="1" si="26"/>
        <v>1</v>
      </c>
      <c r="L898">
        <f t="shared" ca="1" si="27"/>
        <v>11</v>
      </c>
      <c r="M898" t="s">
        <v>1809</v>
      </c>
      <c r="N898">
        <v>3</v>
      </c>
      <c r="O898" t="s">
        <v>1813</v>
      </c>
      <c r="P898" t="s">
        <v>1833</v>
      </c>
    </row>
    <row r="899" spans="1:16" x14ac:dyDescent="0.3">
      <c r="A899" t="s">
        <v>910</v>
      </c>
      <c r="B899" t="s">
        <v>1761</v>
      </c>
      <c r="C899">
        <v>22</v>
      </c>
      <c r="D899" t="s">
        <v>1785</v>
      </c>
      <c r="E899" t="s">
        <v>1791</v>
      </c>
      <c r="F899" t="s">
        <v>1798</v>
      </c>
      <c r="G899" s="5">
        <v>83967</v>
      </c>
      <c r="H899" t="s">
        <v>1801</v>
      </c>
      <c r="I899" t="s">
        <v>1808</v>
      </c>
      <c r="J899" s="2">
        <v>45848</v>
      </c>
      <c r="K899">
        <f t="shared" ref="K899:K962" ca="1" si="28">YEAR(TODAY()) - YEAR(J899)</f>
        <v>0</v>
      </c>
      <c r="L899">
        <f t="shared" ref="L899:L962" ca="1" si="29">DATEDIF(J899,TODAY(),"YM")</f>
        <v>5</v>
      </c>
      <c r="M899" t="s">
        <v>1810</v>
      </c>
      <c r="N899">
        <v>4</v>
      </c>
      <c r="O899" t="s">
        <v>1814</v>
      </c>
      <c r="P899" t="s">
        <v>1832</v>
      </c>
    </row>
    <row r="900" spans="1:16" x14ac:dyDescent="0.3">
      <c r="A900" t="s">
        <v>911</v>
      </c>
      <c r="B900" t="s">
        <v>1759</v>
      </c>
      <c r="C900">
        <v>39</v>
      </c>
      <c r="D900" t="s">
        <v>1785</v>
      </c>
      <c r="E900" t="s">
        <v>1786</v>
      </c>
      <c r="F900" t="s">
        <v>1798</v>
      </c>
      <c r="G900" s="5">
        <v>73531</v>
      </c>
      <c r="H900" t="s">
        <v>1804</v>
      </c>
      <c r="I900" t="s">
        <v>1807</v>
      </c>
      <c r="J900" s="2">
        <v>44574</v>
      </c>
      <c r="K900">
        <f t="shared" ca="1" si="28"/>
        <v>3</v>
      </c>
      <c r="L900">
        <f t="shared" ca="1" si="29"/>
        <v>10</v>
      </c>
      <c r="M900" t="s">
        <v>1810</v>
      </c>
      <c r="N900">
        <v>2</v>
      </c>
      <c r="O900" t="s">
        <v>1815</v>
      </c>
      <c r="P900" t="s">
        <v>1831</v>
      </c>
    </row>
    <row r="901" spans="1:16" x14ac:dyDescent="0.3">
      <c r="A901" t="s">
        <v>912</v>
      </c>
      <c r="B901" t="s">
        <v>1744</v>
      </c>
      <c r="C901">
        <v>23</v>
      </c>
      <c r="D901" t="s">
        <v>1783</v>
      </c>
      <c r="E901" t="s">
        <v>1787</v>
      </c>
      <c r="F901" t="s">
        <v>1799</v>
      </c>
      <c r="G901" s="5">
        <v>42077</v>
      </c>
      <c r="H901" t="s">
        <v>1805</v>
      </c>
      <c r="I901" t="s">
        <v>1806</v>
      </c>
      <c r="J901" s="2">
        <v>45885</v>
      </c>
      <c r="K901">
        <f t="shared" ca="1" si="28"/>
        <v>0</v>
      </c>
      <c r="L901">
        <f t="shared" ca="1" si="29"/>
        <v>3</v>
      </c>
      <c r="M901" t="s">
        <v>1809</v>
      </c>
      <c r="N901">
        <v>4</v>
      </c>
      <c r="O901" t="s">
        <v>1812</v>
      </c>
      <c r="P901" t="s">
        <v>1832</v>
      </c>
    </row>
    <row r="902" spans="1:16" x14ac:dyDescent="0.3">
      <c r="A902" t="s">
        <v>913</v>
      </c>
      <c r="B902" t="s">
        <v>1758</v>
      </c>
      <c r="C902">
        <v>45</v>
      </c>
      <c r="D902" t="s">
        <v>1784</v>
      </c>
      <c r="E902" t="s">
        <v>1791</v>
      </c>
      <c r="F902" t="s">
        <v>1799</v>
      </c>
      <c r="G902" s="5">
        <v>25165</v>
      </c>
      <c r="H902" t="s">
        <v>1804</v>
      </c>
      <c r="I902" t="s">
        <v>1806</v>
      </c>
      <c r="J902" s="2">
        <v>44175</v>
      </c>
      <c r="K902">
        <f t="shared" ca="1" si="28"/>
        <v>5</v>
      </c>
      <c r="L902">
        <f t="shared" ca="1" si="29"/>
        <v>0</v>
      </c>
      <c r="M902" t="s">
        <v>1809</v>
      </c>
      <c r="N902">
        <v>3</v>
      </c>
      <c r="O902" t="s">
        <v>1813</v>
      </c>
      <c r="P902" t="s">
        <v>1831</v>
      </c>
    </row>
    <row r="903" spans="1:16" x14ac:dyDescent="0.3">
      <c r="A903" t="s">
        <v>914</v>
      </c>
      <c r="B903" t="s">
        <v>1713</v>
      </c>
      <c r="C903">
        <v>43</v>
      </c>
      <c r="D903" t="s">
        <v>1785</v>
      </c>
      <c r="E903" t="s">
        <v>1789</v>
      </c>
      <c r="F903" t="s">
        <v>1798</v>
      </c>
      <c r="G903" s="5">
        <v>21676</v>
      </c>
      <c r="H903" t="s">
        <v>1804</v>
      </c>
      <c r="I903" t="s">
        <v>1807</v>
      </c>
      <c r="J903" s="2">
        <v>44656</v>
      </c>
      <c r="K903">
        <f t="shared" ca="1" si="28"/>
        <v>3</v>
      </c>
      <c r="L903">
        <f t="shared" ca="1" si="29"/>
        <v>8</v>
      </c>
      <c r="M903" t="s">
        <v>1809</v>
      </c>
      <c r="N903">
        <v>1</v>
      </c>
      <c r="O903" t="s">
        <v>1815</v>
      </c>
      <c r="P903" t="s">
        <v>1831</v>
      </c>
    </row>
    <row r="904" spans="1:16" x14ac:dyDescent="0.3">
      <c r="A904" t="s">
        <v>915</v>
      </c>
      <c r="B904" t="s">
        <v>1736</v>
      </c>
      <c r="C904">
        <v>39</v>
      </c>
      <c r="D904" t="s">
        <v>1783</v>
      </c>
      <c r="E904" t="s">
        <v>1786</v>
      </c>
      <c r="F904" t="s">
        <v>1797</v>
      </c>
      <c r="G904" s="5">
        <v>101674</v>
      </c>
      <c r="H904" t="s">
        <v>1802</v>
      </c>
      <c r="I904" t="s">
        <v>1808</v>
      </c>
      <c r="J904" s="2">
        <v>42786</v>
      </c>
      <c r="K904">
        <f t="shared" ca="1" si="28"/>
        <v>8</v>
      </c>
      <c r="L904">
        <f t="shared" ca="1" si="29"/>
        <v>9</v>
      </c>
      <c r="M904" t="s">
        <v>1809</v>
      </c>
      <c r="N904">
        <v>5</v>
      </c>
      <c r="O904" t="s">
        <v>1812</v>
      </c>
      <c r="P904" t="s">
        <v>1831</v>
      </c>
    </row>
    <row r="905" spans="1:16" x14ac:dyDescent="0.3">
      <c r="A905" t="s">
        <v>916</v>
      </c>
      <c r="B905" t="s">
        <v>1714</v>
      </c>
      <c r="C905">
        <v>40</v>
      </c>
      <c r="D905" t="s">
        <v>1783</v>
      </c>
      <c r="E905" t="s">
        <v>1788</v>
      </c>
      <c r="F905" t="s">
        <v>1796</v>
      </c>
      <c r="G905" s="5">
        <v>19111</v>
      </c>
      <c r="H905" t="s">
        <v>1804</v>
      </c>
      <c r="I905" t="s">
        <v>1808</v>
      </c>
      <c r="J905" s="2">
        <v>44486</v>
      </c>
      <c r="K905">
        <f t="shared" ca="1" si="28"/>
        <v>4</v>
      </c>
      <c r="L905">
        <f t="shared" ca="1" si="29"/>
        <v>1</v>
      </c>
      <c r="M905" t="s">
        <v>1809</v>
      </c>
      <c r="N905">
        <v>3</v>
      </c>
      <c r="O905" t="s">
        <v>1811</v>
      </c>
      <c r="P905" t="s">
        <v>1831</v>
      </c>
    </row>
    <row r="906" spans="1:16" x14ac:dyDescent="0.3">
      <c r="A906" t="s">
        <v>917</v>
      </c>
      <c r="B906" t="s">
        <v>1722</v>
      </c>
      <c r="C906">
        <v>26</v>
      </c>
      <c r="D906" t="s">
        <v>1784</v>
      </c>
      <c r="E906" t="s">
        <v>1787</v>
      </c>
      <c r="F906" t="s">
        <v>1795</v>
      </c>
      <c r="G906" s="5">
        <v>115183</v>
      </c>
      <c r="H906" t="s">
        <v>1801</v>
      </c>
      <c r="I906" t="s">
        <v>1806</v>
      </c>
      <c r="J906" s="2">
        <v>45745</v>
      </c>
      <c r="K906">
        <f t="shared" ca="1" si="28"/>
        <v>0</v>
      </c>
      <c r="L906">
        <f t="shared" ca="1" si="29"/>
        <v>8</v>
      </c>
      <c r="M906" t="s">
        <v>1809</v>
      </c>
      <c r="N906">
        <v>1</v>
      </c>
      <c r="O906" t="s">
        <v>1811</v>
      </c>
      <c r="P906" t="s">
        <v>1833</v>
      </c>
    </row>
    <row r="907" spans="1:16" x14ac:dyDescent="0.3">
      <c r="A907" t="s">
        <v>918</v>
      </c>
      <c r="B907" t="s">
        <v>1773</v>
      </c>
      <c r="C907">
        <v>22</v>
      </c>
      <c r="D907" t="s">
        <v>1784</v>
      </c>
      <c r="E907" t="s">
        <v>1791</v>
      </c>
      <c r="F907" t="s">
        <v>1794</v>
      </c>
      <c r="G907" s="5">
        <v>37862</v>
      </c>
      <c r="H907" t="s">
        <v>1803</v>
      </c>
      <c r="I907" t="s">
        <v>1807</v>
      </c>
      <c r="J907" s="2">
        <v>45001</v>
      </c>
      <c r="K907">
        <f t="shared" ca="1" si="28"/>
        <v>2</v>
      </c>
      <c r="L907">
        <f t="shared" ca="1" si="29"/>
        <v>8</v>
      </c>
      <c r="M907" t="s">
        <v>1809</v>
      </c>
      <c r="N907">
        <v>2</v>
      </c>
      <c r="O907" t="s">
        <v>1815</v>
      </c>
      <c r="P907" t="s">
        <v>1832</v>
      </c>
    </row>
    <row r="908" spans="1:16" x14ac:dyDescent="0.3">
      <c r="A908" t="s">
        <v>919</v>
      </c>
      <c r="B908" t="s">
        <v>1751</v>
      </c>
      <c r="C908">
        <v>30</v>
      </c>
      <c r="D908" t="s">
        <v>1785</v>
      </c>
      <c r="E908" t="s">
        <v>1789</v>
      </c>
      <c r="F908" t="s">
        <v>1799</v>
      </c>
      <c r="G908" s="5">
        <v>76652</v>
      </c>
      <c r="H908" t="s">
        <v>1802</v>
      </c>
      <c r="I908" t="s">
        <v>1808</v>
      </c>
      <c r="J908" s="2">
        <v>43629</v>
      </c>
      <c r="K908">
        <f t="shared" ca="1" si="28"/>
        <v>6</v>
      </c>
      <c r="L908">
        <f t="shared" ca="1" si="29"/>
        <v>5</v>
      </c>
      <c r="M908" t="s">
        <v>1810</v>
      </c>
      <c r="N908">
        <v>5</v>
      </c>
      <c r="O908" t="s">
        <v>1811</v>
      </c>
      <c r="P908" t="s">
        <v>1833</v>
      </c>
    </row>
    <row r="909" spans="1:16" x14ac:dyDescent="0.3">
      <c r="A909" t="s">
        <v>920</v>
      </c>
      <c r="B909" t="s">
        <v>1733</v>
      </c>
      <c r="C909">
        <v>44</v>
      </c>
      <c r="D909" t="s">
        <v>1783</v>
      </c>
      <c r="E909" t="s">
        <v>1786</v>
      </c>
      <c r="F909" t="s">
        <v>1795</v>
      </c>
      <c r="G909" s="5">
        <v>98004</v>
      </c>
      <c r="H909" t="s">
        <v>1801</v>
      </c>
      <c r="I909" t="s">
        <v>1807</v>
      </c>
      <c r="J909" s="2">
        <v>44760</v>
      </c>
      <c r="K909">
        <f t="shared" ca="1" si="28"/>
        <v>3</v>
      </c>
      <c r="L909">
        <f t="shared" ca="1" si="29"/>
        <v>4</v>
      </c>
      <c r="M909" t="s">
        <v>1810</v>
      </c>
      <c r="N909">
        <v>1</v>
      </c>
      <c r="O909" t="s">
        <v>1818</v>
      </c>
      <c r="P909" t="s">
        <v>1831</v>
      </c>
    </row>
    <row r="910" spans="1:16" x14ac:dyDescent="0.3">
      <c r="A910" t="s">
        <v>921</v>
      </c>
      <c r="B910" t="s">
        <v>1751</v>
      </c>
      <c r="C910">
        <v>39</v>
      </c>
      <c r="D910" t="s">
        <v>1785</v>
      </c>
      <c r="E910" t="s">
        <v>1793</v>
      </c>
      <c r="F910" t="s">
        <v>1797</v>
      </c>
      <c r="G910" s="5">
        <v>83393</v>
      </c>
      <c r="H910" t="s">
        <v>1803</v>
      </c>
      <c r="I910" t="s">
        <v>1808</v>
      </c>
      <c r="J910" s="2">
        <v>43133</v>
      </c>
      <c r="K910">
        <f t="shared" ca="1" si="28"/>
        <v>7</v>
      </c>
      <c r="L910">
        <f t="shared" ca="1" si="29"/>
        <v>10</v>
      </c>
      <c r="M910" t="s">
        <v>1810</v>
      </c>
      <c r="N910">
        <v>2</v>
      </c>
      <c r="O910" t="s">
        <v>1813</v>
      </c>
      <c r="P910" t="s">
        <v>1831</v>
      </c>
    </row>
    <row r="911" spans="1:16" x14ac:dyDescent="0.3">
      <c r="A911" t="s">
        <v>922</v>
      </c>
      <c r="B911" t="s">
        <v>1763</v>
      </c>
      <c r="C911">
        <v>43</v>
      </c>
      <c r="D911" t="s">
        <v>1784</v>
      </c>
      <c r="E911" t="s">
        <v>1793</v>
      </c>
      <c r="F911" t="s">
        <v>1798</v>
      </c>
      <c r="G911" s="5">
        <v>27323</v>
      </c>
      <c r="H911" t="s">
        <v>1803</v>
      </c>
      <c r="I911" t="s">
        <v>1808</v>
      </c>
      <c r="J911" s="2">
        <v>44376</v>
      </c>
      <c r="K911">
        <f t="shared" ca="1" si="28"/>
        <v>4</v>
      </c>
      <c r="L911">
        <f t="shared" ca="1" si="29"/>
        <v>5</v>
      </c>
      <c r="M911" t="s">
        <v>1810</v>
      </c>
      <c r="N911">
        <v>4</v>
      </c>
      <c r="O911" t="s">
        <v>1816</v>
      </c>
      <c r="P911" t="s">
        <v>1831</v>
      </c>
    </row>
    <row r="912" spans="1:16" x14ac:dyDescent="0.3">
      <c r="A912" t="s">
        <v>923</v>
      </c>
      <c r="B912" t="s">
        <v>1777</v>
      </c>
      <c r="C912">
        <v>51</v>
      </c>
      <c r="D912" t="s">
        <v>1783</v>
      </c>
      <c r="E912" t="s">
        <v>1789</v>
      </c>
      <c r="F912" t="s">
        <v>1800</v>
      </c>
      <c r="G912" s="5">
        <v>55568</v>
      </c>
      <c r="H912" t="s">
        <v>1803</v>
      </c>
      <c r="I912" t="s">
        <v>1806</v>
      </c>
      <c r="J912" s="2">
        <v>45225</v>
      </c>
      <c r="K912">
        <f t="shared" ca="1" si="28"/>
        <v>2</v>
      </c>
      <c r="L912">
        <f t="shared" ca="1" si="29"/>
        <v>1</v>
      </c>
      <c r="M912" t="s">
        <v>1809</v>
      </c>
      <c r="N912">
        <v>4</v>
      </c>
      <c r="O912" t="s">
        <v>1817</v>
      </c>
      <c r="P912" t="s">
        <v>1834</v>
      </c>
    </row>
    <row r="913" spans="1:16" x14ac:dyDescent="0.3">
      <c r="A913" t="s">
        <v>924</v>
      </c>
      <c r="B913" t="s">
        <v>1727</v>
      </c>
      <c r="C913">
        <v>40</v>
      </c>
      <c r="D913" t="s">
        <v>1784</v>
      </c>
      <c r="E913" t="s">
        <v>1793</v>
      </c>
      <c r="F913" t="s">
        <v>1800</v>
      </c>
      <c r="G913" s="5">
        <v>107417</v>
      </c>
      <c r="H913" t="s">
        <v>1805</v>
      </c>
      <c r="I913" t="s">
        <v>1808</v>
      </c>
      <c r="J913" s="2">
        <v>43514</v>
      </c>
      <c r="K913">
        <f t="shared" ca="1" si="28"/>
        <v>6</v>
      </c>
      <c r="L913">
        <f t="shared" ca="1" si="29"/>
        <v>9</v>
      </c>
      <c r="M913" t="s">
        <v>1809</v>
      </c>
      <c r="N913">
        <v>5</v>
      </c>
      <c r="O913" t="s">
        <v>1818</v>
      </c>
      <c r="P913" t="s">
        <v>1831</v>
      </c>
    </row>
    <row r="914" spans="1:16" x14ac:dyDescent="0.3">
      <c r="A914" t="s">
        <v>925</v>
      </c>
      <c r="B914" t="s">
        <v>1778</v>
      </c>
      <c r="C914">
        <v>55</v>
      </c>
      <c r="D914" t="s">
        <v>1783</v>
      </c>
      <c r="E914" t="s">
        <v>1791</v>
      </c>
      <c r="F914" t="s">
        <v>1796</v>
      </c>
      <c r="G914" s="5">
        <v>31801</v>
      </c>
      <c r="H914" t="s">
        <v>1803</v>
      </c>
      <c r="I914" t="s">
        <v>1807</v>
      </c>
      <c r="J914" s="2">
        <v>44773</v>
      </c>
      <c r="K914">
        <f t="shared" ca="1" si="28"/>
        <v>3</v>
      </c>
      <c r="L914">
        <f t="shared" ca="1" si="29"/>
        <v>4</v>
      </c>
      <c r="M914" t="s">
        <v>1810</v>
      </c>
      <c r="N914">
        <v>1</v>
      </c>
      <c r="O914" t="s">
        <v>1815</v>
      </c>
      <c r="P914" t="s">
        <v>1834</v>
      </c>
    </row>
    <row r="915" spans="1:16" x14ac:dyDescent="0.3">
      <c r="A915" t="s">
        <v>926</v>
      </c>
      <c r="B915" t="s">
        <v>1750</v>
      </c>
      <c r="C915">
        <v>49</v>
      </c>
      <c r="D915" t="s">
        <v>1785</v>
      </c>
      <c r="E915" t="s">
        <v>1793</v>
      </c>
      <c r="F915" t="s">
        <v>1800</v>
      </c>
      <c r="G915" s="5">
        <v>63735</v>
      </c>
      <c r="H915" t="s">
        <v>1803</v>
      </c>
      <c r="I915" t="s">
        <v>1806</v>
      </c>
      <c r="J915" s="2">
        <v>44629</v>
      </c>
      <c r="K915">
        <f t="shared" ca="1" si="28"/>
        <v>3</v>
      </c>
      <c r="L915">
        <f t="shared" ca="1" si="29"/>
        <v>9</v>
      </c>
      <c r="M915" t="s">
        <v>1810</v>
      </c>
      <c r="N915">
        <v>1</v>
      </c>
      <c r="O915" t="s">
        <v>1813</v>
      </c>
      <c r="P915" t="s">
        <v>1834</v>
      </c>
    </row>
    <row r="916" spans="1:16" x14ac:dyDescent="0.3">
      <c r="A916" t="s">
        <v>927</v>
      </c>
      <c r="B916" t="s">
        <v>1749</v>
      </c>
      <c r="C916">
        <v>26</v>
      </c>
      <c r="D916" t="s">
        <v>1784</v>
      </c>
      <c r="E916" t="s">
        <v>1787</v>
      </c>
      <c r="F916" t="s">
        <v>1800</v>
      </c>
      <c r="G916" s="5">
        <v>44145</v>
      </c>
      <c r="H916" t="s">
        <v>1804</v>
      </c>
      <c r="I916" t="s">
        <v>1807</v>
      </c>
      <c r="J916" s="2">
        <v>43737</v>
      </c>
      <c r="K916">
        <f t="shared" ca="1" si="28"/>
        <v>6</v>
      </c>
      <c r="L916">
        <f t="shared" ca="1" si="29"/>
        <v>2</v>
      </c>
      <c r="M916" t="s">
        <v>1810</v>
      </c>
      <c r="N916">
        <v>5</v>
      </c>
      <c r="O916" t="s">
        <v>1812</v>
      </c>
      <c r="P916" t="s">
        <v>1833</v>
      </c>
    </row>
    <row r="917" spans="1:16" x14ac:dyDescent="0.3">
      <c r="A917" t="s">
        <v>928</v>
      </c>
      <c r="B917" t="s">
        <v>1778</v>
      </c>
      <c r="C917">
        <v>50</v>
      </c>
      <c r="D917" t="s">
        <v>1783</v>
      </c>
      <c r="E917" t="s">
        <v>1788</v>
      </c>
      <c r="F917" t="s">
        <v>1797</v>
      </c>
      <c r="G917" s="5">
        <v>77582</v>
      </c>
      <c r="H917" t="s">
        <v>1805</v>
      </c>
      <c r="I917" t="s">
        <v>1807</v>
      </c>
      <c r="J917" s="2">
        <v>44362</v>
      </c>
      <c r="K917">
        <f t="shared" ca="1" si="28"/>
        <v>4</v>
      </c>
      <c r="L917">
        <f t="shared" ca="1" si="29"/>
        <v>5</v>
      </c>
      <c r="M917" t="s">
        <v>1809</v>
      </c>
      <c r="N917">
        <v>2</v>
      </c>
      <c r="O917" t="s">
        <v>1817</v>
      </c>
      <c r="P917" t="s">
        <v>1834</v>
      </c>
    </row>
    <row r="918" spans="1:16" x14ac:dyDescent="0.3">
      <c r="A918" t="s">
        <v>929</v>
      </c>
      <c r="B918" t="s">
        <v>1736</v>
      </c>
      <c r="C918">
        <v>58</v>
      </c>
      <c r="D918" t="s">
        <v>1784</v>
      </c>
      <c r="E918" t="s">
        <v>1792</v>
      </c>
      <c r="F918" t="s">
        <v>1799</v>
      </c>
      <c r="G918" s="5">
        <v>65381</v>
      </c>
      <c r="H918" t="s">
        <v>1803</v>
      </c>
      <c r="I918" t="s">
        <v>1808</v>
      </c>
      <c r="J918" s="2">
        <v>43312</v>
      </c>
      <c r="K918">
        <f t="shared" ca="1" si="28"/>
        <v>7</v>
      </c>
      <c r="L918">
        <f t="shared" ca="1" si="29"/>
        <v>4</v>
      </c>
      <c r="M918" t="s">
        <v>1809</v>
      </c>
      <c r="N918">
        <v>2</v>
      </c>
      <c r="O918" t="s">
        <v>1818</v>
      </c>
      <c r="P918" t="s">
        <v>1834</v>
      </c>
    </row>
    <row r="919" spans="1:16" x14ac:dyDescent="0.3">
      <c r="A919" t="s">
        <v>930</v>
      </c>
      <c r="B919" t="s">
        <v>1754</v>
      </c>
      <c r="C919">
        <v>36</v>
      </c>
      <c r="D919" t="s">
        <v>1785</v>
      </c>
      <c r="E919" t="s">
        <v>1791</v>
      </c>
      <c r="F919" t="s">
        <v>1798</v>
      </c>
      <c r="G919" s="5">
        <v>28956</v>
      </c>
      <c r="H919" t="s">
        <v>1801</v>
      </c>
      <c r="I919" t="s">
        <v>1808</v>
      </c>
      <c r="J919" s="2">
        <v>44097</v>
      </c>
      <c r="K919">
        <f t="shared" ca="1" si="28"/>
        <v>5</v>
      </c>
      <c r="L919">
        <f t="shared" ca="1" si="29"/>
        <v>2</v>
      </c>
      <c r="M919" t="s">
        <v>1809</v>
      </c>
      <c r="N919">
        <v>3</v>
      </c>
      <c r="O919" t="s">
        <v>1812</v>
      </c>
      <c r="P919" t="s">
        <v>1831</v>
      </c>
    </row>
    <row r="920" spans="1:16" x14ac:dyDescent="0.3">
      <c r="A920" t="s">
        <v>931</v>
      </c>
      <c r="B920" t="s">
        <v>1744</v>
      </c>
      <c r="C920">
        <v>33</v>
      </c>
      <c r="D920" t="s">
        <v>1785</v>
      </c>
      <c r="E920" t="s">
        <v>1788</v>
      </c>
      <c r="F920" t="s">
        <v>1799</v>
      </c>
      <c r="G920" s="5">
        <v>42127</v>
      </c>
      <c r="H920" t="s">
        <v>1801</v>
      </c>
      <c r="I920" t="s">
        <v>1807</v>
      </c>
      <c r="J920" s="2">
        <v>44193</v>
      </c>
      <c r="K920">
        <f t="shared" ca="1" si="28"/>
        <v>5</v>
      </c>
      <c r="L920">
        <f t="shared" ca="1" si="29"/>
        <v>11</v>
      </c>
      <c r="M920" t="s">
        <v>1810</v>
      </c>
      <c r="N920">
        <v>3</v>
      </c>
      <c r="O920" t="s">
        <v>1816</v>
      </c>
      <c r="P920" t="s">
        <v>1833</v>
      </c>
    </row>
    <row r="921" spans="1:16" x14ac:dyDescent="0.3">
      <c r="A921" t="s">
        <v>932</v>
      </c>
      <c r="B921" t="s">
        <v>1762</v>
      </c>
      <c r="C921">
        <v>46</v>
      </c>
      <c r="D921" t="s">
        <v>1784</v>
      </c>
      <c r="E921" t="s">
        <v>1790</v>
      </c>
      <c r="F921" t="s">
        <v>1794</v>
      </c>
      <c r="G921" s="5">
        <v>88189</v>
      </c>
      <c r="H921" t="s">
        <v>1802</v>
      </c>
      <c r="I921" t="s">
        <v>1806</v>
      </c>
      <c r="J921" s="2">
        <v>44227</v>
      </c>
      <c r="K921">
        <f t="shared" ca="1" si="28"/>
        <v>4</v>
      </c>
      <c r="L921">
        <f t="shared" ca="1" si="29"/>
        <v>10</v>
      </c>
      <c r="M921" t="s">
        <v>1810</v>
      </c>
      <c r="N921">
        <v>5</v>
      </c>
      <c r="O921" t="s">
        <v>1811</v>
      </c>
      <c r="P921" t="s">
        <v>1834</v>
      </c>
    </row>
    <row r="922" spans="1:16" x14ac:dyDescent="0.3">
      <c r="A922" t="s">
        <v>933</v>
      </c>
      <c r="B922" t="s">
        <v>1735</v>
      </c>
      <c r="C922">
        <v>58</v>
      </c>
      <c r="D922" t="s">
        <v>1783</v>
      </c>
      <c r="E922" t="s">
        <v>1793</v>
      </c>
      <c r="F922" t="s">
        <v>1794</v>
      </c>
      <c r="G922" s="5">
        <v>112728</v>
      </c>
      <c r="H922" t="s">
        <v>1805</v>
      </c>
      <c r="I922" t="s">
        <v>1806</v>
      </c>
      <c r="J922" s="2">
        <v>43030</v>
      </c>
      <c r="K922">
        <f t="shared" ca="1" si="28"/>
        <v>8</v>
      </c>
      <c r="L922">
        <f t="shared" ca="1" si="29"/>
        <v>1</v>
      </c>
      <c r="M922" t="s">
        <v>1810</v>
      </c>
      <c r="N922">
        <v>3</v>
      </c>
      <c r="O922" t="s">
        <v>1818</v>
      </c>
      <c r="P922" t="s">
        <v>1834</v>
      </c>
    </row>
    <row r="923" spans="1:16" x14ac:dyDescent="0.3">
      <c r="A923" t="s">
        <v>934</v>
      </c>
      <c r="B923" t="s">
        <v>1781</v>
      </c>
      <c r="C923">
        <v>29</v>
      </c>
      <c r="D923" t="s">
        <v>1784</v>
      </c>
      <c r="E923" t="s">
        <v>1789</v>
      </c>
      <c r="F923" t="s">
        <v>1799</v>
      </c>
      <c r="G923" s="5">
        <v>32890</v>
      </c>
      <c r="H923" t="s">
        <v>1803</v>
      </c>
      <c r="I923" t="s">
        <v>1808</v>
      </c>
      <c r="J923" s="2">
        <v>44570</v>
      </c>
      <c r="K923">
        <f t="shared" ca="1" si="28"/>
        <v>3</v>
      </c>
      <c r="L923">
        <f t="shared" ca="1" si="29"/>
        <v>11</v>
      </c>
      <c r="M923" t="s">
        <v>1809</v>
      </c>
      <c r="N923">
        <v>4</v>
      </c>
      <c r="O923" t="s">
        <v>1816</v>
      </c>
      <c r="P923" t="s">
        <v>1833</v>
      </c>
    </row>
    <row r="924" spans="1:16" x14ac:dyDescent="0.3">
      <c r="A924" t="s">
        <v>935</v>
      </c>
      <c r="B924" t="s">
        <v>1747</v>
      </c>
      <c r="C924">
        <v>57</v>
      </c>
      <c r="D924" t="s">
        <v>1783</v>
      </c>
      <c r="E924" t="s">
        <v>1792</v>
      </c>
      <c r="F924" t="s">
        <v>1794</v>
      </c>
      <c r="G924" s="5">
        <v>46655</v>
      </c>
      <c r="H924" t="s">
        <v>1802</v>
      </c>
      <c r="I924" t="s">
        <v>1808</v>
      </c>
      <c r="J924" s="2">
        <v>45290</v>
      </c>
      <c r="K924">
        <f t="shared" ca="1" si="28"/>
        <v>2</v>
      </c>
      <c r="L924">
        <f t="shared" ca="1" si="29"/>
        <v>11</v>
      </c>
      <c r="M924" t="s">
        <v>1809</v>
      </c>
      <c r="N924">
        <v>5</v>
      </c>
      <c r="O924" t="s">
        <v>1811</v>
      </c>
      <c r="P924" t="s">
        <v>1834</v>
      </c>
    </row>
    <row r="925" spans="1:16" x14ac:dyDescent="0.3">
      <c r="A925" t="s">
        <v>936</v>
      </c>
      <c r="B925" t="s">
        <v>1762</v>
      </c>
      <c r="C925">
        <v>33</v>
      </c>
      <c r="D925" t="s">
        <v>1783</v>
      </c>
      <c r="E925" t="s">
        <v>1792</v>
      </c>
      <c r="F925" t="s">
        <v>1799</v>
      </c>
      <c r="G925" s="5">
        <v>66530</v>
      </c>
      <c r="H925" t="s">
        <v>1804</v>
      </c>
      <c r="I925" t="s">
        <v>1807</v>
      </c>
      <c r="J925" s="2">
        <v>43674</v>
      </c>
      <c r="K925">
        <f t="shared" ca="1" si="28"/>
        <v>6</v>
      </c>
      <c r="L925">
        <f t="shared" ca="1" si="29"/>
        <v>4</v>
      </c>
      <c r="M925" t="s">
        <v>1810</v>
      </c>
      <c r="N925">
        <v>5</v>
      </c>
      <c r="O925" t="s">
        <v>1813</v>
      </c>
      <c r="P925" t="s">
        <v>1833</v>
      </c>
    </row>
    <row r="926" spans="1:16" x14ac:dyDescent="0.3">
      <c r="A926" t="s">
        <v>937</v>
      </c>
      <c r="B926" t="s">
        <v>1747</v>
      </c>
      <c r="C926">
        <v>49</v>
      </c>
      <c r="D926" t="s">
        <v>1784</v>
      </c>
      <c r="E926" t="s">
        <v>1787</v>
      </c>
      <c r="F926" t="s">
        <v>1796</v>
      </c>
      <c r="G926" s="5">
        <v>64101</v>
      </c>
      <c r="H926" t="s">
        <v>1805</v>
      </c>
      <c r="I926" t="s">
        <v>1808</v>
      </c>
      <c r="J926" s="2">
        <v>44580</v>
      </c>
      <c r="K926">
        <f t="shared" ca="1" si="28"/>
        <v>3</v>
      </c>
      <c r="L926">
        <f t="shared" ca="1" si="29"/>
        <v>10</v>
      </c>
      <c r="M926" t="s">
        <v>1810</v>
      </c>
      <c r="N926">
        <v>1</v>
      </c>
      <c r="O926" t="s">
        <v>1816</v>
      </c>
      <c r="P926" t="s">
        <v>1834</v>
      </c>
    </row>
    <row r="927" spans="1:16" x14ac:dyDescent="0.3">
      <c r="A927" t="s">
        <v>938</v>
      </c>
      <c r="B927" t="s">
        <v>1774</v>
      </c>
      <c r="C927">
        <v>43</v>
      </c>
      <c r="D927" t="s">
        <v>1783</v>
      </c>
      <c r="E927" t="s">
        <v>1791</v>
      </c>
      <c r="F927" t="s">
        <v>1800</v>
      </c>
      <c r="G927" s="5">
        <v>89141</v>
      </c>
      <c r="H927" t="s">
        <v>1803</v>
      </c>
      <c r="I927" t="s">
        <v>1808</v>
      </c>
      <c r="J927" s="2">
        <v>45899</v>
      </c>
      <c r="K927">
        <f t="shared" ca="1" si="28"/>
        <v>0</v>
      </c>
      <c r="L927">
        <f t="shared" ca="1" si="29"/>
        <v>3</v>
      </c>
      <c r="M927" t="s">
        <v>1810</v>
      </c>
      <c r="N927">
        <v>3</v>
      </c>
      <c r="O927" t="s">
        <v>1813</v>
      </c>
      <c r="P927" t="s">
        <v>1831</v>
      </c>
    </row>
    <row r="928" spans="1:16" x14ac:dyDescent="0.3">
      <c r="A928" t="s">
        <v>939</v>
      </c>
      <c r="B928" t="s">
        <v>1765</v>
      </c>
      <c r="C928">
        <v>26</v>
      </c>
      <c r="D928" t="s">
        <v>1783</v>
      </c>
      <c r="E928" t="s">
        <v>1792</v>
      </c>
      <c r="F928" t="s">
        <v>1800</v>
      </c>
      <c r="G928" s="5">
        <v>98774</v>
      </c>
      <c r="H928" t="s">
        <v>1801</v>
      </c>
      <c r="I928" t="s">
        <v>1808</v>
      </c>
      <c r="J928" s="2">
        <v>45509</v>
      </c>
      <c r="K928">
        <f t="shared" ca="1" si="28"/>
        <v>1</v>
      </c>
      <c r="L928">
        <f t="shared" ca="1" si="29"/>
        <v>4</v>
      </c>
      <c r="M928" t="s">
        <v>1809</v>
      </c>
      <c r="N928">
        <v>4</v>
      </c>
      <c r="O928" t="s">
        <v>1818</v>
      </c>
      <c r="P928" t="s">
        <v>1833</v>
      </c>
    </row>
    <row r="929" spans="1:16" x14ac:dyDescent="0.3">
      <c r="A929" t="s">
        <v>940</v>
      </c>
      <c r="B929" t="s">
        <v>1725</v>
      </c>
      <c r="C929">
        <v>46</v>
      </c>
      <c r="D929" t="s">
        <v>1783</v>
      </c>
      <c r="E929" t="s">
        <v>1786</v>
      </c>
      <c r="F929" t="s">
        <v>1800</v>
      </c>
      <c r="G929" s="5">
        <v>119827</v>
      </c>
      <c r="H929" t="s">
        <v>1805</v>
      </c>
      <c r="I929" t="s">
        <v>1808</v>
      </c>
      <c r="J929" s="2">
        <v>42906</v>
      </c>
      <c r="K929">
        <f t="shared" ca="1" si="28"/>
        <v>8</v>
      </c>
      <c r="L929">
        <f t="shared" ca="1" si="29"/>
        <v>5</v>
      </c>
      <c r="M929" t="s">
        <v>1809</v>
      </c>
      <c r="N929">
        <v>4</v>
      </c>
      <c r="O929" t="s">
        <v>1813</v>
      </c>
      <c r="P929" t="s">
        <v>1834</v>
      </c>
    </row>
    <row r="930" spans="1:16" x14ac:dyDescent="0.3">
      <c r="A930" t="s">
        <v>941</v>
      </c>
      <c r="B930" t="s">
        <v>1741</v>
      </c>
      <c r="C930">
        <v>49</v>
      </c>
      <c r="D930" t="s">
        <v>1784</v>
      </c>
      <c r="E930" t="s">
        <v>1787</v>
      </c>
      <c r="F930" t="s">
        <v>1796</v>
      </c>
      <c r="G930" s="5">
        <v>18996</v>
      </c>
      <c r="H930" t="s">
        <v>1802</v>
      </c>
      <c r="I930" t="s">
        <v>1806</v>
      </c>
      <c r="J930" s="2">
        <v>43599</v>
      </c>
      <c r="K930">
        <f t="shared" ca="1" si="28"/>
        <v>6</v>
      </c>
      <c r="L930">
        <f t="shared" ca="1" si="29"/>
        <v>6</v>
      </c>
      <c r="M930" t="s">
        <v>1810</v>
      </c>
      <c r="N930">
        <v>3</v>
      </c>
      <c r="O930" t="s">
        <v>1814</v>
      </c>
      <c r="P930" t="s">
        <v>1834</v>
      </c>
    </row>
    <row r="931" spans="1:16" x14ac:dyDescent="0.3">
      <c r="A931" t="s">
        <v>942</v>
      </c>
      <c r="B931" t="s">
        <v>1746</v>
      </c>
      <c r="C931">
        <v>35</v>
      </c>
      <c r="D931" t="s">
        <v>1783</v>
      </c>
      <c r="E931" t="s">
        <v>1787</v>
      </c>
      <c r="F931" t="s">
        <v>1797</v>
      </c>
      <c r="G931" s="5">
        <v>22282</v>
      </c>
      <c r="H931" t="s">
        <v>1801</v>
      </c>
      <c r="I931" t="s">
        <v>1807</v>
      </c>
      <c r="J931" s="2">
        <v>45675</v>
      </c>
      <c r="K931">
        <f t="shared" ca="1" si="28"/>
        <v>0</v>
      </c>
      <c r="L931">
        <f t="shared" ca="1" si="29"/>
        <v>10</v>
      </c>
      <c r="M931" t="s">
        <v>1810</v>
      </c>
      <c r="N931">
        <v>5</v>
      </c>
      <c r="O931" t="s">
        <v>1817</v>
      </c>
      <c r="P931" t="s">
        <v>1833</v>
      </c>
    </row>
    <row r="932" spans="1:16" x14ac:dyDescent="0.3">
      <c r="A932" t="s">
        <v>943</v>
      </c>
      <c r="B932" t="s">
        <v>1722</v>
      </c>
      <c r="C932">
        <v>56</v>
      </c>
      <c r="D932" t="s">
        <v>1784</v>
      </c>
      <c r="E932" t="s">
        <v>1786</v>
      </c>
      <c r="F932" t="s">
        <v>1800</v>
      </c>
      <c r="G932" s="5">
        <v>90841</v>
      </c>
      <c r="H932" t="s">
        <v>1802</v>
      </c>
      <c r="I932" t="s">
        <v>1806</v>
      </c>
      <c r="J932" s="2">
        <v>45077</v>
      </c>
      <c r="K932">
        <f t="shared" ca="1" si="28"/>
        <v>2</v>
      </c>
      <c r="L932">
        <f t="shared" ca="1" si="29"/>
        <v>6</v>
      </c>
      <c r="M932" t="s">
        <v>1810</v>
      </c>
      <c r="N932">
        <v>1</v>
      </c>
      <c r="O932" t="s">
        <v>1811</v>
      </c>
      <c r="P932" t="s">
        <v>1834</v>
      </c>
    </row>
    <row r="933" spans="1:16" x14ac:dyDescent="0.3">
      <c r="A933" t="s">
        <v>944</v>
      </c>
      <c r="B933" t="s">
        <v>1749</v>
      </c>
      <c r="C933">
        <v>44</v>
      </c>
      <c r="D933" t="s">
        <v>1785</v>
      </c>
      <c r="E933" t="s">
        <v>1791</v>
      </c>
      <c r="F933" t="s">
        <v>1796</v>
      </c>
      <c r="G933" s="5">
        <v>70837</v>
      </c>
      <c r="H933" t="s">
        <v>1805</v>
      </c>
      <c r="I933" t="s">
        <v>1807</v>
      </c>
      <c r="J933" s="2">
        <v>44229</v>
      </c>
      <c r="K933">
        <f t="shared" ca="1" si="28"/>
        <v>4</v>
      </c>
      <c r="L933">
        <f t="shared" ca="1" si="29"/>
        <v>10</v>
      </c>
      <c r="M933" t="s">
        <v>1809</v>
      </c>
      <c r="N933">
        <v>1</v>
      </c>
      <c r="O933" t="s">
        <v>1816</v>
      </c>
      <c r="P933" t="s">
        <v>1831</v>
      </c>
    </row>
    <row r="934" spans="1:16" x14ac:dyDescent="0.3">
      <c r="A934" t="s">
        <v>945</v>
      </c>
      <c r="B934" t="s">
        <v>1764</v>
      </c>
      <c r="C934">
        <v>56</v>
      </c>
      <c r="D934" t="s">
        <v>1784</v>
      </c>
      <c r="E934" t="s">
        <v>1788</v>
      </c>
      <c r="F934" t="s">
        <v>1798</v>
      </c>
      <c r="G934" s="5">
        <v>90470</v>
      </c>
      <c r="H934" t="s">
        <v>1804</v>
      </c>
      <c r="I934" t="s">
        <v>1807</v>
      </c>
      <c r="J934" s="2">
        <v>42819</v>
      </c>
      <c r="K934">
        <f t="shared" ca="1" si="28"/>
        <v>8</v>
      </c>
      <c r="L934">
        <f t="shared" ca="1" si="29"/>
        <v>8</v>
      </c>
      <c r="M934" t="s">
        <v>1809</v>
      </c>
      <c r="N934">
        <v>1</v>
      </c>
      <c r="O934" t="s">
        <v>1811</v>
      </c>
      <c r="P934" t="s">
        <v>1834</v>
      </c>
    </row>
    <row r="935" spans="1:16" x14ac:dyDescent="0.3">
      <c r="A935" t="s">
        <v>946</v>
      </c>
      <c r="B935" t="s">
        <v>1733</v>
      </c>
      <c r="C935">
        <v>57</v>
      </c>
      <c r="D935" t="s">
        <v>1783</v>
      </c>
      <c r="E935" t="s">
        <v>1792</v>
      </c>
      <c r="F935" t="s">
        <v>1794</v>
      </c>
      <c r="G935" s="5">
        <v>99015</v>
      </c>
      <c r="H935" t="s">
        <v>1805</v>
      </c>
      <c r="I935" t="s">
        <v>1807</v>
      </c>
      <c r="J935" s="2">
        <v>44780</v>
      </c>
      <c r="K935">
        <f t="shared" ca="1" si="28"/>
        <v>3</v>
      </c>
      <c r="L935">
        <f t="shared" ca="1" si="29"/>
        <v>4</v>
      </c>
      <c r="M935" t="s">
        <v>1810</v>
      </c>
      <c r="N935">
        <v>1</v>
      </c>
      <c r="O935" t="s">
        <v>1816</v>
      </c>
      <c r="P935" t="s">
        <v>1834</v>
      </c>
    </row>
    <row r="936" spans="1:16" x14ac:dyDescent="0.3">
      <c r="A936" t="s">
        <v>947</v>
      </c>
      <c r="B936" t="s">
        <v>1747</v>
      </c>
      <c r="C936">
        <v>42</v>
      </c>
      <c r="D936" t="s">
        <v>1783</v>
      </c>
      <c r="E936" t="s">
        <v>1786</v>
      </c>
      <c r="F936" t="s">
        <v>1798</v>
      </c>
      <c r="G936" s="5">
        <v>103527</v>
      </c>
      <c r="H936" t="s">
        <v>1804</v>
      </c>
      <c r="I936" t="s">
        <v>1807</v>
      </c>
      <c r="J936" s="2">
        <v>44631</v>
      </c>
      <c r="K936">
        <f t="shared" ca="1" si="28"/>
        <v>3</v>
      </c>
      <c r="L936">
        <f t="shared" ca="1" si="29"/>
        <v>8</v>
      </c>
      <c r="M936" t="s">
        <v>1809</v>
      </c>
      <c r="N936">
        <v>4</v>
      </c>
      <c r="O936" t="s">
        <v>1814</v>
      </c>
      <c r="P936" t="s">
        <v>1831</v>
      </c>
    </row>
    <row r="937" spans="1:16" x14ac:dyDescent="0.3">
      <c r="A937" t="s">
        <v>948</v>
      </c>
      <c r="B937" t="s">
        <v>1740</v>
      </c>
      <c r="C937">
        <v>25</v>
      </c>
      <c r="D937" t="s">
        <v>1783</v>
      </c>
      <c r="E937" t="s">
        <v>1792</v>
      </c>
      <c r="F937" t="s">
        <v>1795</v>
      </c>
      <c r="G937" s="5">
        <v>101674</v>
      </c>
      <c r="H937" t="s">
        <v>1801</v>
      </c>
      <c r="I937" t="s">
        <v>1807</v>
      </c>
      <c r="J937" s="2">
        <v>44318</v>
      </c>
      <c r="K937">
        <f t="shared" ca="1" si="28"/>
        <v>4</v>
      </c>
      <c r="L937">
        <f t="shared" ca="1" si="29"/>
        <v>7</v>
      </c>
      <c r="M937" t="s">
        <v>1809</v>
      </c>
      <c r="N937">
        <v>1</v>
      </c>
      <c r="O937" t="s">
        <v>1816</v>
      </c>
      <c r="P937" t="s">
        <v>1832</v>
      </c>
    </row>
    <row r="938" spans="1:16" x14ac:dyDescent="0.3">
      <c r="A938" t="s">
        <v>949</v>
      </c>
      <c r="B938" t="s">
        <v>1766</v>
      </c>
      <c r="C938">
        <v>31</v>
      </c>
      <c r="D938" t="s">
        <v>1783</v>
      </c>
      <c r="E938" t="s">
        <v>1793</v>
      </c>
      <c r="F938" t="s">
        <v>1799</v>
      </c>
      <c r="G938" s="5">
        <v>82781</v>
      </c>
      <c r="H938" t="s">
        <v>1804</v>
      </c>
      <c r="I938" t="s">
        <v>1807</v>
      </c>
      <c r="J938" s="2">
        <v>44038</v>
      </c>
      <c r="K938">
        <f t="shared" ca="1" si="28"/>
        <v>5</v>
      </c>
      <c r="L938">
        <f t="shared" ca="1" si="29"/>
        <v>4</v>
      </c>
      <c r="M938" t="s">
        <v>1809</v>
      </c>
      <c r="N938">
        <v>4</v>
      </c>
      <c r="O938" t="s">
        <v>1818</v>
      </c>
      <c r="P938" t="s">
        <v>1833</v>
      </c>
    </row>
    <row r="939" spans="1:16" x14ac:dyDescent="0.3">
      <c r="A939" t="s">
        <v>950</v>
      </c>
      <c r="B939" t="s">
        <v>1716</v>
      </c>
      <c r="C939">
        <v>51</v>
      </c>
      <c r="D939" t="s">
        <v>1785</v>
      </c>
      <c r="E939" t="s">
        <v>1793</v>
      </c>
      <c r="F939" t="s">
        <v>1794</v>
      </c>
      <c r="G939" s="5">
        <v>45563</v>
      </c>
      <c r="H939" t="s">
        <v>1803</v>
      </c>
      <c r="I939" t="s">
        <v>1808</v>
      </c>
      <c r="J939" s="2">
        <v>43722</v>
      </c>
      <c r="K939">
        <f t="shared" ca="1" si="28"/>
        <v>6</v>
      </c>
      <c r="L939">
        <f t="shared" ca="1" si="29"/>
        <v>2</v>
      </c>
      <c r="M939" t="s">
        <v>1810</v>
      </c>
      <c r="N939">
        <v>2</v>
      </c>
      <c r="O939" t="s">
        <v>1816</v>
      </c>
      <c r="P939" t="s">
        <v>1834</v>
      </c>
    </row>
    <row r="940" spans="1:16" x14ac:dyDescent="0.3">
      <c r="A940" t="s">
        <v>951</v>
      </c>
      <c r="B940" t="s">
        <v>1767</v>
      </c>
      <c r="C940">
        <v>31</v>
      </c>
      <c r="D940" t="s">
        <v>1785</v>
      </c>
      <c r="E940" t="s">
        <v>1792</v>
      </c>
      <c r="F940" t="s">
        <v>1796</v>
      </c>
      <c r="G940" s="5">
        <v>33362</v>
      </c>
      <c r="H940" t="s">
        <v>1804</v>
      </c>
      <c r="I940" t="s">
        <v>1808</v>
      </c>
      <c r="J940" s="2">
        <v>44952</v>
      </c>
      <c r="K940">
        <f t="shared" ca="1" si="28"/>
        <v>2</v>
      </c>
      <c r="L940">
        <f t="shared" ca="1" si="29"/>
        <v>10</v>
      </c>
      <c r="M940" t="s">
        <v>1809</v>
      </c>
      <c r="N940">
        <v>2</v>
      </c>
      <c r="O940" t="s">
        <v>1814</v>
      </c>
      <c r="P940" t="s">
        <v>1833</v>
      </c>
    </row>
    <row r="941" spans="1:16" x14ac:dyDescent="0.3">
      <c r="A941" t="s">
        <v>952</v>
      </c>
      <c r="B941" t="s">
        <v>1769</v>
      </c>
      <c r="C941">
        <v>58</v>
      </c>
      <c r="D941" t="s">
        <v>1783</v>
      </c>
      <c r="E941" t="s">
        <v>1792</v>
      </c>
      <c r="F941" t="s">
        <v>1795</v>
      </c>
      <c r="G941" s="5">
        <v>85894</v>
      </c>
      <c r="H941" t="s">
        <v>1802</v>
      </c>
      <c r="I941" t="s">
        <v>1807</v>
      </c>
      <c r="J941" s="2">
        <v>45988</v>
      </c>
      <c r="K941">
        <f t="shared" ca="1" si="28"/>
        <v>0</v>
      </c>
      <c r="L941">
        <f t="shared" ca="1" si="29"/>
        <v>0</v>
      </c>
      <c r="M941" t="s">
        <v>1810</v>
      </c>
      <c r="N941">
        <v>1</v>
      </c>
      <c r="O941" t="s">
        <v>1815</v>
      </c>
      <c r="P941" t="s">
        <v>1834</v>
      </c>
    </row>
    <row r="942" spans="1:16" x14ac:dyDescent="0.3">
      <c r="A942" t="s">
        <v>953</v>
      </c>
      <c r="B942" t="s">
        <v>1740</v>
      </c>
      <c r="C942">
        <v>28</v>
      </c>
      <c r="D942" t="s">
        <v>1783</v>
      </c>
      <c r="E942" t="s">
        <v>1793</v>
      </c>
      <c r="F942" t="s">
        <v>1794</v>
      </c>
      <c r="G942" s="5">
        <v>113386</v>
      </c>
      <c r="H942" t="s">
        <v>1802</v>
      </c>
      <c r="I942" t="s">
        <v>1808</v>
      </c>
      <c r="J942" s="2">
        <v>43558</v>
      </c>
      <c r="K942">
        <f t="shared" ca="1" si="28"/>
        <v>6</v>
      </c>
      <c r="L942">
        <f t="shared" ca="1" si="29"/>
        <v>8</v>
      </c>
      <c r="M942" t="s">
        <v>1810</v>
      </c>
      <c r="N942">
        <v>2</v>
      </c>
      <c r="O942" t="s">
        <v>1813</v>
      </c>
      <c r="P942" t="s">
        <v>1833</v>
      </c>
    </row>
    <row r="943" spans="1:16" x14ac:dyDescent="0.3">
      <c r="A943" t="s">
        <v>954</v>
      </c>
      <c r="B943" t="s">
        <v>1758</v>
      </c>
      <c r="C943">
        <v>55</v>
      </c>
      <c r="D943" t="s">
        <v>1785</v>
      </c>
      <c r="E943" t="s">
        <v>1788</v>
      </c>
      <c r="F943" t="s">
        <v>1794</v>
      </c>
      <c r="G943" s="5">
        <v>79216</v>
      </c>
      <c r="H943" t="s">
        <v>1803</v>
      </c>
      <c r="I943" t="s">
        <v>1808</v>
      </c>
      <c r="J943" s="2">
        <v>44537</v>
      </c>
      <c r="K943">
        <f t="shared" ca="1" si="28"/>
        <v>4</v>
      </c>
      <c r="L943">
        <f t="shared" ca="1" si="29"/>
        <v>0</v>
      </c>
      <c r="M943" t="s">
        <v>1810</v>
      </c>
      <c r="N943">
        <v>2</v>
      </c>
      <c r="O943" t="s">
        <v>1814</v>
      </c>
      <c r="P943" t="s">
        <v>1834</v>
      </c>
    </row>
    <row r="944" spans="1:16" x14ac:dyDescent="0.3">
      <c r="A944" t="s">
        <v>955</v>
      </c>
      <c r="B944" t="s">
        <v>1776</v>
      </c>
      <c r="C944">
        <v>37</v>
      </c>
      <c r="D944" t="s">
        <v>1784</v>
      </c>
      <c r="E944" t="s">
        <v>1793</v>
      </c>
      <c r="F944" t="s">
        <v>1799</v>
      </c>
      <c r="G944" s="5">
        <v>94499</v>
      </c>
      <c r="H944" t="s">
        <v>1805</v>
      </c>
      <c r="I944" t="s">
        <v>1808</v>
      </c>
      <c r="J944" s="2">
        <v>43116</v>
      </c>
      <c r="K944">
        <f t="shared" ca="1" si="28"/>
        <v>7</v>
      </c>
      <c r="L944">
        <f t="shared" ca="1" si="29"/>
        <v>10</v>
      </c>
      <c r="M944" t="s">
        <v>1809</v>
      </c>
      <c r="N944">
        <v>4</v>
      </c>
      <c r="O944" t="s">
        <v>1811</v>
      </c>
      <c r="P944" t="s">
        <v>1831</v>
      </c>
    </row>
    <row r="945" spans="1:16" x14ac:dyDescent="0.3">
      <c r="A945" t="s">
        <v>956</v>
      </c>
      <c r="B945" t="s">
        <v>1774</v>
      </c>
      <c r="C945">
        <v>58</v>
      </c>
      <c r="D945" t="s">
        <v>1785</v>
      </c>
      <c r="E945" t="s">
        <v>1788</v>
      </c>
      <c r="F945" t="s">
        <v>1795</v>
      </c>
      <c r="G945" s="5">
        <v>59779</v>
      </c>
      <c r="H945" t="s">
        <v>1801</v>
      </c>
      <c r="I945" t="s">
        <v>1806</v>
      </c>
      <c r="J945" s="2">
        <v>44006</v>
      </c>
      <c r="K945">
        <f t="shared" ca="1" si="28"/>
        <v>5</v>
      </c>
      <c r="L945">
        <f t="shared" ca="1" si="29"/>
        <v>5</v>
      </c>
      <c r="M945" t="s">
        <v>1810</v>
      </c>
      <c r="N945">
        <v>2</v>
      </c>
      <c r="O945" t="s">
        <v>1817</v>
      </c>
      <c r="P945" t="s">
        <v>1834</v>
      </c>
    </row>
    <row r="946" spans="1:16" x14ac:dyDescent="0.3">
      <c r="A946" t="s">
        <v>957</v>
      </c>
      <c r="B946" t="s">
        <v>1758</v>
      </c>
      <c r="C946">
        <v>24</v>
      </c>
      <c r="D946" t="s">
        <v>1784</v>
      </c>
      <c r="E946" t="s">
        <v>1791</v>
      </c>
      <c r="F946" t="s">
        <v>1795</v>
      </c>
      <c r="G946" s="5">
        <v>22424</v>
      </c>
      <c r="H946" t="s">
        <v>1804</v>
      </c>
      <c r="I946" t="s">
        <v>1806</v>
      </c>
      <c r="J946" s="2">
        <v>44116</v>
      </c>
      <c r="K946">
        <f t="shared" ca="1" si="28"/>
        <v>5</v>
      </c>
      <c r="L946">
        <f t="shared" ca="1" si="29"/>
        <v>1</v>
      </c>
      <c r="M946" t="s">
        <v>1810</v>
      </c>
      <c r="N946">
        <v>5</v>
      </c>
      <c r="O946" t="s">
        <v>1817</v>
      </c>
      <c r="P946" t="s">
        <v>1832</v>
      </c>
    </row>
    <row r="947" spans="1:16" x14ac:dyDescent="0.3">
      <c r="A947" t="s">
        <v>958</v>
      </c>
      <c r="B947" t="s">
        <v>1716</v>
      </c>
      <c r="C947">
        <v>27</v>
      </c>
      <c r="D947" t="s">
        <v>1783</v>
      </c>
      <c r="E947" t="s">
        <v>1789</v>
      </c>
      <c r="F947" t="s">
        <v>1799</v>
      </c>
      <c r="G947" s="5">
        <v>74280</v>
      </c>
      <c r="H947" t="s">
        <v>1802</v>
      </c>
      <c r="I947" t="s">
        <v>1808</v>
      </c>
      <c r="J947" s="2">
        <v>43442</v>
      </c>
      <c r="K947">
        <f t="shared" ca="1" si="28"/>
        <v>7</v>
      </c>
      <c r="L947">
        <f t="shared" ca="1" si="29"/>
        <v>0</v>
      </c>
      <c r="M947" t="s">
        <v>1809</v>
      </c>
      <c r="N947">
        <v>2</v>
      </c>
      <c r="O947" t="s">
        <v>1817</v>
      </c>
      <c r="P947" t="s">
        <v>1833</v>
      </c>
    </row>
    <row r="948" spans="1:16" x14ac:dyDescent="0.3">
      <c r="A948" t="s">
        <v>959</v>
      </c>
      <c r="B948" t="s">
        <v>1722</v>
      </c>
      <c r="C948">
        <v>40</v>
      </c>
      <c r="D948" t="s">
        <v>1783</v>
      </c>
      <c r="E948" t="s">
        <v>1792</v>
      </c>
      <c r="F948" t="s">
        <v>1794</v>
      </c>
      <c r="G948" s="5">
        <v>59758</v>
      </c>
      <c r="H948" t="s">
        <v>1801</v>
      </c>
      <c r="I948" t="s">
        <v>1806</v>
      </c>
      <c r="J948" s="2">
        <v>43785</v>
      </c>
      <c r="K948">
        <f t="shared" ca="1" si="28"/>
        <v>6</v>
      </c>
      <c r="L948">
        <f t="shared" ca="1" si="29"/>
        <v>0</v>
      </c>
      <c r="M948" t="s">
        <v>1809</v>
      </c>
      <c r="N948">
        <v>4</v>
      </c>
      <c r="O948" t="s">
        <v>1817</v>
      </c>
      <c r="P948" t="s">
        <v>1831</v>
      </c>
    </row>
    <row r="949" spans="1:16" x14ac:dyDescent="0.3">
      <c r="A949" t="s">
        <v>960</v>
      </c>
      <c r="B949" t="s">
        <v>1730</v>
      </c>
      <c r="C949">
        <v>24</v>
      </c>
      <c r="D949" t="s">
        <v>1784</v>
      </c>
      <c r="E949" t="s">
        <v>1788</v>
      </c>
      <c r="F949" t="s">
        <v>1798</v>
      </c>
      <c r="G949" s="5">
        <v>96879</v>
      </c>
      <c r="H949" t="s">
        <v>1805</v>
      </c>
      <c r="I949" t="s">
        <v>1807</v>
      </c>
      <c r="J949" s="2">
        <v>42859</v>
      </c>
      <c r="K949">
        <f t="shared" ca="1" si="28"/>
        <v>8</v>
      </c>
      <c r="L949">
        <f t="shared" ca="1" si="29"/>
        <v>7</v>
      </c>
      <c r="M949" t="s">
        <v>1810</v>
      </c>
      <c r="N949">
        <v>5</v>
      </c>
      <c r="O949" t="s">
        <v>1813</v>
      </c>
      <c r="P949" t="s">
        <v>1832</v>
      </c>
    </row>
    <row r="950" spans="1:16" x14ac:dyDescent="0.3">
      <c r="A950" t="s">
        <v>961</v>
      </c>
      <c r="B950" t="s">
        <v>1760</v>
      </c>
      <c r="C950">
        <v>46</v>
      </c>
      <c r="D950" t="s">
        <v>1785</v>
      </c>
      <c r="E950" t="s">
        <v>1787</v>
      </c>
      <c r="F950" t="s">
        <v>1799</v>
      </c>
      <c r="G950" s="5">
        <v>59652</v>
      </c>
      <c r="H950" t="s">
        <v>1804</v>
      </c>
      <c r="I950" t="s">
        <v>1807</v>
      </c>
      <c r="J950" s="2">
        <v>43245</v>
      </c>
      <c r="K950">
        <f t="shared" ca="1" si="28"/>
        <v>7</v>
      </c>
      <c r="L950">
        <f t="shared" ca="1" si="29"/>
        <v>6</v>
      </c>
      <c r="M950" t="s">
        <v>1809</v>
      </c>
      <c r="N950">
        <v>4</v>
      </c>
      <c r="O950" t="s">
        <v>1812</v>
      </c>
      <c r="P950" t="s">
        <v>1834</v>
      </c>
    </row>
    <row r="951" spans="1:16" x14ac:dyDescent="0.3">
      <c r="A951" t="s">
        <v>962</v>
      </c>
      <c r="B951" t="s">
        <v>1740</v>
      </c>
      <c r="C951">
        <v>46</v>
      </c>
      <c r="D951" t="s">
        <v>1783</v>
      </c>
      <c r="E951" t="s">
        <v>1793</v>
      </c>
      <c r="F951" t="s">
        <v>1798</v>
      </c>
      <c r="G951" s="5">
        <v>77347</v>
      </c>
      <c r="H951" t="s">
        <v>1805</v>
      </c>
      <c r="I951" t="s">
        <v>1808</v>
      </c>
      <c r="J951" s="2">
        <v>44859</v>
      </c>
      <c r="K951">
        <f t="shared" ca="1" si="28"/>
        <v>3</v>
      </c>
      <c r="L951">
        <f t="shared" ca="1" si="29"/>
        <v>1</v>
      </c>
      <c r="M951" t="s">
        <v>1810</v>
      </c>
      <c r="N951">
        <v>2</v>
      </c>
      <c r="O951" t="s">
        <v>1818</v>
      </c>
      <c r="P951" t="s">
        <v>1834</v>
      </c>
    </row>
    <row r="952" spans="1:16" x14ac:dyDescent="0.3">
      <c r="A952" t="s">
        <v>963</v>
      </c>
      <c r="B952" t="s">
        <v>1767</v>
      </c>
      <c r="C952">
        <v>56</v>
      </c>
      <c r="D952" t="s">
        <v>1783</v>
      </c>
      <c r="E952" t="s">
        <v>1790</v>
      </c>
      <c r="F952" t="s">
        <v>1798</v>
      </c>
      <c r="G952" s="5">
        <v>55272</v>
      </c>
      <c r="H952" t="s">
        <v>1803</v>
      </c>
      <c r="I952" t="s">
        <v>1807</v>
      </c>
      <c r="J952" s="2">
        <v>44623</v>
      </c>
      <c r="K952">
        <f t="shared" ca="1" si="28"/>
        <v>3</v>
      </c>
      <c r="L952">
        <f t="shared" ca="1" si="29"/>
        <v>9</v>
      </c>
      <c r="M952" t="s">
        <v>1809</v>
      </c>
      <c r="N952">
        <v>3</v>
      </c>
      <c r="O952" t="s">
        <v>1818</v>
      </c>
      <c r="P952" t="s">
        <v>1834</v>
      </c>
    </row>
    <row r="953" spans="1:16" x14ac:dyDescent="0.3">
      <c r="A953" t="s">
        <v>964</v>
      </c>
      <c r="B953" t="s">
        <v>1718</v>
      </c>
      <c r="C953">
        <v>26</v>
      </c>
      <c r="D953" t="s">
        <v>1784</v>
      </c>
      <c r="E953" t="s">
        <v>1788</v>
      </c>
      <c r="F953" t="s">
        <v>1796</v>
      </c>
      <c r="G953" s="5">
        <v>54002</v>
      </c>
      <c r="H953" t="s">
        <v>1804</v>
      </c>
      <c r="I953" t="s">
        <v>1808</v>
      </c>
      <c r="J953" s="2">
        <v>42764</v>
      </c>
      <c r="K953">
        <f t="shared" ca="1" si="28"/>
        <v>8</v>
      </c>
      <c r="L953">
        <f t="shared" ca="1" si="29"/>
        <v>10</v>
      </c>
      <c r="M953" t="s">
        <v>1810</v>
      </c>
      <c r="N953">
        <v>4</v>
      </c>
      <c r="O953" t="s">
        <v>1818</v>
      </c>
      <c r="P953" t="s">
        <v>1833</v>
      </c>
    </row>
    <row r="954" spans="1:16" x14ac:dyDescent="0.3">
      <c r="A954" t="s">
        <v>965</v>
      </c>
      <c r="B954" t="s">
        <v>1754</v>
      </c>
      <c r="C954">
        <v>49</v>
      </c>
      <c r="D954" t="s">
        <v>1784</v>
      </c>
      <c r="E954" t="s">
        <v>1793</v>
      </c>
      <c r="F954" t="s">
        <v>1795</v>
      </c>
      <c r="G954" s="5">
        <v>67008</v>
      </c>
      <c r="H954" t="s">
        <v>1801</v>
      </c>
      <c r="I954" t="s">
        <v>1807</v>
      </c>
      <c r="J954" s="2">
        <v>43355</v>
      </c>
      <c r="K954">
        <f t="shared" ca="1" si="28"/>
        <v>7</v>
      </c>
      <c r="L954">
        <f t="shared" ca="1" si="29"/>
        <v>2</v>
      </c>
      <c r="M954" t="s">
        <v>1809</v>
      </c>
      <c r="N954">
        <v>1</v>
      </c>
      <c r="O954" t="s">
        <v>1816</v>
      </c>
      <c r="P954" t="s">
        <v>1834</v>
      </c>
    </row>
    <row r="955" spans="1:16" x14ac:dyDescent="0.3">
      <c r="A955" t="s">
        <v>966</v>
      </c>
      <c r="B955" t="s">
        <v>1757</v>
      </c>
      <c r="C955">
        <v>47</v>
      </c>
      <c r="D955" t="s">
        <v>1783</v>
      </c>
      <c r="E955" t="s">
        <v>1791</v>
      </c>
      <c r="F955" t="s">
        <v>1798</v>
      </c>
      <c r="G955" s="5">
        <v>29536</v>
      </c>
      <c r="H955" t="s">
        <v>1804</v>
      </c>
      <c r="I955" t="s">
        <v>1806</v>
      </c>
      <c r="J955" s="2">
        <v>42458</v>
      </c>
      <c r="K955">
        <f t="shared" ca="1" si="28"/>
        <v>9</v>
      </c>
      <c r="L955">
        <f t="shared" ca="1" si="29"/>
        <v>8</v>
      </c>
      <c r="M955" t="s">
        <v>1809</v>
      </c>
      <c r="N955">
        <v>3</v>
      </c>
      <c r="O955" t="s">
        <v>1818</v>
      </c>
      <c r="P955" t="s">
        <v>1834</v>
      </c>
    </row>
    <row r="956" spans="1:16" x14ac:dyDescent="0.3">
      <c r="A956" t="s">
        <v>967</v>
      </c>
      <c r="B956" t="s">
        <v>1713</v>
      </c>
      <c r="C956">
        <v>39</v>
      </c>
      <c r="D956" t="s">
        <v>1783</v>
      </c>
      <c r="E956" t="s">
        <v>1788</v>
      </c>
      <c r="F956" t="s">
        <v>1794</v>
      </c>
      <c r="G956" s="5">
        <v>61165</v>
      </c>
      <c r="H956" t="s">
        <v>1805</v>
      </c>
      <c r="I956" t="s">
        <v>1808</v>
      </c>
      <c r="J956" s="2">
        <v>43543</v>
      </c>
      <c r="K956">
        <f t="shared" ca="1" si="28"/>
        <v>6</v>
      </c>
      <c r="L956">
        <f t="shared" ca="1" si="29"/>
        <v>8</v>
      </c>
      <c r="M956" t="s">
        <v>1809</v>
      </c>
      <c r="N956">
        <v>2</v>
      </c>
      <c r="O956" t="s">
        <v>1812</v>
      </c>
      <c r="P956" t="s">
        <v>1831</v>
      </c>
    </row>
    <row r="957" spans="1:16" x14ac:dyDescent="0.3">
      <c r="A957" t="s">
        <v>968</v>
      </c>
      <c r="B957" t="s">
        <v>1769</v>
      </c>
      <c r="C957">
        <v>40</v>
      </c>
      <c r="D957" t="s">
        <v>1783</v>
      </c>
      <c r="E957" t="s">
        <v>1787</v>
      </c>
      <c r="F957" t="s">
        <v>1800</v>
      </c>
      <c r="G957" s="5">
        <v>101480</v>
      </c>
      <c r="H957" t="s">
        <v>1801</v>
      </c>
      <c r="I957" t="s">
        <v>1806</v>
      </c>
      <c r="J957" s="2">
        <v>44599</v>
      </c>
      <c r="K957">
        <f t="shared" ca="1" si="28"/>
        <v>3</v>
      </c>
      <c r="L957">
        <f t="shared" ca="1" si="29"/>
        <v>10</v>
      </c>
      <c r="M957" t="s">
        <v>1809</v>
      </c>
      <c r="N957">
        <v>5</v>
      </c>
      <c r="O957" t="s">
        <v>1812</v>
      </c>
      <c r="P957" t="s">
        <v>1831</v>
      </c>
    </row>
    <row r="958" spans="1:16" x14ac:dyDescent="0.3">
      <c r="A958" t="s">
        <v>969</v>
      </c>
      <c r="B958" t="s">
        <v>1737</v>
      </c>
      <c r="C958">
        <v>40</v>
      </c>
      <c r="D958" t="s">
        <v>1785</v>
      </c>
      <c r="E958" t="s">
        <v>1790</v>
      </c>
      <c r="F958" t="s">
        <v>1797</v>
      </c>
      <c r="G958" s="5">
        <v>47600</v>
      </c>
      <c r="H958" t="s">
        <v>1804</v>
      </c>
      <c r="I958" t="s">
        <v>1808</v>
      </c>
      <c r="J958" s="2">
        <v>45351</v>
      </c>
      <c r="K958">
        <f t="shared" ca="1" si="28"/>
        <v>1</v>
      </c>
      <c r="L958">
        <f t="shared" ca="1" si="29"/>
        <v>9</v>
      </c>
      <c r="M958" t="s">
        <v>1809</v>
      </c>
      <c r="N958">
        <v>3</v>
      </c>
      <c r="O958" t="s">
        <v>1815</v>
      </c>
      <c r="P958" t="s">
        <v>1831</v>
      </c>
    </row>
    <row r="959" spans="1:16" x14ac:dyDescent="0.3">
      <c r="A959" t="s">
        <v>970</v>
      </c>
      <c r="B959" t="s">
        <v>1778</v>
      </c>
      <c r="C959">
        <v>24</v>
      </c>
      <c r="D959" t="s">
        <v>1783</v>
      </c>
      <c r="E959" t="s">
        <v>1790</v>
      </c>
      <c r="F959" t="s">
        <v>1798</v>
      </c>
      <c r="G959" s="5">
        <v>25899</v>
      </c>
      <c r="H959" t="s">
        <v>1801</v>
      </c>
      <c r="I959" t="s">
        <v>1806</v>
      </c>
      <c r="J959" s="2">
        <v>43323</v>
      </c>
      <c r="K959">
        <f t="shared" ca="1" si="28"/>
        <v>7</v>
      </c>
      <c r="L959">
        <f t="shared" ca="1" si="29"/>
        <v>3</v>
      </c>
      <c r="M959" t="s">
        <v>1810</v>
      </c>
      <c r="N959">
        <v>4</v>
      </c>
      <c r="O959" t="s">
        <v>1815</v>
      </c>
      <c r="P959" t="s">
        <v>1832</v>
      </c>
    </row>
    <row r="960" spans="1:16" x14ac:dyDescent="0.3">
      <c r="A960" t="s">
        <v>971</v>
      </c>
      <c r="B960" t="s">
        <v>1726</v>
      </c>
      <c r="C960">
        <v>41</v>
      </c>
      <c r="D960" t="s">
        <v>1783</v>
      </c>
      <c r="E960" t="s">
        <v>1789</v>
      </c>
      <c r="F960" t="s">
        <v>1796</v>
      </c>
      <c r="G960" s="5">
        <v>117678</v>
      </c>
      <c r="H960" t="s">
        <v>1803</v>
      </c>
      <c r="I960" t="s">
        <v>1806</v>
      </c>
      <c r="J960" s="2">
        <v>43068</v>
      </c>
      <c r="K960">
        <f t="shared" ca="1" si="28"/>
        <v>8</v>
      </c>
      <c r="L960">
        <f t="shared" ca="1" si="29"/>
        <v>0</v>
      </c>
      <c r="M960" t="s">
        <v>1809</v>
      </c>
      <c r="N960">
        <v>2</v>
      </c>
      <c r="O960" t="s">
        <v>1815</v>
      </c>
      <c r="P960" t="s">
        <v>1831</v>
      </c>
    </row>
    <row r="961" spans="1:16" x14ac:dyDescent="0.3">
      <c r="A961" t="s">
        <v>972</v>
      </c>
      <c r="B961" t="s">
        <v>1731</v>
      </c>
      <c r="C961">
        <v>48</v>
      </c>
      <c r="D961" t="s">
        <v>1785</v>
      </c>
      <c r="E961" t="s">
        <v>1786</v>
      </c>
      <c r="F961" t="s">
        <v>1798</v>
      </c>
      <c r="G961" s="5">
        <v>70455</v>
      </c>
      <c r="H961" t="s">
        <v>1801</v>
      </c>
      <c r="I961" t="s">
        <v>1808</v>
      </c>
      <c r="J961" s="2">
        <v>44170</v>
      </c>
      <c r="K961">
        <f t="shared" ca="1" si="28"/>
        <v>5</v>
      </c>
      <c r="L961">
        <f t="shared" ca="1" si="29"/>
        <v>0</v>
      </c>
      <c r="M961" t="s">
        <v>1809</v>
      </c>
      <c r="N961">
        <v>3</v>
      </c>
      <c r="O961" t="s">
        <v>1813</v>
      </c>
      <c r="P961" t="s">
        <v>1834</v>
      </c>
    </row>
    <row r="962" spans="1:16" x14ac:dyDescent="0.3">
      <c r="A962" t="s">
        <v>973</v>
      </c>
      <c r="B962" t="s">
        <v>1781</v>
      </c>
      <c r="C962">
        <v>26</v>
      </c>
      <c r="D962" t="s">
        <v>1785</v>
      </c>
      <c r="E962" t="s">
        <v>1793</v>
      </c>
      <c r="F962" t="s">
        <v>1797</v>
      </c>
      <c r="G962" s="5">
        <v>49531</v>
      </c>
      <c r="H962" t="s">
        <v>1803</v>
      </c>
      <c r="I962" t="s">
        <v>1807</v>
      </c>
      <c r="J962" s="2">
        <v>43530</v>
      </c>
      <c r="K962">
        <f t="shared" ca="1" si="28"/>
        <v>6</v>
      </c>
      <c r="L962">
        <f t="shared" ca="1" si="29"/>
        <v>9</v>
      </c>
      <c r="M962" t="s">
        <v>1809</v>
      </c>
      <c r="N962">
        <v>4</v>
      </c>
      <c r="O962" t="s">
        <v>1812</v>
      </c>
      <c r="P962" t="s">
        <v>1833</v>
      </c>
    </row>
    <row r="963" spans="1:16" x14ac:dyDescent="0.3">
      <c r="A963" t="s">
        <v>974</v>
      </c>
      <c r="B963" t="s">
        <v>1775</v>
      </c>
      <c r="C963">
        <v>27</v>
      </c>
      <c r="D963" t="s">
        <v>1785</v>
      </c>
      <c r="E963" t="s">
        <v>1793</v>
      </c>
      <c r="F963" t="s">
        <v>1800</v>
      </c>
      <c r="G963" s="5">
        <v>64455</v>
      </c>
      <c r="H963" t="s">
        <v>1802</v>
      </c>
      <c r="I963" t="s">
        <v>1807</v>
      </c>
      <c r="J963" s="2">
        <v>44063</v>
      </c>
      <c r="K963">
        <f t="shared" ref="K963:K1026" ca="1" si="30">YEAR(TODAY()) - YEAR(J963)</f>
        <v>5</v>
      </c>
      <c r="L963">
        <f t="shared" ref="L963:L1026" ca="1" si="31">DATEDIF(J963,TODAY(),"YM")</f>
        <v>3</v>
      </c>
      <c r="M963" t="s">
        <v>1810</v>
      </c>
      <c r="N963">
        <v>5</v>
      </c>
      <c r="O963" t="s">
        <v>1817</v>
      </c>
      <c r="P963" t="s">
        <v>1833</v>
      </c>
    </row>
    <row r="964" spans="1:16" x14ac:dyDescent="0.3">
      <c r="A964" t="s">
        <v>975</v>
      </c>
      <c r="B964" t="s">
        <v>1768</v>
      </c>
      <c r="C964">
        <v>37</v>
      </c>
      <c r="D964" t="s">
        <v>1784</v>
      </c>
      <c r="E964" t="s">
        <v>1793</v>
      </c>
      <c r="F964" t="s">
        <v>1794</v>
      </c>
      <c r="G964" s="5">
        <v>24440</v>
      </c>
      <c r="H964" t="s">
        <v>1803</v>
      </c>
      <c r="I964" t="s">
        <v>1806</v>
      </c>
      <c r="J964" s="2">
        <v>44168</v>
      </c>
      <c r="K964">
        <f t="shared" ca="1" si="30"/>
        <v>5</v>
      </c>
      <c r="L964">
        <f t="shared" ca="1" si="31"/>
        <v>0</v>
      </c>
      <c r="M964" t="s">
        <v>1809</v>
      </c>
      <c r="N964">
        <v>3</v>
      </c>
      <c r="O964" t="s">
        <v>1815</v>
      </c>
      <c r="P964" t="s">
        <v>1831</v>
      </c>
    </row>
    <row r="965" spans="1:16" x14ac:dyDescent="0.3">
      <c r="A965" t="s">
        <v>976</v>
      </c>
      <c r="B965" t="s">
        <v>1782</v>
      </c>
      <c r="C965">
        <v>58</v>
      </c>
      <c r="D965" t="s">
        <v>1784</v>
      </c>
      <c r="E965" t="s">
        <v>1790</v>
      </c>
      <c r="F965" t="s">
        <v>1800</v>
      </c>
      <c r="G965" s="5">
        <v>85976</v>
      </c>
      <c r="H965" t="s">
        <v>1801</v>
      </c>
      <c r="I965" t="s">
        <v>1806</v>
      </c>
      <c r="J965" s="2">
        <v>42642</v>
      </c>
      <c r="K965">
        <f t="shared" ca="1" si="30"/>
        <v>9</v>
      </c>
      <c r="L965">
        <f t="shared" ca="1" si="31"/>
        <v>2</v>
      </c>
      <c r="M965" t="s">
        <v>1809</v>
      </c>
      <c r="N965">
        <v>1</v>
      </c>
      <c r="O965" t="s">
        <v>1815</v>
      </c>
      <c r="P965" t="s">
        <v>1834</v>
      </c>
    </row>
    <row r="966" spans="1:16" x14ac:dyDescent="0.3">
      <c r="A966" t="s">
        <v>977</v>
      </c>
      <c r="B966" t="s">
        <v>1713</v>
      </c>
      <c r="C966">
        <v>22</v>
      </c>
      <c r="D966" t="s">
        <v>1785</v>
      </c>
      <c r="E966" t="s">
        <v>1788</v>
      </c>
      <c r="F966" t="s">
        <v>1797</v>
      </c>
      <c r="G966" s="5">
        <v>49295</v>
      </c>
      <c r="H966" t="s">
        <v>1805</v>
      </c>
      <c r="I966" t="s">
        <v>1807</v>
      </c>
      <c r="J966" s="2">
        <v>43566</v>
      </c>
      <c r="K966">
        <f t="shared" ca="1" si="30"/>
        <v>6</v>
      </c>
      <c r="L966">
        <f t="shared" ca="1" si="31"/>
        <v>7</v>
      </c>
      <c r="M966" t="s">
        <v>1809</v>
      </c>
      <c r="N966">
        <v>5</v>
      </c>
      <c r="O966" t="s">
        <v>1811</v>
      </c>
      <c r="P966" t="s">
        <v>1832</v>
      </c>
    </row>
    <row r="967" spans="1:16" x14ac:dyDescent="0.3">
      <c r="A967" t="s">
        <v>978</v>
      </c>
      <c r="B967" t="s">
        <v>1723</v>
      </c>
      <c r="C967">
        <v>26</v>
      </c>
      <c r="D967" t="s">
        <v>1783</v>
      </c>
      <c r="E967" t="s">
        <v>1788</v>
      </c>
      <c r="F967" t="s">
        <v>1798</v>
      </c>
      <c r="G967" s="5">
        <v>82903</v>
      </c>
      <c r="H967" t="s">
        <v>1802</v>
      </c>
      <c r="I967" t="s">
        <v>1807</v>
      </c>
      <c r="J967" s="2">
        <v>43861</v>
      </c>
      <c r="K967">
        <f t="shared" ca="1" si="30"/>
        <v>5</v>
      </c>
      <c r="L967">
        <f t="shared" ca="1" si="31"/>
        <v>10</v>
      </c>
      <c r="M967" t="s">
        <v>1810</v>
      </c>
      <c r="N967">
        <v>5</v>
      </c>
      <c r="O967" t="s">
        <v>1814</v>
      </c>
      <c r="P967" t="s">
        <v>1833</v>
      </c>
    </row>
    <row r="968" spans="1:16" x14ac:dyDescent="0.3">
      <c r="A968" t="s">
        <v>979</v>
      </c>
      <c r="B968" t="s">
        <v>1714</v>
      </c>
      <c r="C968">
        <v>31</v>
      </c>
      <c r="D968" t="s">
        <v>1785</v>
      </c>
      <c r="E968" t="s">
        <v>1790</v>
      </c>
      <c r="F968" t="s">
        <v>1796</v>
      </c>
      <c r="G968" s="5">
        <v>114874</v>
      </c>
      <c r="H968" t="s">
        <v>1802</v>
      </c>
      <c r="I968" t="s">
        <v>1807</v>
      </c>
      <c r="J968" s="2">
        <v>43728</v>
      </c>
      <c r="K968">
        <f t="shared" ca="1" si="30"/>
        <v>6</v>
      </c>
      <c r="L968">
        <f t="shared" ca="1" si="31"/>
        <v>2</v>
      </c>
      <c r="M968" t="s">
        <v>1809</v>
      </c>
      <c r="N968">
        <v>2</v>
      </c>
      <c r="O968" t="s">
        <v>1816</v>
      </c>
      <c r="P968" t="s">
        <v>1833</v>
      </c>
    </row>
    <row r="969" spans="1:16" x14ac:dyDescent="0.3">
      <c r="A969" t="s">
        <v>980</v>
      </c>
      <c r="B969" t="s">
        <v>1731</v>
      </c>
      <c r="C969">
        <v>29</v>
      </c>
      <c r="D969" t="s">
        <v>1783</v>
      </c>
      <c r="E969" t="s">
        <v>1790</v>
      </c>
      <c r="F969" t="s">
        <v>1796</v>
      </c>
      <c r="G969" s="5">
        <v>74088</v>
      </c>
      <c r="H969" t="s">
        <v>1801</v>
      </c>
      <c r="I969" t="s">
        <v>1807</v>
      </c>
      <c r="J969" s="2">
        <v>43518</v>
      </c>
      <c r="K969">
        <f t="shared" ca="1" si="30"/>
        <v>6</v>
      </c>
      <c r="L969">
        <f t="shared" ca="1" si="31"/>
        <v>9</v>
      </c>
      <c r="M969" t="s">
        <v>1809</v>
      </c>
      <c r="N969">
        <v>2</v>
      </c>
      <c r="O969" t="s">
        <v>1818</v>
      </c>
      <c r="P969" t="s">
        <v>1833</v>
      </c>
    </row>
    <row r="970" spans="1:16" x14ac:dyDescent="0.3">
      <c r="A970" t="s">
        <v>981</v>
      </c>
      <c r="B970" t="s">
        <v>1715</v>
      </c>
      <c r="C970">
        <v>50</v>
      </c>
      <c r="D970" t="s">
        <v>1785</v>
      </c>
      <c r="E970" t="s">
        <v>1792</v>
      </c>
      <c r="F970" t="s">
        <v>1799</v>
      </c>
      <c r="G970" s="5">
        <v>82003</v>
      </c>
      <c r="H970" t="s">
        <v>1802</v>
      </c>
      <c r="I970" t="s">
        <v>1808</v>
      </c>
      <c r="J970" s="2">
        <v>42886</v>
      </c>
      <c r="K970">
        <f t="shared" ca="1" si="30"/>
        <v>8</v>
      </c>
      <c r="L970">
        <f t="shared" ca="1" si="31"/>
        <v>6</v>
      </c>
      <c r="M970" t="s">
        <v>1809</v>
      </c>
      <c r="N970">
        <v>1</v>
      </c>
      <c r="O970" t="s">
        <v>1814</v>
      </c>
      <c r="P970" t="s">
        <v>1834</v>
      </c>
    </row>
    <row r="971" spans="1:16" x14ac:dyDescent="0.3">
      <c r="A971" t="s">
        <v>982</v>
      </c>
      <c r="B971" t="s">
        <v>1730</v>
      </c>
      <c r="C971">
        <v>52</v>
      </c>
      <c r="D971" t="s">
        <v>1783</v>
      </c>
      <c r="E971" t="s">
        <v>1791</v>
      </c>
      <c r="F971" t="s">
        <v>1797</v>
      </c>
      <c r="G971" s="5">
        <v>119614</v>
      </c>
      <c r="H971" t="s">
        <v>1801</v>
      </c>
      <c r="I971" t="s">
        <v>1808</v>
      </c>
      <c r="J971" s="2">
        <v>45730</v>
      </c>
      <c r="K971">
        <f t="shared" ca="1" si="30"/>
        <v>0</v>
      </c>
      <c r="L971">
        <f t="shared" ca="1" si="31"/>
        <v>8</v>
      </c>
      <c r="M971" t="s">
        <v>1810</v>
      </c>
      <c r="N971">
        <v>4</v>
      </c>
      <c r="O971" t="s">
        <v>1812</v>
      </c>
      <c r="P971" t="s">
        <v>1834</v>
      </c>
    </row>
    <row r="972" spans="1:16" x14ac:dyDescent="0.3">
      <c r="A972" t="s">
        <v>983</v>
      </c>
      <c r="B972" t="s">
        <v>1753</v>
      </c>
      <c r="C972">
        <v>36</v>
      </c>
      <c r="D972" t="s">
        <v>1785</v>
      </c>
      <c r="E972" t="s">
        <v>1790</v>
      </c>
      <c r="F972" t="s">
        <v>1796</v>
      </c>
      <c r="G972" s="5">
        <v>51231</v>
      </c>
      <c r="H972" t="s">
        <v>1803</v>
      </c>
      <c r="I972" t="s">
        <v>1807</v>
      </c>
      <c r="J972" s="2">
        <v>45828</v>
      </c>
      <c r="K972">
        <f t="shared" ca="1" si="30"/>
        <v>0</v>
      </c>
      <c r="L972">
        <f t="shared" ca="1" si="31"/>
        <v>5</v>
      </c>
      <c r="M972" t="s">
        <v>1810</v>
      </c>
      <c r="N972">
        <v>3</v>
      </c>
      <c r="O972" t="s">
        <v>1817</v>
      </c>
      <c r="P972" t="s">
        <v>1831</v>
      </c>
    </row>
    <row r="973" spans="1:16" x14ac:dyDescent="0.3">
      <c r="A973" t="s">
        <v>984</v>
      </c>
      <c r="B973" t="s">
        <v>1727</v>
      </c>
      <c r="C973">
        <v>58</v>
      </c>
      <c r="D973" t="s">
        <v>1784</v>
      </c>
      <c r="E973" t="s">
        <v>1793</v>
      </c>
      <c r="F973" t="s">
        <v>1794</v>
      </c>
      <c r="G973" s="5">
        <v>53381</v>
      </c>
      <c r="H973" t="s">
        <v>1805</v>
      </c>
      <c r="I973" t="s">
        <v>1806</v>
      </c>
      <c r="J973" s="2">
        <v>45058</v>
      </c>
      <c r="K973">
        <f t="shared" ca="1" si="30"/>
        <v>2</v>
      </c>
      <c r="L973">
        <f t="shared" ca="1" si="31"/>
        <v>6</v>
      </c>
      <c r="M973" t="s">
        <v>1809</v>
      </c>
      <c r="N973">
        <v>2</v>
      </c>
      <c r="O973" t="s">
        <v>1811</v>
      </c>
      <c r="P973" t="s">
        <v>1834</v>
      </c>
    </row>
    <row r="974" spans="1:16" x14ac:dyDescent="0.3">
      <c r="A974" t="s">
        <v>985</v>
      </c>
      <c r="B974" t="s">
        <v>1778</v>
      </c>
      <c r="C974">
        <v>29</v>
      </c>
      <c r="D974" t="s">
        <v>1784</v>
      </c>
      <c r="E974" t="s">
        <v>1790</v>
      </c>
      <c r="F974" t="s">
        <v>1798</v>
      </c>
      <c r="G974" s="5">
        <v>22050</v>
      </c>
      <c r="H974" t="s">
        <v>1805</v>
      </c>
      <c r="I974" t="s">
        <v>1806</v>
      </c>
      <c r="J974" s="2">
        <v>45288</v>
      </c>
      <c r="K974">
        <f t="shared" ca="1" si="30"/>
        <v>2</v>
      </c>
      <c r="L974">
        <f t="shared" ca="1" si="31"/>
        <v>11</v>
      </c>
      <c r="M974" t="s">
        <v>1810</v>
      </c>
      <c r="N974">
        <v>3</v>
      </c>
      <c r="O974" t="s">
        <v>1815</v>
      </c>
      <c r="P974" t="s">
        <v>1833</v>
      </c>
    </row>
    <row r="975" spans="1:16" x14ac:dyDescent="0.3">
      <c r="A975" t="s">
        <v>986</v>
      </c>
      <c r="B975" t="s">
        <v>1769</v>
      </c>
      <c r="C975">
        <v>44</v>
      </c>
      <c r="D975" t="s">
        <v>1785</v>
      </c>
      <c r="E975" t="s">
        <v>1793</v>
      </c>
      <c r="F975" t="s">
        <v>1794</v>
      </c>
      <c r="G975" s="5">
        <v>53903</v>
      </c>
      <c r="H975" t="s">
        <v>1805</v>
      </c>
      <c r="I975" t="s">
        <v>1808</v>
      </c>
      <c r="J975" s="2">
        <v>44596</v>
      </c>
      <c r="K975">
        <f t="shared" ca="1" si="30"/>
        <v>3</v>
      </c>
      <c r="L975">
        <f t="shared" ca="1" si="31"/>
        <v>10</v>
      </c>
      <c r="M975" t="s">
        <v>1809</v>
      </c>
      <c r="N975">
        <v>3</v>
      </c>
      <c r="O975" t="s">
        <v>1817</v>
      </c>
      <c r="P975" t="s">
        <v>1831</v>
      </c>
    </row>
    <row r="976" spans="1:16" x14ac:dyDescent="0.3">
      <c r="A976" t="s">
        <v>987</v>
      </c>
      <c r="B976" t="s">
        <v>1731</v>
      </c>
      <c r="C976">
        <v>57</v>
      </c>
      <c r="D976" t="s">
        <v>1784</v>
      </c>
      <c r="E976" t="s">
        <v>1788</v>
      </c>
      <c r="F976" t="s">
        <v>1798</v>
      </c>
      <c r="G976" s="5">
        <v>58543</v>
      </c>
      <c r="H976" t="s">
        <v>1801</v>
      </c>
      <c r="I976" t="s">
        <v>1806</v>
      </c>
      <c r="J976" s="2">
        <v>44568</v>
      </c>
      <c r="K976">
        <f t="shared" ca="1" si="30"/>
        <v>3</v>
      </c>
      <c r="L976">
        <f t="shared" ca="1" si="31"/>
        <v>11</v>
      </c>
      <c r="M976" t="s">
        <v>1810</v>
      </c>
      <c r="N976">
        <v>5</v>
      </c>
      <c r="O976" t="s">
        <v>1813</v>
      </c>
      <c r="P976" t="s">
        <v>1834</v>
      </c>
    </row>
    <row r="977" spans="1:16" x14ac:dyDescent="0.3">
      <c r="A977" t="s">
        <v>988</v>
      </c>
      <c r="B977" t="s">
        <v>1750</v>
      </c>
      <c r="C977">
        <v>49</v>
      </c>
      <c r="D977" t="s">
        <v>1785</v>
      </c>
      <c r="E977" t="s">
        <v>1789</v>
      </c>
      <c r="F977" t="s">
        <v>1797</v>
      </c>
      <c r="G977" s="5">
        <v>55802</v>
      </c>
      <c r="H977" t="s">
        <v>1801</v>
      </c>
      <c r="I977" t="s">
        <v>1808</v>
      </c>
      <c r="J977" s="2">
        <v>45245</v>
      </c>
      <c r="K977">
        <f t="shared" ca="1" si="30"/>
        <v>2</v>
      </c>
      <c r="L977">
        <f t="shared" ca="1" si="31"/>
        <v>0</v>
      </c>
      <c r="M977" t="s">
        <v>1809</v>
      </c>
      <c r="N977">
        <v>4</v>
      </c>
      <c r="O977" t="s">
        <v>1816</v>
      </c>
      <c r="P977" t="s">
        <v>1834</v>
      </c>
    </row>
    <row r="978" spans="1:16" x14ac:dyDescent="0.3">
      <c r="A978" t="s">
        <v>989</v>
      </c>
      <c r="B978" t="s">
        <v>1739</v>
      </c>
      <c r="C978">
        <v>55</v>
      </c>
      <c r="D978" t="s">
        <v>1785</v>
      </c>
      <c r="E978" t="s">
        <v>1791</v>
      </c>
      <c r="F978" t="s">
        <v>1800</v>
      </c>
      <c r="G978" s="5">
        <v>57799</v>
      </c>
      <c r="H978" t="s">
        <v>1804</v>
      </c>
      <c r="I978" t="s">
        <v>1807</v>
      </c>
      <c r="J978" s="2">
        <v>45713</v>
      </c>
      <c r="K978">
        <f t="shared" ca="1" si="30"/>
        <v>0</v>
      </c>
      <c r="L978">
        <f t="shared" ca="1" si="31"/>
        <v>9</v>
      </c>
      <c r="M978" t="s">
        <v>1810</v>
      </c>
      <c r="N978">
        <v>1</v>
      </c>
      <c r="O978" t="s">
        <v>1812</v>
      </c>
      <c r="P978" t="s">
        <v>1834</v>
      </c>
    </row>
    <row r="979" spans="1:16" x14ac:dyDescent="0.3">
      <c r="A979" t="s">
        <v>990</v>
      </c>
      <c r="B979" t="s">
        <v>1752</v>
      </c>
      <c r="C979">
        <v>38</v>
      </c>
      <c r="D979" t="s">
        <v>1785</v>
      </c>
      <c r="E979" t="s">
        <v>1793</v>
      </c>
      <c r="F979" t="s">
        <v>1800</v>
      </c>
      <c r="G979" s="5">
        <v>24972</v>
      </c>
      <c r="H979" t="s">
        <v>1804</v>
      </c>
      <c r="I979" t="s">
        <v>1807</v>
      </c>
      <c r="J979" s="2">
        <v>44200</v>
      </c>
      <c r="K979">
        <f t="shared" ca="1" si="30"/>
        <v>4</v>
      </c>
      <c r="L979">
        <f t="shared" ca="1" si="31"/>
        <v>11</v>
      </c>
      <c r="M979" t="s">
        <v>1810</v>
      </c>
      <c r="N979">
        <v>1</v>
      </c>
      <c r="O979" t="s">
        <v>1818</v>
      </c>
      <c r="P979" t="s">
        <v>1831</v>
      </c>
    </row>
    <row r="980" spans="1:16" x14ac:dyDescent="0.3">
      <c r="A980" t="s">
        <v>991</v>
      </c>
      <c r="B980" t="s">
        <v>1734</v>
      </c>
      <c r="C980">
        <v>42</v>
      </c>
      <c r="D980" t="s">
        <v>1784</v>
      </c>
      <c r="E980" t="s">
        <v>1791</v>
      </c>
      <c r="F980" t="s">
        <v>1794</v>
      </c>
      <c r="G980" s="5">
        <v>29272</v>
      </c>
      <c r="H980" t="s">
        <v>1804</v>
      </c>
      <c r="I980" t="s">
        <v>1807</v>
      </c>
      <c r="J980" s="2">
        <v>45440</v>
      </c>
      <c r="K980">
        <f t="shared" ca="1" si="30"/>
        <v>1</v>
      </c>
      <c r="L980">
        <f t="shared" ca="1" si="31"/>
        <v>6</v>
      </c>
      <c r="M980" t="s">
        <v>1809</v>
      </c>
      <c r="N980">
        <v>4</v>
      </c>
      <c r="O980" t="s">
        <v>1813</v>
      </c>
      <c r="P980" t="s">
        <v>1831</v>
      </c>
    </row>
    <row r="981" spans="1:16" x14ac:dyDescent="0.3">
      <c r="A981" t="s">
        <v>992</v>
      </c>
      <c r="B981" t="s">
        <v>1734</v>
      </c>
      <c r="C981">
        <v>22</v>
      </c>
      <c r="D981" t="s">
        <v>1784</v>
      </c>
      <c r="E981" t="s">
        <v>1789</v>
      </c>
      <c r="F981" t="s">
        <v>1799</v>
      </c>
      <c r="G981" s="5">
        <v>50601</v>
      </c>
      <c r="H981" t="s">
        <v>1803</v>
      </c>
      <c r="I981" t="s">
        <v>1808</v>
      </c>
      <c r="J981" s="2">
        <v>44072</v>
      </c>
      <c r="K981">
        <f t="shared" ca="1" si="30"/>
        <v>5</v>
      </c>
      <c r="L981">
        <f t="shared" ca="1" si="31"/>
        <v>3</v>
      </c>
      <c r="M981" t="s">
        <v>1809</v>
      </c>
      <c r="N981">
        <v>3</v>
      </c>
      <c r="O981" t="s">
        <v>1814</v>
      </c>
      <c r="P981" t="s">
        <v>1832</v>
      </c>
    </row>
    <row r="982" spans="1:16" x14ac:dyDescent="0.3">
      <c r="A982" t="s">
        <v>993</v>
      </c>
      <c r="B982" t="s">
        <v>1715</v>
      </c>
      <c r="C982">
        <v>31</v>
      </c>
      <c r="D982" t="s">
        <v>1785</v>
      </c>
      <c r="E982" t="s">
        <v>1787</v>
      </c>
      <c r="F982" t="s">
        <v>1796</v>
      </c>
      <c r="G982" s="5">
        <v>106987</v>
      </c>
      <c r="H982" t="s">
        <v>1805</v>
      </c>
      <c r="I982" t="s">
        <v>1807</v>
      </c>
      <c r="J982" s="2">
        <v>45236</v>
      </c>
      <c r="K982">
        <f t="shared" ca="1" si="30"/>
        <v>2</v>
      </c>
      <c r="L982">
        <f t="shared" ca="1" si="31"/>
        <v>1</v>
      </c>
      <c r="M982" t="s">
        <v>1809</v>
      </c>
      <c r="N982">
        <v>3</v>
      </c>
      <c r="O982" t="s">
        <v>1816</v>
      </c>
      <c r="P982" t="s">
        <v>1833</v>
      </c>
    </row>
    <row r="983" spans="1:16" x14ac:dyDescent="0.3">
      <c r="A983" t="s">
        <v>994</v>
      </c>
      <c r="B983" t="s">
        <v>1744</v>
      </c>
      <c r="C983">
        <v>32</v>
      </c>
      <c r="D983" t="s">
        <v>1784</v>
      </c>
      <c r="E983" t="s">
        <v>1788</v>
      </c>
      <c r="F983" t="s">
        <v>1796</v>
      </c>
      <c r="G983" s="5">
        <v>29219</v>
      </c>
      <c r="H983" t="s">
        <v>1805</v>
      </c>
      <c r="I983" t="s">
        <v>1806</v>
      </c>
      <c r="J983" s="2">
        <v>44326</v>
      </c>
      <c r="K983">
        <f t="shared" ca="1" si="30"/>
        <v>4</v>
      </c>
      <c r="L983">
        <f t="shared" ca="1" si="31"/>
        <v>7</v>
      </c>
      <c r="M983" t="s">
        <v>1809</v>
      </c>
      <c r="N983">
        <v>4</v>
      </c>
      <c r="O983" t="s">
        <v>1811</v>
      </c>
      <c r="P983" t="s">
        <v>1833</v>
      </c>
    </row>
    <row r="984" spans="1:16" x14ac:dyDescent="0.3">
      <c r="A984" t="s">
        <v>995</v>
      </c>
      <c r="B984" t="s">
        <v>1769</v>
      </c>
      <c r="C984">
        <v>53</v>
      </c>
      <c r="D984" t="s">
        <v>1784</v>
      </c>
      <c r="E984" t="s">
        <v>1789</v>
      </c>
      <c r="F984" t="s">
        <v>1794</v>
      </c>
      <c r="G984" s="5">
        <v>84036</v>
      </c>
      <c r="H984" t="s">
        <v>1804</v>
      </c>
      <c r="I984" t="s">
        <v>1808</v>
      </c>
      <c r="J984" s="2">
        <v>43888</v>
      </c>
      <c r="K984">
        <f t="shared" ca="1" si="30"/>
        <v>5</v>
      </c>
      <c r="L984">
        <f t="shared" ca="1" si="31"/>
        <v>9</v>
      </c>
      <c r="M984" t="s">
        <v>1810</v>
      </c>
      <c r="N984">
        <v>4</v>
      </c>
      <c r="O984" t="s">
        <v>1811</v>
      </c>
      <c r="P984" t="s">
        <v>1834</v>
      </c>
    </row>
    <row r="985" spans="1:16" x14ac:dyDescent="0.3">
      <c r="A985" t="s">
        <v>996</v>
      </c>
      <c r="B985" t="s">
        <v>1723</v>
      </c>
      <c r="C985">
        <v>21</v>
      </c>
      <c r="D985" t="s">
        <v>1785</v>
      </c>
      <c r="E985" t="s">
        <v>1792</v>
      </c>
      <c r="F985" t="s">
        <v>1800</v>
      </c>
      <c r="G985" s="5">
        <v>118502</v>
      </c>
      <c r="H985" t="s">
        <v>1801</v>
      </c>
      <c r="I985" t="s">
        <v>1807</v>
      </c>
      <c r="J985" s="2">
        <v>44957</v>
      </c>
      <c r="K985">
        <f t="shared" ca="1" si="30"/>
        <v>2</v>
      </c>
      <c r="L985">
        <f t="shared" ca="1" si="31"/>
        <v>10</v>
      </c>
      <c r="M985" t="s">
        <v>1810</v>
      </c>
      <c r="N985">
        <v>2</v>
      </c>
      <c r="O985" t="s">
        <v>1817</v>
      </c>
      <c r="P985" t="s">
        <v>1832</v>
      </c>
    </row>
    <row r="986" spans="1:16" x14ac:dyDescent="0.3">
      <c r="A986" t="s">
        <v>997</v>
      </c>
      <c r="B986" t="s">
        <v>1772</v>
      </c>
      <c r="C986">
        <v>54</v>
      </c>
      <c r="D986" t="s">
        <v>1785</v>
      </c>
      <c r="E986" t="s">
        <v>1788</v>
      </c>
      <c r="F986" t="s">
        <v>1799</v>
      </c>
      <c r="G986" s="5">
        <v>25017</v>
      </c>
      <c r="H986" t="s">
        <v>1803</v>
      </c>
      <c r="I986" t="s">
        <v>1807</v>
      </c>
      <c r="J986" s="2">
        <v>44088</v>
      </c>
      <c r="K986">
        <f t="shared" ca="1" si="30"/>
        <v>5</v>
      </c>
      <c r="L986">
        <f t="shared" ca="1" si="31"/>
        <v>2</v>
      </c>
      <c r="M986" t="s">
        <v>1809</v>
      </c>
      <c r="N986">
        <v>4</v>
      </c>
      <c r="O986" t="s">
        <v>1812</v>
      </c>
      <c r="P986" t="s">
        <v>1834</v>
      </c>
    </row>
    <row r="987" spans="1:16" x14ac:dyDescent="0.3">
      <c r="A987" t="s">
        <v>998</v>
      </c>
      <c r="B987" t="s">
        <v>1714</v>
      </c>
      <c r="C987">
        <v>23</v>
      </c>
      <c r="D987" t="s">
        <v>1784</v>
      </c>
      <c r="E987" t="s">
        <v>1793</v>
      </c>
      <c r="F987" t="s">
        <v>1795</v>
      </c>
      <c r="G987" s="5">
        <v>61710</v>
      </c>
      <c r="H987" t="s">
        <v>1801</v>
      </c>
      <c r="I987" t="s">
        <v>1808</v>
      </c>
      <c r="J987" s="2">
        <v>44754</v>
      </c>
      <c r="K987">
        <f t="shared" ca="1" si="30"/>
        <v>3</v>
      </c>
      <c r="L987">
        <f t="shared" ca="1" si="31"/>
        <v>4</v>
      </c>
      <c r="M987" t="s">
        <v>1810</v>
      </c>
      <c r="N987">
        <v>3</v>
      </c>
      <c r="O987" t="s">
        <v>1818</v>
      </c>
      <c r="P987" t="s">
        <v>1832</v>
      </c>
    </row>
    <row r="988" spans="1:16" x14ac:dyDescent="0.3">
      <c r="A988" t="s">
        <v>999</v>
      </c>
      <c r="B988" t="s">
        <v>1745</v>
      </c>
      <c r="C988">
        <v>57</v>
      </c>
      <c r="D988" t="s">
        <v>1785</v>
      </c>
      <c r="E988" t="s">
        <v>1792</v>
      </c>
      <c r="F988" t="s">
        <v>1798</v>
      </c>
      <c r="G988" s="5">
        <v>109956</v>
      </c>
      <c r="H988" t="s">
        <v>1805</v>
      </c>
      <c r="I988" t="s">
        <v>1807</v>
      </c>
      <c r="J988" s="2">
        <v>44740</v>
      </c>
      <c r="K988">
        <f t="shared" ca="1" si="30"/>
        <v>3</v>
      </c>
      <c r="L988">
        <f t="shared" ca="1" si="31"/>
        <v>5</v>
      </c>
      <c r="M988" t="s">
        <v>1810</v>
      </c>
      <c r="N988">
        <v>2</v>
      </c>
      <c r="O988" t="s">
        <v>1815</v>
      </c>
      <c r="P988" t="s">
        <v>1834</v>
      </c>
    </row>
    <row r="989" spans="1:16" x14ac:dyDescent="0.3">
      <c r="A989" t="s">
        <v>1000</v>
      </c>
      <c r="B989" t="s">
        <v>1738</v>
      </c>
      <c r="C989">
        <v>39</v>
      </c>
      <c r="D989" t="s">
        <v>1785</v>
      </c>
      <c r="E989" t="s">
        <v>1792</v>
      </c>
      <c r="F989" t="s">
        <v>1795</v>
      </c>
      <c r="G989" s="5">
        <v>81564</v>
      </c>
      <c r="H989" t="s">
        <v>1802</v>
      </c>
      <c r="I989" t="s">
        <v>1807</v>
      </c>
      <c r="J989" s="2">
        <v>42713</v>
      </c>
      <c r="K989">
        <f t="shared" ca="1" si="30"/>
        <v>9</v>
      </c>
      <c r="L989">
        <f t="shared" ca="1" si="31"/>
        <v>0</v>
      </c>
      <c r="M989" t="s">
        <v>1809</v>
      </c>
      <c r="N989">
        <v>2</v>
      </c>
      <c r="O989" t="s">
        <v>1813</v>
      </c>
      <c r="P989" t="s">
        <v>1831</v>
      </c>
    </row>
    <row r="990" spans="1:16" x14ac:dyDescent="0.3">
      <c r="A990" t="s">
        <v>1001</v>
      </c>
      <c r="B990" t="s">
        <v>1764</v>
      </c>
      <c r="C990">
        <v>35</v>
      </c>
      <c r="D990" t="s">
        <v>1783</v>
      </c>
      <c r="E990" t="s">
        <v>1793</v>
      </c>
      <c r="F990" t="s">
        <v>1797</v>
      </c>
      <c r="G990" s="5">
        <v>80094</v>
      </c>
      <c r="H990" t="s">
        <v>1805</v>
      </c>
      <c r="I990" t="s">
        <v>1808</v>
      </c>
      <c r="J990" s="2">
        <v>44038</v>
      </c>
      <c r="K990">
        <f t="shared" ca="1" si="30"/>
        <v>5</v>
      </c>
      <c r="L990">
        <f t="shared" ca="1" si="31"/>
        <v>4</v>
      </c>
      <c r="M990" t="s">
        <v>1809</v>
      </c>
      <c r="N990">
        <v>1</v>
      </c>
      <c r="O990" t="s">
        <v>1814</v>
      </c>
      <c r="P990" t="s">
        <v>1833</v>
      </c>
    </row>
    <row r="991" spans="1:16" x14ac:dyDescent="0.3">
      <c r="A991" t="s">
        <v>1002</v>
      </c>
      <c r="B991" t="s">
        <v>1723</v>
      </c>
      <c r="C991">
        <v>31</v>
      </c>
      <c r="D991" t="s">
        <v>1783</v>
      </c>
      <c r="E991" t="s">
        <v>1788</v>
      </c>
      <c r="F991" t="s">
        <v>1794</v>
      </c>
      <c r="G991" s="5">
        <v>98315</v>
      </c>
      <c r="H991" t="s">
        <v>1803</v>
      </c>
      <c r="I991" t="s">
        <v>1806</v>
      </c>
      <c r="J991" s="2">
        <v>44965</v>
      </c>
      <c r="K991">
        <f t="shared" ca="1" si="30"/>
        <v>2</v>
      </c>
      <c r="L991">
        <f t="shared" ca="1" si="31"/>
        <v>10</v>
      </c>
      <c r="M991" t="s">
        <v>1809</v>
      </c>
      <c r="N991">
        <v>4</v>
      </c>
      <c r="O991" t="s">
        <v>1816</v>
      </c>
      <c r="P991" t="s">
        <v>1833</v>
      </c>
    </row>
    <row r="992" spans="1:16" x14ac:dyDescent="0.3">
      <c r="A992" t="s">
        <v>1003</v>
      </c>
      <c r="B992" t="s">
        <v>1752</v>
      </c>
      <c r="C992">
        <v>29</v>
      </c>
      <c r="D992" t="s">
        <v>1785</v>
      </c>
      <c r="E992" t="s">
        <v>1786</v>
      </c>
      <c r="F992" t="s">
        <v>1795</v>
      </c>
      <c r="G992" s="5">
        <v>40383</v>
      </c>
      <c r="H992" t="s">
        <v>1805</v>
      </c>
      <c r="I992" t="s">
        <v>1807</v>
      </c>
      <c r="J992" s="2">
        <v>44388</v>
      </c>
      <c r="K992">
        <f t="shared" ca="1" si="30"/>
        <v>4</v>
      </c>
      <c r="L992">
        <f t="shared" ca="1" si="31"/>
        <v>4</v>
      </c>
      <c r="M992" t="s">
        <v>1810</v>
      </c>
      <c r="N992">
        <v>3</v>
      </c>
      <c r="O992" t="s">
        <v>1814</v>
      </c>
      <c r="P992" t="s">
        <v>1833</v>
      </c>
    </row>
    <row r="993" spans="1:16" x14ac:dyDescent="0.3">
      <c r="A993" t="s">
        <v>1004</v>
      </c>
      <c r="B993" t="s">
        <v>1777</v>
      </c>
      <c r="C993">
        <v>51</v>
      </c>
      <c r="D993" t="s">
        <v>1784</v>
      </c>
      <c r="E993" t="s">
        <v>1788</v>
      </c>
      <c r="F993" t="s">
        <v>1800</v>
      </c>
      <c r="G993" s="5">
        <v>69273</v>
      </c>
      <c r="H993" t="s">
        <v>1801</v>
      </c>
      <c r="I993" t="s">
        <v>1808</v>
      </c>
      <c r="J993" s="2">
        <v>44145</v>
      </c>
      <c r="K993">
        <f t="shared" ca="1" si="30"/>
        <v>5</v>
      </c>
      <c r="L993">
        <f t="shared" ca="1" si="31"/>
        <v>1</v>
      </c>
      <c r="M993" t="s">
        <v>1810</v>
      </c>
      <c r="N993">
        <v>2</v>
      </c>
      <c r="O993" t="s">
        <v>1818</v>
      </c>
      <c r="P993" t="s">
        <v>1834</v>
      </c>
    </row>
    <row r="994" spans="1:16" x14ac:dyDescent="0.3">
      <c r="A994" t="s">
        <v>1005</v>
      </c>
      <c r="B994" t="s">
        <v>1728</v>
      </c>
      <c r="C994">
        <v>27</v>
      </c>
      <c r="D994" t="s">
        <v>1785</v>
      </c>
      <c r="E994" t="s">
        <v>1787</v>
      </c>
      <c r="F994" t="s">
        <v>1795</v>
      </c>
      <c r="G994" s="5">
        <v>19444</v>
      </c>
      <c r="H994" t="s">
        <v>1804</v>
      </c>
      <c r="I994" t="s">
        <v>1807</v>
      </c>
      <c r="J994" s="2">
        <v>45080</v>
      </c>
      <c r="K994">
        <f t="shared" ca="1" si="30"/>
        <v>2</v>
      </c>
      <c r="L994">
        <f t="shared" ca="1" si="31"/>
        <v>6</v>
      </c>
      <c r="M994" t="s">
        <v>1810</v>
      </c>
      <c r="N994">
        <v>1</v>
      </c>
      <c r="O994" t="s">
        <v>1817</v>
      </c>
      <c r="P994" t="s">
        <v>1833</v>
      </c>
    </row>
    <row r="995" spans="1:16" x14ac:dyDescent="0.3">
      <c r="A995" t="s">
        <v>1006</v>
      </c>
      <c r="B995" t="s">
        <v>1781</v>
      </c>
      <c r="C995">
        <v>49</v>
      </c>
      <c r="D995" t="s">
        <v>1784</v>
      </c>
      <c r="E995" t="s">
        <v>1792</v>
      </c>
      <c r="F995" t="s">
        <v>1796</v>
      </c>
      <c r="G995" s="5">
        <v>38750</v>
      </c>
      <c r="H995" t="s">
        <v>1805</v>
      </c>
      <c r="I995" t="s">
        <v>1806</v>
      </c>
      <c r="J995" s="2">
        <v>43301</v>
      </c>
      <c r="K995">
        <f t="shared" ca="1" si="30"/>
        <v>7</v>
      </c>
      <c r="L995">
        <f t="shared" ca="1" si="31"/>
        <v>4</v>
      </c>
      <c r="M995" t="s">
        <v>1810</v>
      </c>
      <c r="N995">
        <v>5</v>
      </c>
      <c r="O995" t="s">
        <v>1811</v>
      </c>
      <c r="P995" t="s">
        <v>1834</v>
      </c>
    </row>
    <row r="996" spans="1:16" x14ac:dyDescent="0.3">
      <c r="A996" t="s">
        <v>1007</v>
      </c>
      <c r="B996" t="s">
        <v>1764</v>
      </c>
      <c r="C996">
        <v>31</v>
      </c>
      <c r="D996" t="s">
        <v>1785</v>
      </c>
      <c r="E996" t="s">
        <v>1791</v>
      </c>
      <c r="F996" t="s">
        <v>1794</v>
      </c>
      <c r="G996" s="5">
        <v>64119</v>
      </c>
      <c r="H996" t="s">
        <v>1805</v>
      </c>
      <c r="I996" t="s">
        <v>1808</v>
      </c>
      <c r="J996" s="2">
        <v>44320</v>
      </c>
      <c r="K996">
        <f t="shared" ca="1" si="30"/>
        <v>4</v>
      </c>
      <c r="L996">
        <f t="shared" ca="1" si="31"/>
        <v>7</v>
      </c>
      <c r="M996" t="s">
        <v>1809</v>
      </c>
      <c r="N996">
        <v>3</v>
      </c>
      <c r="O996" t="s">
        <v>1814</v>
      </c>
      <c r="P996" t="s">
        <v>1833</v>
      </c>
    </row>
    <row r="997" spans="1:16" x14ac:dyDescent="0.3">
      <c r="A997" t="s">
        <v>1008</v>
      </c>
      <c r="B997" t="s">
        <v>1716</v>
      </c>
      <c r="C997">
        <v>50</v>
      </c>
      <c r="D997" t="s">
        <v>1784</v>
      </c>
      <c r="E997" t="s">
        <v>1790</v>
      </c>
      <c r="F997" t="s">
        <v>1794</v>
      </c>
      <c r="G997" s="5">
        <v>97408</v>
      </c>
      <c r="H997" t="s">
        <v>1802</v>
      </c>
      <c r="I997" t="s">
        <v>1806</v>
      </c>
      <c r="J997" s="2">
        <v>45340</v>
      </c>
      <c r="K997">
        <f t="shared" ca="1" si="30"/>
        <v>1</v>
      </c>
      <c r="L997">
        <f t="shared" ca="1" si="31"/>
        <v>9</v>
      </c>
      <c r="M997" t="s">
        <v>1810</v>
      </c>
      <c r="N997">
        <v>2</v>
      </c>
      <c r="O997" t="s">
        <v>1817</v>
      </c>
      <c r="P997" t="s">
        <v>1834</v>
      </c>
    </row>
    <row r="998" spans="1:16" x14ac:dyDescent="0.3">
      <c r="A998" t="s">
        <v>1009</v>
      </c>
      <c r="B998" t="s">
        <v>1759</v>
      </c>
      <c r="C998">
        <v>42</v>
      </c>
      <c r="D998" t="s">
        <v>1785</v>
      </c>
      <c r="E998" t="s">
        <v>1787</v>
      </c>
      <c r="F998" t="s">
        <v>1797</v>
      </c>
      <c r="G998" s="5">
        <v>26856</v>
      </c>
      <c r="H998" t="s">
        <v>1801</v>
      </c>
      <c r="I998" t="s">
        <v>1806</v>
      </c>
      <c r="J998" s="2">
        <v>43089</v>
      </c>
      <c r="K998">
        <f t="shared" ca="1" si="30"/>
        <v>8</v>
      </c>
      <c r="L998">
        <f t="shared" ca="1" si="31"/>
        <v>11</v>
      </c>
      <c r="M998" t="s">
        <v>1809</v>
      </c>
      <c r="N998">
        <v>1</v>
      </c>
      <c r="O998" t="s">
        <v>1813</v>
      </c>
      <c r="P998" t="s">
        <v>1831</v>
      </c>
    </row>
    <row r="999" spans="1:16" x14ac:dyDescent="0.3">
      <c r="A999" t="s">
        <v>1010</v>
      </c>
      <c r="B999" t="s">
        <v>1747</v>
      </c>
      <c r="C999">
        <v>50</v>
      </c>
      <c r="D999" t="s">
        <v>1784</v>
      </c>
      <c r="E999" t="s">
        <v>1786</v>
      </c>
      <c r="F999" t="s">
        <v>1799</v>
      </c>
      <c r="G999" s="5">
        <v>119153</v>
      </c>
      <c r="H999" t="s">
        <v>1802</v>
      </c>
      <c r="I999" t="s">
        <v>1807</v>
      </c>
      <c r="J999" s="2">
        <v>43150</v>
      </c>
      <c r="K999">
        <f t="shared" ca="1" si="30"/>
        <v>7</v>
      </c>
      <c r="L999">
        <f t="shared" ca="1" si="31"/>
        <v>9</v>
      </c>
      <c r="M999" t="s">
        <v>1810</v>
      </c>
      <c r="N999">
        <v>4</v>
      </c>
      <c r="O999" t="s">
        <v>1813</v>
      </c>
      <c r="P999" t="s">
        <v>1834</v>
      </c>
    </row>
    <row r="1000" spans="1:16" x14ac:dyDescent="0.3">
      <c r="A1000" t="s">
        <v>1011</v>
      </c>
      <c r="B1000" t="s">
        <v>1735</v>
      </c>
      <c r="C1000">
        <v>36</v>
      </c>
      <c r="D1000" t="s">
        <v>1783</v>
      </c>
      <c r="E1000" t="s">
        <v>1792</v>
      </c>
      <c r="F1000" t="s">
        <v>1797</v>
      </c>
      <c r="G1000" s="5">
        <v>116295</v>
      </c>
      <c r="H1000" t="s">
        <v>1803</v>
      </c>
      <c r="I1000" t="s">
        <v>1808</v>
      </c>
      <c r="J1000" s="2">
        <v>44922</v>
      </c>
      <c r="K1000">
        <f t="shared" ca="1" si="30"/>
        <v>3</v>
      </c>
      <c r="L1000">
        <f t="shared" ca="1" si="31"/>
        <v>11</v>
      </c>
      <c r="M1000" t="s">
        <v>1809</v>
      </c>
      <c r="N1000">
        <v>2</v>
      </c>
      <c r="O1000" t="s">
        <v>1817</v>
      </c>
      <c r="P1000" t="s">
        <v>1831</v>
      </c>
    </row>
    <row r="1001" spans="1:16" x14ac:dyDescent="0.3">
      <c r="A1001" t="s">
        <v>1012</v>
      </c>
      <c r="B1001" t="s">
        <v>1745</v>
      </c>
      <c r="C1001">
        <v>48</v>
      </c>
      <c r="D1001" t="s">
        <v>1784</v>
      </c>
      <c r="E1001" t="s">
        <v>1791</v>
      </c>
      <c r="F1001" t="s">
        <v>1795</v>
      </c>
      <c r="G1001" s="5">
        <v>101544</v>
      </c>
      <c r="H1001" t="s">
        <v>1805</v>
      </c>
      <c r="I1001" t="s">
        <v>1807</v>
      </c>
      <c r="J1001" s="2">
        <v>43239</v>
      </c>
      <c r="K1001">
        <f t="shared" ca="1" si="30"/>
        <v>7</v>
      </c>
      <c r="L1001">
        <f t="shared" ca="1" si="31"/>
        <v>6</v>
      </c>
      <c r="M1001" t="s">
        <v>1810</v>
      </c>
      <c r="N1001">
        <v>4</v>
      </c>
      <c r="O1001" t="s">
        <v>1812</v>
      </c>
      <c r="P1001" t="s">
        <v>1834</v>
      </c>
    </row>
    <row r="1002" spans="1:16" x14ac:dyDescent="0.3">
      <c r="A1002" t="s">
        <v>1013</v>
      </c>
      <c r="B1002" t="s">
        <v>1734</v>
      </c>
      <c r="C1002">
        <v>32</v>
      </c>
      <c r="D1002" t="s">
        <v>1785</v>
      </c>
      <c r="E1002" t="s">
        <v>1791</v>
      </c>
      <c r="F1002" t="s">
        <v>1799</v>
      </c>
      <c r="G1002" s="5">
        <v>74893</v>
      </c>
      <c r="H1002" t="s">
        <v>1805</v>
      </c>
      <c r="I1002" t="s">
        <v>1807</v>
      </c>
      <c r="J1002" s="2">
        <v>42790</v>
      </c>
      <c r="K1002">
        <f t="shared" ca="1" si="30"/>
        <v>8</v>
      </c>
      <c r="L1002">
        <f t="shared" ca="1" si="31"/>
        <v>9</v>
      </c>
      <c r="M1002" t="s">
        <v>1809</v>
      </c>
      <c r="N1002">
        <v>1</v>
      </c>
      <c r="O1002" t="s">
        <v>1815</v>
      </c>
      <c r="P1002" t="s">
        <v>1833</v>
      </c>
    </row>
    <row r="1003" spans="1:16" x14ac:dyDescent="0.3">
      <c r="A1003" t="s">
        <v>1014</v>
      </c>
      <c r="B1003" t="s">
        <v>1720</v>
      </c>
      <c r="C1003">
        <v>28</v>
      </c>
      <c r="D1003" t="s">
        <v>1783</v>
      </c>
      <c r="E1003" t="s">
        <v>1789</v>
      </c>
      <c r="F1003" t="s">
        <v>1800</v>
      </c>
      <c r="G1003" s="5">
        <v>119500</v>
      </c>
      <c r="H1003" t="s">
        <v>1805</v>
      </c>
      <c r="I1003" t="s">
        <v>1806</v>
      </c>
      <c r="J1003" s="2">
        <v>45978</v>
      </c>
      <c r="K1003">
        <f t="shared" ca="1" si="30"/>
        <v>0</v>
      </c>
      <c r="L1003">
        <f t="shared" ca="1" si="31"/>
        <v>0</v>
      </c>
      <c r="M1003" t="s">
        <v>1809</v>
      </c>
      <c r="N1003">
        <v>3</v>
      </c>
      <c r="O1003" t="s">
        <v>1816</v>
      </c>
      <c r="P1003" t="s">
        <v>1833</v>
      </c>
    </row>
    <row r="1004" spans="1:16" x14ac:dyDescent="0.3">
      <c r="A1004" t="s">
        <v>1015</v>
      </c>
      <c r="B1004" t="s">
        <v>1748</v>
      </c>
      <c r="C1004">
        <v>32</v>
      </c>
      <c r="D1004" t="s">
        <v>1783</v>
      </c>
      <c r="E1004" t="s">
        <v>1790</v>
      </c>
      <c r="F1004" t="s">
        <v>1796</v>
      </c>
      <c r="G1004" s="5">
        <v>83647</v>
      </c>
      <c r="H1004" t="s">
        <v>1804</v>
      </c>
      <c r="I1004" t="s">
        <v>1806</v>
      </c>
      <c r="J1004" s="2">
        <v>44726</v>
      </c>
      <c r="K1004">
        <f t="shared" ca="1" si="30"/>
        <v>3</v>
      </c>
      <c r="L1004">
        <f t="shared" ca="1" si="31"/>
        <v>5</v>
      </c>
      <c r="M1004" t="s">
        <v>1809</v>
      </c>
      <c r="N1004">
        <v>1</v>
      </c>
      <c r="O1004" t="s">
        <v>1812</v>
      </c>
      <c r="P1004" t="s">
        <v>1833</v>
      </c>
    </row>
    <row r="1005" spans="1:16" x14ac:dyDescent="0.3">
      <c r="A1005" t="s">
        <v>1016</v>
      </c>
      <c r="B1005" t="s">
        <v>1746</v>
      </c>
      <c r="C1005">
        <v>44</v>
      </c>
      <c r="D1005" t="s">
        <v>1783</v>
      </c>
      <c r="E1005" t="s">
        <v>1793</v>
      </c>
      <c r="F1005" t="s">
        <v>1799</v>
      </c>
      <c r="G1005" s="5">
        <v>34671</v>
      </c>
      <c r="H1005" t="s">
        <v>1805</v>
      </c>
      <c r="I1005" t="s">
        <v>1808</v>
      </c>
      <c r="J1005" s="2">
        <v>42851</v>
      </c>
      <c r="K1005">
        <f t="shared" ca="1" si="30"/>
        <v>8</v>
      </c>
      <c r="L1005">
        <f t="shared" ca="1" si="31"/>
        <v>7</v>
      </c>
      <c r="M1005" t="s">
        <v>1809</v>
      </c>
      <c r="N1005">
        <v>4</v>
      </c>
      <c r="O1005" t="s">
        <v>1815</v>
      </c>
      <c r="P1005" t="s">
        <v>1831</v>
      </c>
    </row>
    <row r="1006" spans="1:16" x14ac:dyDescent="0.3">
      <c r="A1006" t="s">
        <v>1017</v>
      </c>
      <c r="B1006" t="s">
        <v>1735</v>
      </c>
      <c r="C1006">
        <v>54</v>
      </c>
      <c r="D1006" t="s">
        <v>1784</v>
      </c>
      <c r="E1006" t="s">
        <v>1792</v>
      </c>
      <c r="F1006" t="s">
        <v>1799</v>
      </c>
      <c r="G1006" s="5">
        <v>47362</v>
      </c>
      <c r="H1006" t="s">
        <v>1804</v>
      </c>
      <c r="I1006" t="s">
        <v>1808</v>
      </c>
      <c r="J1006" s="2">
        <v>44037</v>
      </c>
      <c r="K1006">
        <f t="shared" ca="1" si="30"/>
        <v>5</v>
      </c>
      <c r="L1006">
        <f t="shared" ca="1" si="31"/>
        <v>4</v>
      </c>
      <c r="M1006" t="s">
        <v>1810</v>
      </c>
      <c r="N1006">
        <v>1</v>
      </c>
      <c r="O1006" t="s">
        <v>1816</v>
      </c>
      <c r="P1006" t="s">
        <v>1834</v>
      </c>
    </row>
    <row r="1007" spans="1:16" x14ac:dyDescent="0.3">
      <c r="A1007" t="s">
        <v>1018</v>
      </c>
      <c r="B1007" t="s">
        <v>1767</v>
      </c>
      <c r="C1007">
        <v>54</v>
      </c>
      <c r="D1007" t="s">
        <v>1785</v>
      </c>
      <c r="E1007" t="s">
        <v>1786</v>
      </c>
      <c r="F1007" t="s">
        <v>1795</v>
      </c>
      <c r="G1007" s="5">
        <v>85863</v>
      </c>
      <c r="H1007" t="s">
        <v>1805</v>
      </c>
      <c r="I1007" t="s">
        <v>1808</v>
      </c>
      <c r="J1007" s="2">
        <v>44073</v>
      </c>
      <c r="K1007">
        <f t="shared" ca="1" si="30"/>
        <v>5</v>
      </c>
      <c r="L1007">
        <f t="shared" ca="1" si="31"/>
        <v>3</v>
      </c>
      <c r="M1007" t="s">
        <v>1809</v>
      </c>
      <c r="N1007">
        <v>5</v>
      </c>
      <c r="O1007" t="s">
        <v>1813</v>
      </c>
      <c r="P1007" t="s">
        <v>1834</v>
      </c>
    </row>
    <row r="1008" spans="1:16" x14ac:dyDescent="0.3">
      <c r="A1008" t="s">
        <v>1019</v>
      </c>
      <c r="B1008" t="s">
        <v>1770</v>
      </c>
      <c r="C1008">
        <v>36</v>
      </c>
      <c r="D1008" t="s">
        <v>1785</v>
      </c>
      <c r="E1008" t="s">
        <v>1792</v>
      </c>
      <c r="F1008" t="s">
        <v>1796</v>
      </c>
      <c r="G1008" s="5">
        <v>22230</v>
      </c>
      <c r="H1008" t="s">
        <v>1803</v>
      </c>
      <c r="I1008" t="s">
        <v>1808</v>
      </c>
      <c r="J1008" s="2">
        <v>43259</v>
      </c>
      <c r="K1008">
        <f t="shared" ca="1" si="30"/>
        <v>7</v>
      </c>
      <c r="L1008">
        <f t="shared" ca="1" si="31"/>
        <v>6</v>
      </c>
      <c r="M1008" t="s">
        <v>1810</v>
      </c>
      <c r="N1008">
        <v>1</v>
      </c>
      <c r="O1008" t="s">
        <v>1816</v>
      </c>
      <c r="P1008" t="s">
        <v>1831</v>
      </c>
    </row>
    <row r="1009" spans="1:16" x14ac:dyDescent="0.3">
      <c r="A1009" t="s">
        <v>1020</v>
      </c>
      <c r="B1009" t="s">
        <v>1730</v>
      </c>
      <c r="C1009">
        <v>41</v>
      </c>
      <c r="D1009" t="s">
        <v>1785</v>
      </c>
      <c r="E1009" t="s">
        <v>1792</v>
      </c>
      <c r="F1009" t="s">
        <v>1800</v>
      </c>
      <c r="G1009" s="5">
        <v>48882</v>
      </c>
      <c r="H1009" t="s">
        <v>1801</v>
      </c>
      <c r="I1009" t="s">
        <v>1806</v>
      </c>
      <c r="J1009" s="2">
        <v>44936</v>
      </c>
      <c r="K1009">
        <f t="shared" ca="1" si="30"/>
        <v>2</v>
      </c>
      <c r="L1009">
        <f t="shared" ca="1" si="31"/>
        <v>11</v>
      </c>
      <c r="M1009" t="s">
        <v>1809</v>
      </c>
      <c r="N1009">
        <v>3</v>
      </c>
      <c r="O1009" t="s">
        <v>1813</v>
      </c>
      <c r="P1009" t="s">
        <v>1831</v>
      </c>
    </row>
    <row r="1010" spans="1:16" x14ac:dyDescent="0.3">
      <c r="A1010" t="s">
        <v>1021</v>
      </c>
      <c r="B1010" t="s">
        <v>1744</v>
      </c>
      <c r="C1010">
        <v>25</v>
      </c>
      <c r="D1010" t="s">
        <v>1785</v>
      </c>
      <c r="E1010" t="s">
        <v>1790</v>
      </c>
      <c r="F1010" t="s">
        <v>1796</v>
      </c>
      <c r="G1010" s="5">
        <v>34969</v>
      </c>
      <c r="H1010" t="s">
        <v>1801</v>
      </c>
      <c r="I1010" t="s">
        <v>1807</v>
      </c>
      <c r="J1010" s="2">
        <v>42583</v>
      </c>
      <c r="K1010">
        <f t="shared" ca="1" si="30"/>
        <v>9</v>
      </c>
      <c r="L1010">
        <f t="shared" ca="1" si="31"/>
        <v>4</v>
      </c>
      <c r="M1010" t="s">
        <v>1810</v>
      </c>
      <c r="N1010">
        <v>5</v>
      </c>
      <c r="O1010" t="s">
        <v>1815</v>
      </c>
      <c r="P1010" t="s">
        <v>1832</v>
      </c>
    </row>
    <row r="1011" spans="1:16" x14ac:dyDescent="0.3">
      <c r="A1011" t="s">
        <v>1022</v>
      </c>
      <c r="B1011" t="s">
        <v>1731</v>
      </c>
      <c r="C1011">
        <v>50</v>
      </c>
      <c r="D1011" t="s">
        <v>1784</v>
      </c>
      <c r="E1011" t="s">
        <v>1786</v>
      </c>
      <c r="F1011" t="s">
        <v>1797</v>
      </c>
      <c r="G1011" s="5">
        <v>20810</v>
      </c>
      <c r="H1011" t="s">
        <v>1801</v>
      </c>
      <c r="I1011" t="s">
        <v>1807</v>
      </c>
      <c r="J1011" s="2">
        <v>44626</v>
      </c>
      <c r="K1011">
        <f t="shared" ca="1" si="30"/>
        <v>3</v>
      </c>
      <c r="L1011">
        <f t="shared" ca="1" si="31"/>
        <v>9</v>
      </c>
      <c r="M1011" t="s">
        <v>1810</v>
      </c>
      <c r="N1011">
        <v>1</v>
      </c>
      <c r="O1011" t="s">
        <v>1812</v>
      </c>
      <c r="P1011" t="s">
        <v>1834</v>
      </c>
    </row>
    <row r="1012" spans="1:16" x14ac:dyDescent="0.3">
      <c r="A1012" t="s">
        <v>1023</v>
      </c>
      <c r="B1012" t="s">
        <v>1768</v>
      </c>
      <c r="C1012">
        <v>44</v>
      </c>
      <c r="D1012" t="s">
        <v>1785</v>
      </c>
      <c r="E1012" t="s">
        <v>1791</v>
      </c>
      <c r="F1012" t="s">
        <v>1794</v>
      </c>
      <c r="G1012" s="5">
        <v>74324</v>
      </c>
      <c r="H1012" t="s">
        <v>1803</v>
      </c>
      <c r="I1012" t="s">
        <v>1806</v>
      </c>
      <c r="J1012" s="2">
        <v>43002</v>
      </c>
      <c r="K1012">
        <f t="shared" ca="1" si="30"/>
        <v>8</v>
      </c>
      <c r="L1012">
        <f t="shared" ca="1" si="31"/>
        <v>2</v>
      </c>
      <c r="M1012" t="s">
        <v>1809</v>
      </c>
      <c r="N1012">
        <v>4</v>
      </c>
      <c r="O1012" t="s">
        <v>1813</v>
      </c>
      <c r="P1012" t="s">
        <v>1831</v>
      </c>
    </row>
    <row r="1013" spans="1:16" x14ac:dyDescent="0.3">
      <c r="A1013" t="s">
        <v>1024</v>
      </c>
      <c r="B1013" t="s">
        <v>1715</v>
      </c>
      <c r="C1013">
        <v>42</v>
      </c>
      <c r="D1013" t="s">
        <v>1783</v>
      </c>
      <c r="E1013" t="s">
        <v>1789</v>
      </c>
      <c r="F1013" t="s">
        <v>1797</v>
      </c>
      <c r="G1013" s="5">
        <v>75216</v>
      </c>
      <c r="H1013" t="s">
        <v>1802</v>
      </c>
      <c r="I1013" t="s">
        <v>1807</v>
      </c>
      <c r="J1013" s="2">
        <v>42814</v>
      </c>
      <c r="K1013">
        <f t="shared" ca="1" si="30"/>
        <v>8</v>
      </c>
      <c r="L1013">
        <f t="shared" ca="1" si="31"/>
        <v>8</v>
      </c>
      <c r="M1013" t="s">
        <v>1809</v>
      </c>
      <c r="N1013">
        <v>2</v>
      </c>
      <c r="O1013" t="s">
        <v>1811</v>
      </c>
      <c r="P1013" t="s">
        <v>1831</v>
      </c>
    </row>
    <row r="1014" spans="1:16" x14ac:dyDescent="0.3">
      <c r="A1014" t="s">
        <v>1025</v>
      </c>
      <c r="B1014" t="s">
        <v>1771</v>
      </c>
      <c r="C1014">
        <v>22</v>
      </c>
      <c r="D1014" t="s">
        <v>1783</v>
      </c>
      <c r="E1014" t="s">
        <v>1786</v>
      </c>
      <c r="F1014" t="s">
        <v>1797</v>
      </c>
      <c r="G1014" s="5">
        <v>25455</v>
      </c>
      <c r="H1014" t="s">
        <v>1801</v>
      </c>
      <c r="I1014" t="s">
        <v>1807</v>
      </c>
      <c r="J1014" s="2">
        <v>44234</v>
      </c>
      <c r="K1014">
        <f t="shared" ca="1" si="30"/>
        <v>4</v>
      </c>
      <c r="L1014">
        <f t="shared" ca="1" si="31"/>
        <v>10</v>
      </c>
      <c r="M1014" t="s">
        <v>1809</v>
      </c>
      <c r="N1014">
        <v>3</v>
      </c>
      <c r="O1014" t="s">
        <v>1818</v>
      </c>
      <c r="P1014" t="s">
        <v>1832</v>
      </c>
    </row>
    <row r="1015" spans="1:16" x14ac:dyDescent="0.3">
      <c r="A1015" t="s">
        <v>1026</v>
      </c>
      <c r="B1015" t="s">
        <v>1775</v>
      </c>
      <c r="C1015">
        <v>58</v>
      </c>
      <c r="D1015" t="s">
        <v>1785</v>
      </c>
      <c r="E1015" t="s">
        <v>1786</v>
      </c>
      <c r="F1015" t="s">
        <v>1798</v>
      </c>
      <c r="G1015" s="5">
        <v>56327</v>
      </c>
      <c r="H1015" t="s">
        <v>1805</v>
      </c>
      <c r="I1015" t="s">
        <v>1808</v>
      </c>
      <c r="J1015" s="2">
        <v>44398</v>
      </c>
      <c r="K1015">
        <f t="shared" ca="1" si="30"/>
        <v>4</v>
      </c>
      <c r="L1015">
        <f t="shared" ca="1" si="31"/>
        <v>4</v>
      </c>
      <c r="M1015" t="s">
        <v>1809</v>
      </c>
      <c r="N1015">
        <v>1</v>
      </c>
      <c r="O1015" t="s">
        <v>1813</v>
      </c>
      <c r="P1015" t="s">
        <v>1834</v>
      </c>
    </row>
    <row r="1016" spans="1:16" x14ac:dyDescent="0.3">
      <c r="A1016" t="s">
        <v>1027</v>
      </c>
      <c r="B1016" t="s">
        <v>1763</v>
      </c>
      <c r="C1016">
        <v>33</v>
      </c>
      <c r="D1016" t="s">
        <v>1784</v>
      </c>
      <c r="E1016" t="s">
        <v>1789</v>
      </c>
      <c r="F1016" t="s">
        <v>1800</v>
      </c>
      <c r="G1016" s="5">
        <v>46873</v>
      </c>
      <c r="H1016" t="s">
        <v>1804</v>
      </c>
      <c r="I1016" t="s">
        <v>1808</v>
      </c>
      <c r="J1016" s="2">
        <v>45633</v>
      </c>
      <c r="K1016">
        <f t="shared" ca="1" si="30"/>
        <v>1</v>
      </c>
      <c r="L1016">
        <f t="shared" ca="1" si="31"/>
        <v>0</v>
      </c>
      <c r="M1016" t="s">
        <v>1810</v>
      </c>
      <c r="N1016">
        <v>2</v>
      </c>
      <c r="O1016" t="s">
        <v>1814</v>
      </c>
      <c r="P1016" t="s">
        <v>1833</v>
      </c>
    </row>
    <row r="1017" spans="1:16" x14ac:dyDescent="0.3">
      <c r="A1017" t="s">
        <v>1028</v>
      </c>
      <c r="B1017" t="s">
        <v>1758</v>
      </c>
      <c r="C1017">
        <v>54</v>
      </c>
      <c r="D1017" t="s">
        <v>1785</v>
      </c>
      <c r="E1017" t="s">
        <v>1793</v>
      </c>
      <c r="F1017" t="s">
        <v>1796</v>
      </c>
      <c r="G1017" s="5">
        <v>25077</v>
      </c>
      <c r="H1017" t="s">
        <v>1803</v>
      </c>
      <c r="I1017" t="s">
        <v>1806</v>
      </c>
      <c r="J1017" s="2">
        <v>44985</v>
      </c>
      <c r="K1017">
        <f t="shared" ca="1" si="30"/>
        <v>2</v>
      </c>
      <c r="L1017">
        <f t="shared" ca="1" si="31"/>
        <v>9</v>
      </c>
      <c r="M1017" t="s">
        <v>1810</v>
      </c>
      <c r="N1017">
        <v>3</v>
      </c>
      <c r="O1017" t="s">
        <v>1813</v>
      </c>
      <c r="P1017" t="s">
        <v>1834</v>
      </c>
    </row>
    <row r="1018" spans="1:16" x14ac:dyDescent="0.3">
      <c r="A1018" t="s">
        <v>1029</v>
      </c>
      <c r="B1018" t="s">
        <v>1732</v>
      </c>
      <c r="C1018">
        <v>53</v>
      </c>
      <c r="D1018" t="s">
        <v>1783</v>
      </c>
      <c r="E1018" t="s">
        <v>1788</v>
      </c>
      <c r="F1018" t="s">
        <v>1795</v>
      </c>
      <c r="G1018" s="5">
        <v>115243</v>
      </c>
      <c r="H1018" t="s">
        <v>1802</v>
      </c>
      <c r="I1018" t="s">
        <v>1807</v>
      </c>
      <c r="J1018" s="2">
        <v>43963</v>
      </c>
      <c r="K1018">
        <f t="shared" ca="1" si="30"/>
        <v>5</v>
      </c>
      <c r="L1018">
        <f t="shared" ca="1" si="31"/>
        <v>6</v>
      </c>
      <c r="M1018" t="s">
        <v>1809</v>
      </c>
      <c r="N1018">
        <v>1</v>
      </c>
      <c r="O1018" t="s">
        <v>1815</v>
      </c>
      <c r="P1018" t="s">
        <v>1834</v>
      </c>
    </row>
    <row r="1019" spans="1:16" x14ac:dyDescent="0.3">
      <c r="A1019" t="s">
        <v>1030</v>
      </c>
      <c r="B1019" t="s">
        <v>1747</v>
      </c>
      <c r="C1019">
        <v>49</v>
      </c>
      <c r="D1019" t="s">
        <v>1783</v>
      </c>
      <c r="E1019" t="s">
        <v>1792</v>
      </c>
      <c r="F1019" t="s">
        <v>1799</v>
      </c>
      <c r="G1019" s="5">
        <v>83392</v>
      </c>
      <c r="H1019" t="s">
        <v>1801</v>
      </c>
      <c r="I1019" t="s">
        <v>1808</v>
      </c>
      <c r="J1019" s="2">
        <v>43576</v>
      </c>
      <c r="K1019">
        <f t="shared" ca="1" si="30"/>
        <v>6</v>
      </c>
      <c r="L1019">
        <f t="shared" ca="1" si="31"/>
        <v>7</v>
      </c>
      <c r="M1019" t="s">
        <v>1810</v>
      </c>
      <c r="N1019">
        <v>3</v>
      </c>
      <c r="O1019" t="s">
        <v>1813</v>
      </c>
      <c r="P1019" t="s">
        <v>1834</v>
      </c>
    </row>
    <row r="1020" spans="1:16" x14ac:dyDescent="0.3">
      <c r="A1020" t="s">
        <v>1031</v>
      </c>
      <c r="B1020" t="s">
        <v>1740</v>
      </c>
      <c r="C1020">
        <v>44</v>
      </c>
      <c r="D1020" t="s">
        <v>1784</v>
      </c>
      <c r="E1020" t="s">
        <v>1792</v>
      </c>
      <c r="F1020" t="s">
        <v>1800</v>
      </c>
      <c r="G1020" s="5">
        <v>68146</v>
      </c>
      <c r="H1020" t="s">
        <v>1803</v>
      </c>
      <c r="I1020" t="s">
        <v>1807</v>
      </c>
      <c r="J1020" s="2">
        <v>43357</v>
      </c>
      <c r="K1020">
        <f t="shared" ca="1" si="30"/>
        <v>7</v>
      </c>
      <c r="L1020">
        <f t="shared" ca="1" si="31"/>
        <v>2</v>
      </c>
      <c r="M1020" t="s">
        <v>1809</v>
      </c>
      <c r="N1020">
        <v>4</v>
      </c>
      <c r="O1020" t="s">
        <v>1816</v>
      </c>
      <c r="P1020" t="s">
        <v>1831</v>
      </c>
    </row>
    <row r="1021" spans="1:16" x14ac:dyDescent="0.3">
      <c r="A1021" t="s">
        <v>1032</v>
      </c>
      <c r="B1021" t="s">
        <v>1744</v>
      </c>
      <c r="C1021">
        <v>23</v>
      </c>
      <c r="D1021" t="s">
        <v>1785</v>
      </c>
      <c r="E1021" t="s">
        <v>1788</v>
      </c>
      <c r="F1021" t="s">
        <v>1795</v>
      </c>
      <c r="G1021" s="5">
        <v>22103</v>
      </c>
      <c r="H1021" t="s">
        <v>1804</v>
      </c>
      <c r="I1021" t="s">
        <v>1807</v>
      </c>
      <c r="J1021" s="2">
        <v>44931</v>
      </c>
      <c r="K1021">
        <f t="shared" ca="1" si="30"/>
        <v>2</v>
      </c>
      <c r="L1021">
        <f t="shared" ca="1" si="31"/>
        <v>11</v>
      </c>
      <c r="M1021" t="s">
        <v>1810</v>
      </c>
      <c r="N1021">
        <v>3</v>
      </c>
      <c r="O1021" t="s">
        <v>1815</v>
      </c>
      <c r="P1021" t="s">
        <v>1832</v>
      </c>
    </row>
    <row r="1022" spans="1:16" x14ac:dyDescent="0.3">
      <c r="A1022" t="s">
        <v>1033</v>
      </c>
      <c r="B1022" t="s">
        <v>1740</v>
      </c>
      <c r="C1022">
        <v>47</v>
      </c>
      <c r="D1022" t="s">
        <v>1784</v>
      </c>
      <c r="E1022" t="s">
        <v>1792</v>
      </c>
      <c r="F1022" t="s">
        <v>1795</v>
      </c>
      <c r="G1022" s="5">
        <v>32314</v>
      </c>
      <c r="H1022" t="s">
        <v>1803</v>
      </c>
      <c r="I1022" t="s">
        <v>1806</v>
      </c>
      <c r="J1022" s="2">
        <v>45214</v>
      </c>
      <c r="K1022">
        <f t="shared" ca="1" si="30"/>
        <v>2</v>
      </c>
      <c r="L1022">
        <f t="shared" ca="1" si="31"/>
        <v>1</v>
      </c>
      <c r="M1022" t="s">
        <v>1810</v>
      </c>
      <c r="N1022">
        <v>5</v>
      </c>
      <c r="O1022" t="s">
        <v>1812</v>
      </c>
      <c r="P1022" t="s">
        <v>1834</v>
      </c>
    </row>
    <row r="1023" spans="1:16" x14ac:dyDescent="0.3">
      <c r="A1023" t="s">
        <v>1034</v>
      </c>
      <c r="B1023" t="s">
        <v>1744</v>
      </c>
      <c r="C1023">
        <v>56</v>
      </c>
      <c r="D1023" t="s">
        <v>1785</v>
      </c>
      <c r="E1023" t="s">
        <v>1788</v>
      </c>
      <c r="F1023" t="s">
        <v>1800</v>
      </c>
      <c r="G1023" s="5">
        <v>39305</v>
      </c>
      <c r="H1023" t="s">
        <v>1803</v>
      </c>
      <c r="I1023" t="s">
        <v>1806</v>
      </c>
      <c r="J1023" s="2">
        <v>43413</v>
      </c>
      <c r="K1023">
        <f t="shared" ca="1" si="30"/>
        <v>7</v>
      </c>
      <c r="L1023">
        <f t="shared" ca="1" si="31"/>
        <v>1</v>
      </c>
      <c r="M1023" t="s">
        <v>1809</v>
      </c>
      <c r="N1023">
        <v>1</v>
      </c>
      <c r="O1023" t="s">
        <v>1814</v>
      </c>
      <c r="P1023" t="s">
        <v>1834</v>
      </c>
    </row>
    <row r="1024" spans="1:16" x14ac:dyDescent="0.3">
      <c r="A1024" t="s">
        <v>1035</v>
      </c>
      <c r="B1024" t="s">
        <v>1767</v>
      </c>
      <c r="C1024">
        <v>35</v>
      </c>
      <c r="D1024" t="s">
        <v>1785</v>
      </c>
      <c r="E1024" t="s">
        <v>1788</v>
      </c>
      <c r="F1024" t="s">
        <v>1795</v>
      </c>
      <c r="G1024" s="5">
        <v>62241</v>
      </c>
      <c r="H1024" t="s">
        <v>1803</v>
      </c>
      <c r="I1024" t="s">
        <v>1807</v>
      </c>
      <c r="J1024" s="2">
        <v>44959</v>
      </c>
      <c r="K1024">
        <f t="shared" ca="1" si="30"/>
        <v>2</v>
      </c>
      <c r="L1024">
        <f t="shared" ca="1" si="31"/>
        <v>10</v>
      </c>
      <c r="M1024" t="s">
        <v>1810</v>
      </c>
      <c r="N1024">
        <v>3</v>
      </c>
      <c r="O1024" t="s">
        <v>1814</v>
      </c>
      <c r="P1024" t="s">
        <v>1833</v>
      </c>
    </row>
    <row r="1025" spans="1:16" x14ac:dyDescent="0.3">
      <c r="A1025" t="s">
        <v>1036</v>
      </c>
      <c r="B1025" t="s">
        <v>1725</v>
      </c>
      <c r="C1025">
        <v>58</v>
      </c>
      <c r="D1025" t="s">
        <v>1783</v>
      </c>
      <c r="E1025" t="s">
        <v>1793</v>
      </c>
      <c r="F1025" t="s">
        <v>1795</v>
      </c>
      <c r="G1025" s="5">
        <v>58225</v>
      </c>
      <c r="H1025" t="s">
        <v>1804</v>
      </c>
      <c r="I1025" t="s">
        <v>1808</v>
      </c>
      <c r="J1025" s="2">
        <v>45909</v>
      </c>
      <c r="K1025">
        <f t="shared" ca="1" si="30"/>
        <v>0</v>
      </c>
      <c r="L1025">
        <f t="shared" ca="1" si="31"/>
        <v>3</v>
      </c>
      <c r="M1025" t="s">
        <v>1809</v>
      </c>
      <c r="N1025">
        <v>4</v>
      </c>
      <c r="O1025" t="s">
        <v>1812</v>
      </c>
      <c r="P1025" t="s">
        <v>1834</v>
      </c>
    </row>
    <row r="1026" spans="1:16" x14ac:dyDescent="0.3">
      <c r="A1026" t="s">
        <v>1037</v>
      </c>
      <c r="B1026" t="s">
        <v>1768</v>
      </c>
      <c r="C1026">
        <v>20</v>
      </c>
      <c r="D1026" t="s">
        <v>1784</v>
      </c>
      <c r="E1026" t="s">
        <v>1792</v>
      </c>
      <c r="F1026" t="s">
        <v>1800</v>
      </c>
      <c r="G1026" s="5">
        <v>65018</v>
      </c>
      <c r="H1026" t="s">
        <v>1805</v>
      </c>
      <c r="I1026" t="s">
        <v>1807</v>
      </c>
      <c r="J1026" s="2">
        <v>44111</v>
      </c>
      <c r="K1026">
        <f t="shared" ca="1" si="30"/>
        <v>5</v>
      </c>
      <c r="L1026">
        <f t="shared" ca="1" si="31"/>
        <v>2</v>
      </c>
      <c r="M1026" t="s">
        <v>1809</v>
      </c>
      <c r="N1026">
        <v>5</v>
      </c>
      <c r="O1026" t="s">
        <v>1813</v>
      </c>
      <c r="P1026" t="s">
        <v>1832</v>
      </c>
    </row>
    <row r="1027" spans="1:16" x14ac:dyDescent="0.3">
      <c r="A1027" t="s">
        <v>1038</v>
      </c>
      <c r="B1027" t="s">
        <v>1763</v>
      </c>
      <c r="C1027">
        <v>55</v>
      </c>
      <c r="D1027" t="s">
        <v>1784</v>
      </c>
      <c r="E1027" t="s">
        <v>1793</v>
      </c>
      <c r="F1027" t="s">
        <v>1798</v>
      </c>
      <c r="G1027" s="5">
        <v>75729</v>
      </c>
      <c r="H1027" t="s">
        <v>1804</v>
      </c>
      <c r="I1027" t="s">
        <v>1808</v>
      </c>
      <c r="J1027" s="2">
        <v>43501</v>
      </c>
      <c r="K1027">
        <f t="shared" ref="K1027:K1090" ca="1" si="32">YEAR(TODAY()) - YEAR(J1027)</f>
        <v>6</v>
      </c>
      <c r="L1027">
        <f t="shared" ref="L1027:L1090" ca="1" si="33">DATEDIF(J1027,TODAY(),"YM")</f>
        <v>10</v>
      </c>
      <c r="M1027" t="s">
        <v>1810</v>
      </c>
      <c r="N1027">
        <v>2</v>
      </c>
      <c r="O1027" t="s">
        <v>1815</v>
      </c>
      <c r="P1027" t="s">
        <v>1834</v>
      </c>
    </row>
    <row r="1028" spans="1:16" x14ac:dyDescent="0.3">
      <c r="A1028" t="s">
        <v>1039</v>
      </c>
      <c r="B1028" t="s">
        <v>1776</v>
      </c>
      <c r="C1028">
        <v>23</v>
      </c>
      <c r="D1028" t="s">
        <v>1783</v>
      </c>
      <c r="E1028" t="s">
        <v>1793</v>
      </c>
      <c r="F1028" t="s">
        <v>1797</v>
      </c>
      <c r="G1028" s="5">
        <v>103799</v>
      </c>
      <c r="H1028" t="s">
        <v>1802</v>
      </c>
      <c r="I1028" t="s">
        <v>1806</v>
      </c>
      <c r="J1028" s="2">
        <v>44513</v>
      </c>
      <c r="K1028">
        <f t="shared" ca="1" si="32"/>
        <v>4</v>
      </c>
      <c r="L1028">
        <f t="shared" ca="1" si="33"/>
        <v>0</v>
      </c>
      <c r="M1028" t="s">
        <v>1810</v>
      </c>
      <c r="N1028">
        <v>5</v>
      </c>
      <c r="O1028" t="s">
        <v>1817</v>
      </c>
      <c r="P1028" t="s">
        <v>1832</v>
      </c>
    </row>
    <row r="1029" spans="1:16" x14ac:dyDescent="0.3">
      <c r="A1029" t="s">
        <v>1040</v>
      </c>
      <c r="B1029" t="s">
        <v>1735</v>
      </c>
      <c r="C1029">
        <v>34</v>
      </c>
      <c r="D1029" t="s">
        <v>1783</v>
      </c>
      <c r="E1029" t="s">
        <v>1788</v>
      </c>
      <c r="F1029" t="s">
        <v>1797</v>
      </c>
      <c r="G1029" s="5">
        <v>51743</v>
      </c>
      <c r="H1029" t="s">
        <v>1804</v>
      </c>
      <c r="I1029" t="s">
        <v>1806</v>
      </c>
      <c r="J1029" s="2">
        <v>45380</v>
      </c>
      <c r="K1029">
        <f t="shared" ca="1" si="32"/>
        <v>1</v>
      </c>
      <c r="L1029">
        <f t="shared" ca="1" si="33"/>
        <v>8</v>
      </c>
      <c r="M1029" t="s">
        <v>1809</v>
      </c>
      <c r="N1029">
        <v>5</v>
      </c>
      <c r="O1029" t="s">
        <v>1815</v>
      </c>
      <c r="P1029" t="s">
        <v>1833</v>
      </c>
    </row>
    <row r="1030" spans="1:16" x14ac:dyDescent="0.3">
      <c r="A1030" t="s">
        <v>1041</v>
      </c>
      <c r="B1030" t="s">
        <v>1724</v>
      </c>
      <c r="C1030">
        <v>24</v>
      </c>
      <c r="D1030" t="s">
        <v>1785</v>
      </c>
      <c r="E1030" t="s">
        <v>1790</v>
      </c>
      <c r="F1030" t="s">
        <v>1795</v>
      </c>
      <c r="G1030" s="5">
        <v>32835</v>
      </c>
      <c r="H1030" t="s">
        <v>1801</v>
      </c>
      <c r="I1030" t="s">
        <v>1807</v>
      </c>
      <c r="J1030" s="2">
        <v>43273</v>
      </c>
      <c r="K1030">
        <f t="shared" ca="1" si="32"/>
        <v>7</v>
      </c>
      <c r="L1030">
        <f t="shared" ca="1" si="33"/>
        <v>5</v>
      </c>
      <c r="M1030" t="s">
        <v>1810</v>
      </c>
      <c r="N1030">
        <v>5</v>
      </c>
      <c r="O1030" t="s">
        <v>1817</v>
      </c>
      <c r="P1030" t="s">
        <v>1832</v>
      </c>
    </row>
    <row r="1031" spans="1:16" x14ac:dyDescent="0.3">
      <c r="A1031" t="s">
        <v>1042</v>
      </c>
      <c r="B1031" t="s">
        <v>1716</v>
      </c>
      <c r="C1031">
        <v>47</v>
      </c>
      <c r="D1031" t="s">
        <v>1784</v>
      </c>
      <c r="E1031" t="s">
        <v>1791</v>
      </c>
      <c r="F1031" t="s">
        <v>1796</v>
      </c>
      <c r="G1031" s="5">
        <v>21236</v>
      </c>
      <c r="H1031" t="s">
        <v>1805</v>
      </c>
      <c r="I1031" t="s">
        <v>1808</v>
      </c>
      <c r="J1031" s="2">
        <v>43810</v>
      </c>
      <c r="K1031">
        <f t="shared" ca="1" si="32"/>
        <v>6</v>
      </c>
      <c r="L1031">
        <f t="shared" ca="1" si="33"/>
        <v>11</v>
      </c>
      <c r="M1031" t="s">
        <v>1810</v>
      </c>
      <c r="N1031">
        <v>3</v>
      </c>
      <c r="O1031" t="s">
        <v>1812</v>
      </c>
      <c r="P1031" t="s">
        <v>1834</v>
      </c>
    </row>
    <row r="1032" spans="1:16" x14ac:dyDescent="0.3">
      <c r="A1032" t="s">
        <v>1043</v>
      </c>
      <c r="B1032" t="s">
        <v>1763</v>
      </c>
      <c r="C1032">
        <v>21</v>
      </c>
      <c r="D1032" t="s">
        <v>1783</v>
      </c>
      <c r="E1032" t="s">
        <v>1789</v>
      </c>
      <c r="F1032" t="s">
        <v>1796</v>
      </c>
      <c r="G1032" s="5">
        <v>23847</v>
      </c>
      <c r="H1032" t="s">
        <v>1802</v>
      </c>
      <c r="I1032" t="s">
        <v>1806</v>
      </c>
      <c r="J1032" s="2">
        <v>42542</v>
      </c>
      <c r="K1032">
        <f t="shared" ca="1" si="32"/>
        <v>9</v>
      </c>
      <c r="L1032">
        <f t="shared" ca="1" si="33"/>
        <v>5</v>
      </c>
      <c r="M1032" t="s">
        <v>1809</v>
      </c>
      <c r="N1032">
        <v>5</v>
      </c>
      <c r="O1032" t="s">
        <v>1815</v>
      </c>
      <c r="P1032" t="s">
        <v>1832</v>
      </c>
    </row>
    <row r="1033" spans="1:16" x14ac:dyDescent="0.3">
      <c r="A1033" t="s">
        <v>1044</v>
      </c>
      <c r="B1033" t="s">
        <v>1753</v>
      </c>
      <c r="C1033">
        <v>52</v>
      </c>
      <c r="D1033" t="s">
        <v>1785</v>
      </c>
      <c r="E1033" t="s">
        <v>1789</v>
      </c>
      <c r="F1033" t="s">
        <v>1800</v>
      </c>
      <c r="G1033" s="5">
        <v>46163</v>
      </c>
      <c r="H1033" t="s">
        <v>1805</v>
      </c>
      <c r="I1033" t="s">
        <v>1807</v>
      </c>
      <c r="J1033" s="2">
        <v>45129</v>
      </c>
      <c r="K1033">
        <f t="shared" ca="1" si="32"/>
        <v>2</v>
      </c>
      <c r="L1033">
        <f t="shared" ca="1" si="33"/>
        <v>4</v>
      </c>
      <c r="M1033" t="s">
        <v>1809</v>
      </c>
      <c r="N1033">
        <v>4</v>
      </c>
      <c r="O1033" t="s">
        <v>1813</v>
      </c>
      <c r="P1033" t="s">
        <v>1834</v>
      </c>
    </row>
    <row r="1034" spans="1:16" x14ac:dyDescent="0.3">
      <c r="A1034" t="s">
        <v>1045</v>
      </c>
      <c r="B1034" t="s">
        <v>1769</v>
      </c>
      <c r="C1034">
        <v>56</v>
      </c>
      <c r="D1034" t="s">
        <v>1785</v>
      </c>
      <c r="E1034" t="s">
        <v>1787</v>
      </c>
      <c r="F1034" t="s">
        <v>1794</v>
      </c>
      <c r="G1034" s="5">
        <v>88643</v>
      </c>
      <c r="H1034" t="s">
        <v>1801</v>
      </c>
      <c r="I1034" t="s">
        <v>1806</v>
      </c>
      <c r="J1034" s="2">
        <v>45707</v>
      </c>
      <c r="K1034">
        <f t="shared" ca="1" si="32"/>
        <v>0</v>
      </c>
      <c r="L1034">
        <f t="shared" ca="1" si="33"/>
        <v>9</v>
      </c>
      <c r="M1034" t="s">
        <v>1809</v>
      </c>
      <c r="N1034">
        <v>5</v>
      </c>
      <c r="O1034" t="s">
        <v>1812</v>
      </c>
      <c r="P1034" t="s">
        <v>1834</v>
      </c>
    </row>
    <row r="1035" spans="1:16" x14ac:dyDescent="0.3">
      <c r="A1035" t="s">
        <v>1046</v>
      </c>
      <c r="B1035" t="s">
        <v>1771</v>
      </c>
      <c r="C1035">
        <v>48</v>
      </c>
      <c r="D1035" t="s">
        <v>1784</v>
      </c>
      <c r="E1035" t="s">
        <v>1788</v>
      </c>
      <c r="F1035" t="s">
        <v>1799</v>
      </c>
      <c r="G1035" s="5">
        <v>43562</v>
      </c>
      <c r="H1035" t="s">
        <v>1805</v>
      </c>
      <c r="I1035" t="s">
        <v>1808</v>
      </c>
      <c r="J1035" s="2">
        <v>43437</v>
      </c>
      <c r="K1035">
        <f t="shared" ca="1" si="32"/>
        <v>7</v>
      </c>
      <c r="L1035">
        <f t="shared" ca="1" si="33"/>
        <v>0</v>
      </c>
      <c r="M1035" t="s">
        <v>1810</v>
      </c>
      <c r="N1035">
        <v>2</v>
      </c>
      <c r="O1035" t="s">
        <v>1817</v>
      </c>
      <c r="P1035" t="s">
        <v>1834</v>
      </c>
    </row>
    <row r="1036" spans="1:16" x14ac:dyDescent="0.3">
      <c r="A1036" t="s">
        <v>1047</v>
      </c>
      <c r="B1036" t="s">
        <v>1743</v>
      </c>
      <c r="C1036">
        <v>40</v>
      </c>
      <c r="D1036" t="s">
        <v>1785</v>
      </c>
      <c r="E1036" t="s">
        <v>1793</v>
      </c>
      <c r="F1036" t="s">
        <v>1798</v>
      </c>
      <c r="G1036" s="5">
        <v>108842</v>
      </c>
      <c r="H1036" t="s">
        <v>1803</v>
      </c>
      <c r="I1036" t="s">
        <v>1806</v>
      </c>
      <c r="J1036" s="2">
        <v>44117</v>
      </c>
      <c r="K1036">
        <f t="shared" ca="1" si="32"/>
        <v>5</v>
      </c>
      <c r="L1036">
        <f t="shared" ca="1" si="33"/>
        <v>1</v>
      </c>
      <c r="M1036" t="s">
        <v>1810</v>
      </c>
      <c r="N1036">
        <v>1</v>
      </c>
      <c r="O1036" t="s">
        <v>1817</v>
      </c>
      <c r="P1036" t="s">
        <v>1831</v>
      </c>
    </row>
    <row r="1037" spans="1:16" x14ac:dyDescent="0.3">
      <c r="A1037" t="s">
        <v>1048</v>
      </c>
      <c r="B1037" t="s">
        <v>1771</v>
      </c>
      <c r="C1037">
        <v>24</v>
      </c>
      <c r="D1037" t="s">
        <v>1784</v>
      </c>
      <c r="E1037" t="s">
        <v>1790</v>
      </c>
      <c r="F1037" t="s">
        <v>1798</v>
      </c>
      <c r="G1037" s="5">
        <v>97327</v>
      </c>
      <c r="H1037" t="s">
        <v>1803</v>
      </c>
      <c r="I1037" t="s">
        <v>1808</v>
      </c>
      <c r="J1037" s="2">
        <v>43379</v>
      </c>
      <c r="K1037">
        <f t="shared" ca="1" si="32"/>
        <v>7</v>
      </c>
      <c r="L1037">
        <f t="shared" ca="1" si="33"/>
        <v>2</v>
      </c>
      <c r="M1037" t="s">
        <v>1809</v>
      </c>
      <c r="N1037">
        <v>5</v>
      </c>
      <c r="O1037" t="s">
        <v>1815</v>
      </c>
      <c r="P1037" t="s">
        <v>1832</v>
      </c>
    </row>
    <row r="1038" spans="1:16" x14ac:dyDescent="0.3">
      <c r="A1038" t="s">
        <v>1049</v>
      </c>
      <c r="B1038" t="s">
        <v>1746</v>
      </c>
      <c r="C1038">
        <v>57</v>
      </c>
      <c r="D1038" t="s">
        <v>1785</v>
      </c>
      <c r="E1038" t="s">
        <v>1791</v>
      </c>
      <c r="F1038" t="s">
        <v>1796</v>
      </c>
      <c r="G1038" s="5">
        <v>97370</v>
      </c>
      <c r="H1038" t="s">
        <v>1804</v>
      </c>
      <c r="I1038" t="s">
        <v>1808</v>
      </c>
      <c r="J1038" s="2">
        <v>43723</v>
      </c>
      <c r="K1038">
        <f t="shared" ca="1" si="32"/>
        <v>6</v>
      </c>
      <c r="L1038">
        <f t="shared" ca="1" si="33"/>
        <v>2</v>
      </c>
      <c r="M1038" t="s">
        <v>1809</v>
      </c>
      <c r="N1038">
        <v>1</v>
      </c>
      <c r="O1038" t="s">
        <v>1811</v>
      </c>
      <c r="P1038" t="s">
        <v>1834</v>
      </c>
    </row>
    <row r="1039" spans="1:16" x14ac:dyDescent="0.3">
      <c r="A1039" t="s">
        <v>1050</v>
      </c>
      <c r="B1039" t="s">
        <v>1744</v>
      </c>
      <c r="C1039">
        <v>29</v>
      </c>
      <c r="D1039" t="s">
        <v>1785</v>
      </c>
      <c r="E1039" t="s">
        <v>1790</v>
      </c>
      <c r="F1039" t="s">
        <v>1799</v>
      </c>
      <c r="G1039" s="5">
        <v>100920</v>
      </c>
      <c r="H1039" t="s">
        <v>1802</v>
      </c>
      <c r="I1039" t="s">
        <v>1807</v>
      </c>
      <c r="J1039" s="2">
        <v>44297</v>
      </c>
      <c r="K1039">
        <f t="shared" ca="1" si="32"/>
        <v>4</v>
      </c>
      <c r="L1039">
        <f t="shared" ca="1" si="33"/>
        <v>7</v>
      </c>
      <c r="M1039" t="s">
        <v>1809</v>
      </c>
      <c r="N1039">
        <v>2</v>
      </c>
      <c r="O1039" t="s">
        <v>1813</v>
      </c>
      <c r="P1039" t="s">
        <v>1833</v>
      </c>
    </row>
    <row r="1040" spans="1:16" x14ac:dyDescent="0.3">
      <c r="A1040" t="s">
        <v>1051</v>
      </c>
      <c r="B1040" t="s">
        <v>1754</v>
      </c>
      <c r="C1040">
        <v>55</v>
      </c>
      <c r="D1040" t="s">
        <v>1785</v>
      </c>
      <c r="E1040" t="s">
        <v>1790</v>
      </c>
      <c r="F1040" t="s">
        <v>1797</v>
      </c>
      <c r="G1040" s="5">
        <v>115367</v>
      </c>
      <c r="H1040" t="s">
        <v>1802</v>
      </c>
      <c r="I1040" t="s">
        <v>1807</v>
      </c>
      <c r="J1040" s="2">
        <v>45853</v>
      </c>
      <c r="K1040">
        <f t="shared" ca="1" si="32"/>
        <v>0</v>
      </c>
      <c r="L1040">
        <f t="shared" ca="1" si="33"/>
        <v>4</v>
      </c>
      <c r="M1040" t="s">
        <v>1810</v>
      </c>
      <c r="N1040">
        <v>1</v>
      </c>
      <c r="O1040" t="s">
        <v>1816</v>
      </c>
      <c r="P1040" t="s">
        <v>1834</v>
      </c>
    </row>
    <row r="1041" spans="1:16" x14ac:dyDescent="0.3">
      <c r="A1041" t="s">
        <v>1052</v>
      </c>
      <c r="B1041" t="s">
        <v>1769</v>
      </c>
      <c r="C1041">
        <v>52</v>
      </c>
      <c r="D1041" t="s">
        <v>1785</v>
      </c>
      <c r="E1041" t="s">
        <v>1787</v>
      </c>
      <c r="F1041" t="s">
        <v>1796</v>
      </c>
      <c r="G1041" s="5">
        <v>73359</v>
      </c>
      <c r="H1041" t="s">
        <v>1802</v>
      </c>
      <c r="I1041" t="s">
        <v>1808</v>
      </c>
      <c r="J1041" s="2">
        <v>45292</v>
      </c>
      <c r="K1041">
        <f t="shared" ca="1" si="32"/>
        <v>1</v>
      </c>
      <c r="L1041">
        <f t="shared" ca="1" si="33"/>
        <v>11</v>
      </c>
      <c r="M1041" t="s">
        <v>1809</v>
      </c>
      <c r="N1041">
        <v>3</v>
      </c>
      <c r="O1041" t="s">
        <v>1813</v>
      </c>
      <c r="P1041" t="s">
        <v>1834</v>
      </c>
    </row>
    <row r="1042" spans="1:16" x14ac:dyDescent="0.3">
      <c r="A1042" t="s">
        <v>1053</v>
      </c>
      <c r="B1042" t="s">
        <v>1741</v>
      </c>
      <c r="C1042">
        <v>41</v>
      </c>
      <c r="D1042" t="s">
        <v>1785</v>
      </c>
      <c r="E1042" t="s">
        <v>1793</v>
      </c>
      <c r="F1042" t="s">
        <v>1797</v>
      </c>
      <c r="G1042" s="5">
        <v>112657</v>
      </c>
      <c r="H1042" t="s">
        <v>1801</v>
      </c>
      <c r="I1042" t="s">
        <v>1806</v>
      </c>
      <c r="J1042" s="2">
        <v>43891</v>
      </c>
      <c r="K1042">
        <f t="shared" ca="1" si="32"/>
        <v>5</v>
      </c>
      <c r="L1042">
        <f t="shared" ca="1" si="33"/>
        <v>9</v>
      </c>
      <c r="M1042" t="s">
        <v>1810</v>
      </c>
      <c r="N1042">
        <v>4</v>
      </c>
      <c r="O1042" t="s">
        <v>1812</v>
      </c>
      <c r="P1042" t="s">
        <v>1831</v>
      </c>
    </row>
    <row r="1043" spans="1:16" x14ac:dyDescent="0.3">
      <c r="A1043" t="s">
        <v>1054</v>
      </c>
      <c r="B1043" t="s">
        <v>1754</v>
      </c>
      <c r="C1043">
        <v>50</v>
      </c>
      <c r="D1043" t="s">
        <v>1785</v>
      </c>
      <c r="E1043" t="s">
        <v>1791</v>
      </c>
      <c r="F1043" t="s">
        <v>1798</v>
      </c>
      <c r="G1043" s="5">
        <v>114133</v>
      </c>
      <c r="H1043" t="s">
        <v>1805</v>
      </c>
      <c r="I1043" t="s">
        <v>1806</v>
      </c>
      <c r="J1043" s="2">
        <v>42781</v>
      </c>
      <c r="K1043">
        <f t="shared" ca="1" si="32"/>
        <v>8</v>
      </c>
      <c r="L1043">
        <f t="shared" ca="1" si="33"/>
        <v>9</v>
      </c>
      <c r="M1043" t="s">
        <v>1809</v>
      </c>
      <c r="N1043">
        <v>1</v>
      </c>
      <c r="O1043" t="s">
        <v>1817</v>
      </c>
      <c r="P1043" t="s">
        <v>1834</v>
      </c>
    </row>
    <row r="1044" spans="1:16" x14ac:dyDescent="0.3">
      <c r="A1044" t="s">
        <v>1055</v>
      </c>
      <c r="B1044" t="s">
        <v>1774</v>
      </c>
      <c r="C1044">
        <v>40</v>
      </c>
      <c r="D1044" t="s">
        <v>1784</v>
      </c>
      <c r="E1044" t="s">
        <v>1791</v>
      </c>
      <c r="F1044" t="s">
        <v>1794</v>
      </c>
      <c r="G1044" s="5">
        <v>84672</v>
      </c>
      <c r="H1044" t="s">
        <v>1805</v>
      </c>
      <c r="I1044" t="s">
        <v>1808</v>
      </c>
      <c r="J1044" s="2">
        <v>45604</v>
      </c>
      <c r="K1044">
        <f t="shared" ca="1" si="32"/>
        <v>1</v>
      </c>
      <c r="L1044">
        <f t="shared" ca="1" si="33"/>
        <v>1</v>
      </c>
      <c r="M1044" t="s">
        <v>1809</v>
      </c>
      <c r="N1044">
        <v>2</v>
      </c>
      <c r="O1044" t="s">
        <v>1814</v>
      </c>
      <c r="P1044" t="s">
        <v>1831</v>
      </c>
    </row>
    <row r="1045" spans="1:16" x14ac:dyDescent="0.3">
      <c r="A1045" t="s">
        <v>1056</v>
      </c>
      <c r="B1045" t="s">
        <v>1737</v>
      </c>
      <c r="C1045">
        <v>23</v>
      </c>
      <c r="D1045" t="s">
        <v>1785</v>
      </c>
      <c r="E1045" t="s">
        <v>1787</v>
      </c>
      <c r="F1045" t="s">
        <v>1796</v>
      </c>
      <c r="G1045" s="5">
        <v>55389</v>
      </c>
      <c r="H1045" t="s">
        <v>1803</v>
      </c>
      <c r="I1045" t="s">
        <v>1808</v>
      </c>
      <c r="J1045" s="2">
        <v>45539</v>
      </c>
      <c r="K1045">
        <f t="shared" ca="1" si="32"/>
        <v>1</v>
      </c>
      <c r="L1045">
        <f t="shared" ca="1" si="33"/>
        <v>3</v>
      </c>
      <c r="M1045" t="s">
        <v>1809</v>
      </c>
      <c r="N1045">
        <v>2</v>
      </c>
      <c r="O1045" t="s">
        <v>1818</v>
      </c>
      <c r="P1045" t="s">
        <v>1832</v>
      </c>
    </row>
    <row r="1046" spans="1:16" x14ac:dyDescent="0.3">
      <c r="A1046" t="s">
        <v>1057</v>
      </c>
      <c r="B1046" t="s">
        <v>1743</v>
      </c>
      <c r="C1046">
        <v>53</v>
      </c>
      <c r="D1046" t="s">
        <v>1784</v>
      </c>
      <c r="E1046" t="s">
        <v>1789</v>
      </c>
      <c r="F1046" t="s">
        <v>1796</v>
      </c>
      <c r="G1046" s="5">
        <v>31037</v>
      </c>
      <c r="H1046" t="s">
        <v>1804</v>
      </c>
      <c r="I1046" t="s">
        <v>1807</v>
      </c>
      <c r="J1046" s="2">
        <v>42923</v>
      </c>
      <c r="K1046">
        <f t="shared" ca="1" si="32"/>
        <v>8</v>
      </c>
      <c r="L1046">
        <f t="shared" ca="1" si="33"/>
        <v>5</v>
      </c>
      <c r="M1046" t="s">
        <v>1810</v>
      </c>
      <c r="N1046">
        <v>3</v>
      </c>
      <c r="O1046" t="s">
        <v>1812</v>
      </c>
      <c r="P1046" t="s">
        <v>1834</v>
      </c>
    </row>
    <row r="1047" spans="1:16" x14ac:dyDescent="0.3">
      <c r="A1047" t="s">
        <v>1058</v>
      </c>
      <c r="B1047" t="s">
        <v>1721</v>
      </c>
      <c r="C1047">
        <v>30</v>
      </c>
      <c r="D1047" t="s">
        <v>1784</v>
      </c>
      <c r="E1047" t="s">
        <v>1788</v>
      </c>
      <c r="F1047" t="s">
        <v>1799</v>
      </c>
      <c r="G1047" s="5">
        <v>97451</v>
      </c>
      <c r="H1047" t="s">
        <v>1801</v>
      </c>
      <c r="I1047" t="s">
        <v>1807</v>
      </c>
      <c r="J1047" s="2">
        <v>45167</v>
      </c>
      <c r="K1047">
        <f t="shared" ca="1" si="32"/>
        <v>2</v>
      </c>
      <c r="L1047">
        <f t="shared" ca="1" si="33"/>
        <v>3</v>
      </c>
      <c r="M1047" t="s">
        <v>1810</v>
      </c>
      <c r="N1047">
        <v>2</v>
      </c>
      <c r="O1047" t="s">
        <v>1813</v>
      </c>
      <c r="P1047" t="s">
        <v>1833</v>
      </c>
    </row>
    <row r="1048" spans="1:16" x14ac:dyDescent="0.3">
      <c r="A1048" t="s">
        <v>1059</v>
      </c>
      <c r="B1048" t="s">
        <v>1730</v>
      </c>
      <c r="C1048">
        <v>52</v>
      </c>
      <c r="D1048" t="s">
        <v>1783</v>
      </c>
      <c r="E1048" t="s">
        <v>1792</v>
      </c>
      <c r="F1048" t="s">
        <v>1797</v>
      </c>
      <c r="G1048" s="5">
        <v>96432</v>
      </c>
      <c r="H1048" t="s">
        <v>1805</v>
      </c>
      <c r="I1048" t="s">
        <v>1806</v>
      </c>
      <c r="J1048" s="2">
        <v>45710</v>
      </c>
      <c r="K1048">
        <f t="shared" ca="1" si="32"/>
        <v>0</v>
      </c>
      <c r="L1048">
        <f t="shared" ca="1" si="33"/>
        <v>9</v>
      </c>
      <c r="M1048" t="s">
        <v>1809</v>
      </c>
      <c r="N1048">
        <v>1</v>
      </c>
      <c r="O1048" t="s">
        <v>1812</v>
      </c>
      <c r="P1048" t="s">
        <v>1834</v>
      </c>
    </row>
    <row r="1049" spans="1:16" x14ac:dyDescent="0.3">
      <c r="A1049" t="s">
        <v>1060</v>
      </c>
      <c r="B1049" t="s">
        <v>1740</v>
      </c>
      <c r="C1049">
        <v>33</v>
      </c>
      <c r="D1049" t="s">
        <v>1784</v>
      </c>
      <c r="E1049" t="s">
        <v>1787</v>
      </c>
      <c r="F1049" t="s">
        <v>1800</v>
      </c>
      <c r="G1049" s="5">
        <v>113956</v>
      </c>
      <c r="H1049" t="s">
        <v>1805</v>
      </c>
      <c r="I1049" t="s">
        <v>1807</v>
      </c>
      <c r="J1049" s="2">
        <v>45841</v>
      </c>
      <c r="K1049">
        <f t="shared" ca="1" si="32"/>
        <v>0</v>
      </c>
      <c r="L1049">
        <f t="shared" ca="1" si="33"/>
        <v>5</v>
      </c>
      <c r="M1049" t="s">
        <v>1810</v>
      </c>
      <c r="N1049">
        <v>3</v>
      </c>
      <c r="O1049" t="s">
        <v>1813</v>
      </c>
      <c r="P1049" t="s">
        <v>1833</v>
      </c>
    </row>
    <row r="1050" spans="1:16" x14ac:dyDescent="0.3">
      <c r="A1050" t="s">
        <v>1061</v>
      </c>
      <c r="B1050" t="s">
        <v>1718</v>
      </c>
      <c r="C1050">
        <v>47</v>
      </c>
      <c r="D1050" t="s">
        <v>1784</v>
      </c>
      <c r="E1050" t="s">
        <v>1788</v>
      </c>
      <c r="F1050" t="s">
        <v>1799</v>
      </c>
      <c r="G1050" s="5">
        <v>29385</v>
      </c>
      <c r="H1050" t="s">
        <v>1802</v>
      </c>
      <c r="I1050" t="s">
        <v>1808</v>
      </c>
      <c r="J1050" s="2">
        <v>45434</v>
      </c>
      <c r="K1050">
        <f t="shared" ca="1" si="32"/>
        <v>1</v>
      </c>
      <c r="L1050">
        <f t="shared" ca="1" si="33"/>
        <v>6</v>
      </c>
      <c r="M1050" t="s">
        <v>1809</v>
      </c>
      <c r="N1050">
        <v>3</v>
      </c>
      <c r="O1050" t="s">
        <v>1813</v>
      </c>
      <c r="P1050" t="s">
        <v>1834</v>
      </c>
    </row>
    <row r="1051" spans="1:16" x14ac:dyDescent="0.3">
      <c r="A1051" t="s">
        <v>1062</v>
      </c>
      <c r="B1051" t="s">
        <v>1778</v>
      </c>
      <c r="C1051">
        <v>24</v>
      </c>
      <c r="D1051" t="s">
        <v>1784</v>
      </c>
      <c r="E1051" t="s">
        <v>1791</v>
      </c>
      <c r="F1051" t="s">
        <v>1796</v>
      </c>
      <c r="G1051" s="5">
        <v>84461</v>
      </c>
      <c r="H1051" t="s">
        <v>1804</v>
      </c>
      <c r="I1051" t="s">
        <v>1808</v>
      </c>
      <c r="J1051" s="2">
        <v>45021</v>
      </c>
      <c r="K1051">
        <f t="shared" ca="1" si="32"/>
        <v>2</v>
      </c>
      <c r="L1051">
        <f t="shared" ca="1" si="33"/>
        <v>8</v>
      </c>
      <c r="M1051" t="s">
        <v>1809</v>
      </c>
      <c r="N1051">
        <v>3</v>
      </c>
      <c r="O1051" t="s">
        <v>1818</v>
      </c>
      <c r="P1051" t="s">
        <v>1832</v>
      </c>
    </row>
    <row r="1052" spans="1:16" x14ac:dyDescent="0.3">
      <c r="A1052" t="s">
        <v>1063</v>
      </c>
      <c r="B1052" t="s">
        <v>1716</v>
      </c>
      <c r="C1052">
        <v>53</v>
      </c>
      <c r="D1052" t="s">
        <v>1784</v>
      </c>
      <c r="E1052" t="s">
        <v>1786</v>
      </c>
      <c r="F1052" t="s">
        <v>1794</v>
      </c>
      <c r="G1052" s="5">
        <v>91160</v>
      </c>
      <c r="H1052" t="s">
        <v>1801</v>
      </c>
      <c r="I1052" t="s">
        <v>1806</v>
      </c>
      <c r="J1052" s="2">
        <v>45007</v>
      </c>
      <c r="K1052">
        <f t="shared" ca="1" si="32"/>
        <v>2</v>
      </c>
      <c r="L1052">
        <f t="shared" ca="1" si="33"/>
        <v>8</v>
      </c>
      <c r="M1052" t="s">
        <v>1809</v>
      </c>
      <c r="N1052">
        <v>2</v>
      </c>
      <c r="O1052" t="s">
        <v>1816</v>
      </c>
      <c r="P1052" t="s">
        <v>1834</v>
      </c>
    </row>
    <row r="1053" spans="1:16" x14ac:dyDescent="0.3">
      <c r="A1053" t="s">
        <v>1064</v>
      </c>
      <c r="B1053" t="s">
        <v>1770</v>
      </c>
      <c r="C1053">
        <v>34</v>
      </c>
      <c r="D1053" t="s">
        <v>1785</v>
      </c>
      <c r="E1053" t="s">
        <v>1786</v>
      </c>
      <c r="F1053" t="s">
        <v>1800</v>
      </c>
      <c r="G1053" s="5">
        <v>52771</v>
      </c>
      <c r="H1053" t="s">
        <v>1802</v>
      </c>
      <c r="I1053" t="s">
        <v>1808</v>
      </c>
      <c r="J1053" s="2">
        <v>45771</v>
      </c>
      <c r="K1053">
        <f t="shared" ca="1" si="32"/>
        <v>0</v>
      </c>
      <c r="L1053">
        <f t="shared" ca="1" si="33"/>
        <v>7</v>
      </c>
      <c r="M1053" t="s">
        <v>1809</v>
      </c>
      <c r="N1053">
        <v>4</v>
      </c>
      <c r="O1053" t="s">
        <v>1814</v>
      </c>
      <c r="P1053" t="s">
        <v>1833</v>
      </c>
    </row>
    <row r="1054" spans="1:16" x14ac:dyDescent="0.3">
      <c r="A1054" t="s">
        <v>1065</v>
      </c>
      <c r="B1054" t="s">
        <v>1776</v>
      </c>
      <c r="C1054">
        <v>25</v>
      </c>
      <c r="D1054" t="s">
        <v>1785</v>
      </c>
      <c r="E1054" t="s">
        <v>1786</v>
      </c>
      <c r="F1054" t="s">
        <v>1800</v>
      </c>
      <c r="G1054" s="5">
        <v>18419</v>
      </c>
      <c r="H1054" t="s">
        <v>1801</v>
      </c>
      <c r="I1054" t="s">
        <v>1808</v>
      </c>
      <c r="J1054" s="2">
        <v>44722</v>
      </c>
      <c r="K1054">
        <f t="shared" ca="1" si="32"/>
        <v>3</v>
      </c>
      <c r="L1054">
        <f t="shared" ca="1" si="33"/>
        <v>6</v>
      </c>
      <c r="M1054" t="s">
        <v>1809</v>
      </c>
      <c r="N1054">
        <v>2</v>
      </c>
      <c r="O1054" t="s">
        <v>1818</v>
      </c>
      <c r="P1054" t="s">
        <v>1832</v>
      </c>
    </row>
    <row r="1055" spans="1:16" x14ac:dyDescent="0.3">
      <c r="A1055" t="s">
        <v>1066</v>
      </c>
      <c r="B1055" t="s">
        <v>1746</v>
      </c>
      <c r="C1055">
        <v>36</v>
      </c>
      <c r="D1055" t="s">
        <v>1785</v>
      </c>
      <c r="E1055" t="s">
        <v>1787</v>
      </c>
      <c r="F1055" t="s">
        <v>1795</v>
      </c>
      <c r="G1055" s="5">
        <v>100709</v>
      </c>
      <c r="H1055" t="s">
        <v>1802</v>
      </c>
      <c r="I1055" t="s">
        <v>1806</v>
      </c>
      <c r="J1055" s="2">
        <v>43866</v>
      </c>
      <c r="K1055">
        <f t="shared" ca="1" si="32"/>
        <v>5</v>
      </c>
      <c r="L1055">
        <f t="shared" ca="1" si="33"/>
        <v>10</v>
      </c>
      <c r="M1055" t="s">
        <v>1810</v>
      </c>
      <c r="N1055">
        <v>5</v>
      </c>
      <c r="O1055" t="s">
        <v>1816</v>
      </c>
      <c r="P1055" t="s">
        <v>1831</v>
      </c>
    </row>
    <row r="1056" spans="1:16" x14ac:dyDescent="0.3">
      <c r="A1056" t="s">
        <v>1067</v>
      </c>
      <c r="B1056" t="s">
        <v>1725</v>
      </c>
      <c r="C1056">
        <v>34</v>
      </c>
      <c r="D1056" t="s">
        <v>1784</v>
      </c>
      <c r="E1056" t="s">
        <v>1790</v>
      </c>
      <c r="F1056" t="s">
        <v>1799</v>
      </c>
      <c r="G1056" s="5">
        <v>82254</v>
      </c>
      <c r="H1056" t="s">
        <v>1803</v>
      </c>
      <c r="I1056" t="s">
        <v>1806</v>
      </c>
      <c r="J1056" s="2">
        <v>43900</v>
      </c>
      <c r="K1056">
        <f t="shared" ca="1" si="32"/>
        <v>5</v>
      </c>
      <c r="L1056">
        <f t="shared" ca="1" si="33"/>
        <v>9</v>
      </c>
      <c r="M1056" t="s">
        <v>1810</v>
      </c>
      <c r="N1056">
        <v>3</v>
      </c>
      <c r="O1056" t="s">
        <v>1813</v>
      </c>
      <c r="P1056" t="s">
        <v>1833</v>
      </c>
    </row>
    <row r="1057" spans="1:16" x14ac:dyDescent="0.3">
      <c r="A1057" t="s">
        <v>1068</v>
      </c>
      <c r="B1057" t="s">
        <v>1779</v>
      </c>
      <c r="C1057">
        <v>38</v>
      </c>
      <c r="D1057" t="s">
        <v>1784</v>
      </c>
      <c r="E1057" t="s">
        <v>1790</v>
      </c>
      <c r="F1057" t="s">
        <v>1798</v>
      </c>
      <c r="G1057" s="5">
        <v>60650</v>
      </c>
      <c r="H1057" t="s">
        <v>1803</v>
      </c>
      <c r="I1057" t="s">
        <v>1807</v>
      </c>
      <c r="J1057" s="2">
        <v>43159</v>
      </c>
      <c r="K1057">
        <f t="shared" ca="1" si="32"/>
        <v>7</v>
      </c>
      <c r="L1057">
        <f t="shared" ca="1" si="33"/>
        <v>9</v>
      </c>
      <c r="M1057" t="s">
        <v>1810</v>
      </c>
      <c r="N1057">
        <v>3</v>
      </c>
      <c r="O1057" t="s">
        <v>1813</v>
      </c>
      <c r="P1057" t="s">
        <v>1831</v>
      </c>
    </row>
    <row r="1058" spans="1:16" x14ac:dyDescent="0.3">
      <c r="A1058" t="s">
        <v>1069</v>
      </c>
      <c r="B1058" t="s">
        <v>1758</v>
      </c>
      <c r="C1058">
        <v>45</v>
      </c>
      <c r="D1058" t="s">
        <v>1785</v>
      </c>
      <c r="E1058" t="s">
        <v>1791</v>
      </c>
      <c r="F1058" t="s">
        <v>1800</v>
      </c>
      <c r="G1058" s="5">
        <v>119408</v>
      </c>
      <c r="H1058" t="s">
        <v>1803</v>
      </c>
      <c r="I1058" t="s">
        <v>1806</v>
      </c>
      <c r="J1058" s="2">
        <v>44125</v>
      </c>
      <c r="K1058">
        <f t="shared" ca="1" si="32"/>
        <v>5</v>
      </c>
      <c r="L1058">
        <f t="shared" ca="1" si="33"/>
        <v>1</v>
      </c>
      <c r="M1058" t="s">
        <v>1809</v>
      </c>
      <c r="N1058">
        <v>1</v>
      </c>
      <c r="O1058" t="s">
        <v>1814</v>
      </c>
      <c r="P1058" t="s">
        <v>1831</v>
      </c>
    </row>
    <row r="1059" spans="1:16" x14ac:dyDescent="0.3">
      <c r="A1059" t="s">
        <v>1070</v>
      </c>
      <c r="B1059" t="s">
        <v>1763</v>
      </c>
      <c r="C1059">
        <v>33</v>
      </c>
      <c r="D1059" t="s">
        <v>1784</v>
      </c>
      <c r="E1059" t="s">
        <v>1792</v>
      </c>
      <c r="F1059" t="s">
        <v>1799</v>
      </c>
      <c r="G1059" s="5">
        <v>91696</v>
      </c>
      <c r="H1059" t="s">
        <v>1804</v>
      </c>
      <c r="I1059" t="s">
        <v>1808</v>
      </c>
      <c r="J1059" s="2">
        <v>45202</v>
      </c>
      <c r="K1059">
        <f t="shared" ca="1" si="32"/>
        <v>2</v>
      </c>
      <c r="L1059">
        <f t="shared" ca="1" si="33"/>
        <v>2</v>
      </c>
      <c r="M1059" t="s">
        <v>1810</v>
      </c>
      <c r="N1059">
        <v>4</v>
      </c>
      <c r="O1059" t="s">
        <v>1811</v>
      </c>
      <c r="P1059" t="s">
        <v>1833</v>
      </c>
    </row>
    <row r="1060" spans="1:16" x14ac:dyDescent="0.3">
      <c r="A1060" t="s">
        <v>1071</v>
      </c>
      <c r="B1060" t="s">
        <v>1774</v>
      </c>
      <c r="C1060">
        <v>45</v>
      </c>
      <c r="D1060" t="s">
        <v>1784</v>
      </c>
      <c r="E1060" t="s">
        <v>1792</v>
      </c>
      <c r="F1060" t="s">
        <v>1800</v>
      </c>
      <c r="G1060" s="5">
        <v>53168</v>
      </c>
      <c r="H1060" t="s">
        <v>1802</v>
      </c>
      <c r="I1060" t="s">
        <v>1808</v>
      </c>
      <c r="J1060" s="2">
        <v>45044</v>
      </c>
      <c r="K1060">
        <f t="shared" ca="1" si="32"/>
        <v>2</v>
      </c>
      <c r="L1060">
        <f t="shared" ca="1" si="33"/>
        <v>7</v>
      </c>
      <c r="M1060" t="s">
        <v>1809</v>
      </c>
      <c r="N1060">
        <v>3</v>
      </c>
      <c r="O1060" t="s">
        <v>1812</v>
      </c>
      <c r="P1060" t="s">
        <v>1831</v>
      </c>
    </row>
    <row r="1061" spans="1:16" x14ac:dyDescent="0.3">
      <c r="A1061" t="s">
        <v>1072</v>
      </c>
      <c r="B1061" t="s">
        <v>1782</v>
      </c>
      <c r="C1061">
        <v>56</v>
      </c>
      <c r="D1061" t="s">
        <v>1783</v>
      </c>
      <c r="E1061" t="s">
        <v>1786</v>
      </c>
      <c r="F1061" t="s">
        <v>1797</v>
      </c>
      <c r="G1061" s="5">
        <v>99957</v>
      </c>
      <c r="H1061" t="s">
        <v>1805</v>
      </c>
      <c r="I1061" t="s">
        <v>1806</v>
      </c>
      <c r="J1061" s="2">
        <v>43788</v>
      </c>
      <c r="K1061">
        <f t="shared" ca="1" si="32"/>
        <v>6</v>
      </c>
      <c r="L1061">
        <f t="shared" ca="1" si="33"/>
        <v>0</v>
      </c>
      <c r="M1061" t="s">
        <v>1809</v>
      </c>
      <c r="N1061">
        <v>5</v>
      </c>
      <c r="O1061" t="s">
        <v>1818</v>
      </c>
      <c r="P1061" t="s">
        <v>1834</v>
      </c>
    </row>
    <row r="1062" spans="1:16" x14ac:dyDescent="0.3">
      <c r="A1062" t="s">
        <v>1073</v>
      </c>
      <c r="B1062" t="s">
        <v>1720</v>
      </c>
      <c r="C1062">
        <v>44</v>
      </c>
      <c r="D1062" t="s">
        <v>1783</v>
      </c>
      <c r="E1062" t="s">
        <v>1789</v>
      </c>
      <c r="F1062" t="s">
        <v>1799</v>
      </c>
      <c r="G1062" s="5">
        <v>64229</v>
      </c>
      <c r="H1062" t="s">
        <v>1805</v>
      </c>
      <c r="I1062" t="s">
        <v>1807</v>
      </c>
      <c r="J1062" s="2">
        <v>45120</v>
      </c>
      <c r="K1062">
        <f t="shared" ca="1" si="32"/>
        <v>2</v>
      </c>
      <c r="L1062">
        <f t="shared" ca="1" si="33"/>
        <v>4</v>
      </c>
      <c r="M1062" t="s">
        <v>1809</v>
      </c>
      <c r="N1062">
        <v>5</v>
      </c>
      <c r="O1062" t="s">
        <v>1815</v>
      </c>
      <c r="P1062" t="s">
        <v>1831</v>
      </c>
    </row>
    <row r="1063" spans="1:16" x14ac:dyDescent="0.3">
      <c r="A1063" t="s">
        <v>1074</v>
      </c>
      <c r="B1063" t="s">
        <v>1753</v>
      </c>
      <c r="C1063">
        <v>32</v>
      </c>
      <c r="D1063" t="s">
        <v>1783</v>
      </c>
      <c r="E1063" t="s">
        <v>1787</v>
      </c>
      <c r="F1063" t="s">
        <v>1798</v>
      </c>
      <c r="G1063" s="5">
        <v>112086</v>
      </c>
      <c r="H1063" t="s">
        <v>1804</v>
      </c>
      <c r="I1063" t="s">
        <v>1807</v>
      </c>
      <c r="J1063" s="2">
        <v>43969</v>
      </c>
      <c r="K1063">
        <f t="shared" ca="1" si="32"/>
        <v>5</v>
      </c>
      <c r="L1063">
        <f t="shared" ca="1" si="33"/>
        <v>6</v>
      </c>
      <c r="M1063" t="s">
        <v>1810</v>
      </c>
      <c r="N1063">
        <v>4</v>
      </c>
      <c r="O1063" t="s">
        <v>1815</v>
      </c>
      <c r="P1063" t="s">
        <v>1833</v>
      </c>
    </row>
    <row r="1064" spans="1:16" x14ac:dyDescent="0.3">
      <c r="A1064" t="s">
        <v>1075</v>
      </c>
      <c r="B1064" t="s">
        <v>1719</v>
      </c>
      <c r="C1064">
        <v>35</v>
      </c>
      <c r="D1064" t="s">
        <v>1783</v>
      </c>
      <c r="E1064" t="s">
        <v>1792</v>
      </c>
      <c r="F1064" t="s">
        <v>1799</v>
      </c>
      <c r="G1064" s="5">
        <v>20625</v>
      </c>
      <c r="H1064" t="s">
        <v>1805</v>
      </c>
      <c r="I1064" t="s">
        <v>1807</v>
      </c>
      <c r="J1064" s="2">
        <v>44492</v>
      </c>
      <c r="K1064">
        <f t="shared" ca="1" si="32"/>
        <v>4</v>
      </c>
      <c r="L1064">
        <f t="shared" ca="1" si="33"/>
        <v>1</v>
      </c>
      <c r="M1064" t="s">
        <v>1810</v>
      </c>
      <c r="N1064">
        <v>4</v>
      </c>
      <c r="O1064" t="s">
        <v>1818</v>
      </c>
      <c r="P1064" t="s">
        <v>1833</v>
      </c>
    </row>
    <row r="1065" spans="1:16" x14ac:dyDescent="0.3">
      <c r="A1065" t="s">
        <v>1076</v>
      </c>
      <c r="B1065" t="s">
        <v>1738</v>
      </c>
      <c r="C1065">
        <v>39</v>
      </c>
      <c r="D1065" t="s">
        <v>1783</v>
      </c>
      <c r="E1065" t="s">
        <v>1786</v>
      </c>
      <c r="F1065" t="s">
        <v>1799</v>
      </c>
      <c r="G1065" s="5">
        <v>100779</v>
      </c>
      <c r="H1065" t="s">
        <v>1802</v>
      </c>
      <c r="I1065" t="s">
        <v>1807</v>
      </c>
      <c r="J1065" s="2">
        <v>43553</v>
      </c>
      <c r="K1065">
        <f t="shared" ca="1" si="32"/>
        <v>6</v>
      </c>
      <c r="L1065">
        <f t="shared" ca="1" si="33"/>
        <v>8</v>
      </c>
      <c r="M1065" t="s">
        <v>1809</v>
      </c>
      <c r="N1065">
        <v>4</v>
      </c>
      <c r="O1065" t="s">
        <v>1811</v>
      </c>
      <c r="P1065" t="s">
        <v>1831</v>
      </c>
    </row>
    <row r="1066" spans="1:16" x14ac:dyDescent="0.3">
      <c r="A1066" t="s">
        <v>1077</v>
      </c>
      <c r="B1066" t="s">
        <v>1751</v>
      </c>
      <c r="C1066">
        <v>37</v>
      </c>
      <c r="D1066" t="s">
        <v>1783</v>
      </c>
      <c r="E1066" t="s">
        <v>1793</v>
      </c>
      <c r="F1066" t="s">
        <v>1795</v>
      </c>
      <c r="G1066" s="5">
        <v>27684</v>
      </c>
      <c r="H1066" t="s">
        <v>1803</v>
      </c>
      <c r="I1066" t="s">
        <v>1807</v>
      </c>
      <c r="J1066" s="2">
        <v>42498</v>
      </c>
      <c r="K1066">
        <f t="shared" ca="1" si="32"/>
        <v>9</v>
      </c>
      <c r="L1066">
        <f t="shared" ca="1" si="33"/>
        <v>7</v>
      </c>
      <c r="M1066" t="s">
        <v>1809</v>
      </c>
      <c r="N1066">
        <v>1</v>
      </c>
      <c r="O1066" t="s">
        <v>1811</v>
      </c>
      <c r="P1066" t="s">
        <v>1831</v>
      </c>
    </row>
    <row r="1067" spans="1:16" x14ac:dyDescent="0.3">
      <c r="A1067" t="s">
        <v>1078</v>
      </c>
      <c r="B1067" t="s">
        <v>1742</v>
      </c>
      <c r="C1067">
        <v>58</v>
      </c>
      <c r="D1067" t="s">
        <v>1784</v>
      </c>
      <c r="E1067" t="s">
        <v>1789</v>
      </c>
      <c r="F1067" t="s">
        <v>1795</v>
      </c>
      <c r="G1067" s="5">
        <v>73725</v>
      </c>
      <c r="H1067" t="s">
        <v>1801</v>
      </c>
      <c r="I1067" t="s">
        <v>1808</v>
      </c>
      <c r="J1067" s="2">
        <v>43560</v>
      </c>
      <c r="K1067">
        <f t="shared" ca="1" si="32"/>
        <v>6</v>
      </c>
      <c r="L1067">
        <f t="shared" ca="1" si="33"/>
        <v>8</v>
      </c>
      <c r="M1067" t="s">
        <v>1810</v>
      </c>
      <c r="N1067">
        <v>2</v>
      </c>
      <c r="O1067" t="s">
        <v>1813</v>
      </c>
      <c r="P1067" t="s">
        <v>1834</v>
      </c>
    </row>
    <row r="1068" spans="1:16" x14ac:dyDescent="0.3">
      <c r="A1068" t="s">
        <v>1079</v>
      </c>
      <c r="B1068" t="s">
        <v>1780</v>
      </c>
      <c r="C1068">
        <v>56</v>
      </c>
      <c r="D1068" t="s">
        <v>1784</v>
      </c>
      <c r="E1068" t="s">
        <v>1787</v>
      </c>
      <c r="F1068" t="s">
        <v>1800</v>
      </c>
      <c r="G1068" s="5">
        <v>56173</v>
      </c>
      <c r="H1068" t="s">
        <v>1801</v>
      </c>
      <c r="I1068" t="s">
        <v>1807</v>
      </c>
      <c r="J1068" s="2">
        <v>44102</v>
      </c>
      <c r="K1068">
        <f t="shared" ca="1" si="32"/>
        <v>5</v>
      </c>
      <c r="L1068">
        <f t="shared" ca="1" si="33"/>
        <v>2</v>
      </c>
      <c r="M1068" t="s">
        <v>1810</v>
      </c>
      <c r="N1068">
        <v>4</v>
      </c>
      <c r="O1068" t="s">
        <v>1814</v>
      </c>
      <c r="P1068" t="s">
        <v>1834</v>
      </c>
    </row>
    <row r="1069" spans="1:16" x14ac:dyDescent="0.3">
      <c r="A1069" t="s">
        <v>1080</v>
      </c>
      <c r="B1069" t="s">
        <v>1771</v>
      </c>
      <c r="C1069">
        <v>35</v>
      </c>
      <c r="D1069" t="s">
        <v>1784</v>
      </c>
      <c r="E1069" t="s">
        <v>1792</v>
      </c>
      <c r="F1069" t="s">
        <v>1794</v>
      </c>
      <c r="G1069" s="5">
        <v>83147</v>
      </c>
      <c r="H1069" t="s">
        <v>1803</v>
      </c>
      <c r="I1069" t="s">
        <v>1808</v>
      </c>
      <c r="J1069" s="2">
        <v>45562</v>
      </c>
      <c r="K1069">
        <f t="shared" ca="1" si="32"/>
        <v>1</v>
      </c>
      <c r="L1069">
        <f t="shared" ca="1" si="33"/>
        <v>2</v>
      </c>
      <c r="M1069" t="s">
        <v>1809</v>
      </c>
      <c r="N1069">
        <v>4</v>
      </c>
      <c r="O1069" t="s">
        <v>1815</v>
      </c>
      <c r="P1069" t="s">
        <v>1833</v>
      </c>
    </row>
    <row r="1070" spans="1:16" x14ac:dyDescent="0.3">
      <c r="A1070" t="s">
        <v>1081</v>
      </c>
      <c r="B1070" t="s">
        <v>1736</v>
      </c>
      <c r="C1070">
        <v>45</v>
      </c>
      <c r="D1070" t="s">
        <v>1783</v>
      </c>
      <c r="E1070" t="s">
        <v>1790</v>
      </c>
      <c r="F1070" t="s">
        <v>1800</v>
      </c>
      <c r="G1070" s="5">
        <v>66473</v>
      </c>
      <c r="H1070" t="s">
        <v>1805</v>
      </c>
      <c r="I1070" t="s">
        <v>1807</v>
      </c>
      <c r="J1070" s="2">
        <v>45070</v>
      </c>
      <c r="K1070">
        <f t="shared" ca="1" si="32"/>
        <v>2</v>
      </c>
      <c r="L1070">
        <f t="shared" ca="1" si="33"/>
        <v>6</v>
      </c>
      <c r="M1070" t="s">
        <v>1810</v>
      </c>
      <c r="N1070">
        <v>3</v>
      </c>
      <c r="O1070" t="s">
        <v>1816</v>
      </c>
      <c r="P1070" t="s">
        <v>1831</v>
      </c>
    </row>
    <row r="1071" spans="1:16" x14ac:dyDescent="0.3">
      <c r="A1071" t="s">
        <v>1082</v>
      </c>
      <c r="B1071" t="s">
        <v>1713</v>
      </c>
      <c r="C1071">
        <v>55</v>
      </c>
      <c r="D1071" t="s">
        <v>1783</v>
      </c>
      <c r="E1071" t="s">
        <v>1786</v>
      </c>
      <c r="F1071" t="s">
        <v>1795</v>
      </c>
      <c r="G1071" s="5">
        <v>82200</v>
      </c>
      <c r="H1071" t="s">
        <v>1802</v>
      </c>
      <c r="I1071" t="s">
        <v>1807</v>
      </c>
      <c r="J1071" s="2">
        <v>43016</v>
      </c>
      <c r="K1071">
        <f t="shared" ca="1" si="32"/>
        <v>8</v>
      </c>
      <c r="L1071">
        <f t="shared" ca="1" si="33"/>
        <v>2</v>
      </c>
      <c r="M1071" t="s">
        <v>1810</v>
      </c>
      <c r="N1071">
        <v>5</v>
      </c>
      <c r="O1071" t="s">
        <v>1812</v>
      </c>
      <c r="P1071" t="s">
        <v>1834</v>
      </c>
    </row>
    <row r="1072" spans="1:16" x14ac:dyDescent="0.3">
      <c r="A1072" t="s">
        <v>1083</v>
      </c>
      <c r="B1072" t="s">
        <v>1719</v>
      </c>
      <c r="C1072">
        <v>56</v>
      </c>
      <c r="D1072" t="s">
        <v>1783</v>
      </c>
      <c r="E1072" t="s">
        <v>1792</v>
      </c>
      <c r="F1072" t="s">
        <v>1800</v>
      </c>
      <c r="G1072" s="5">
        <v>118585</v>
      </c>
      <c r="H1072" t="s">
        <v>1804</v>
      </c>
      <c r="I1072" t="s">
        <v>1808</v>
      </c>
      <c r="J1072" s="2">
        <v>43713</v>
      </c>
      <c r="K1072">
        <f t="shared" ca="1" si="32"/>
        <v>6</v>
      </c>
      <c r="L1072">
        <f t="shared" ca="1" si="33"/>
        <v>3</v>
      </c>
      <c r="M1072" t="s">
        <v>1810</v>
      </c>
      <c r="N1072">
        <v>2</v>
      </c>
      <c r="O1072" t="s">
        <v>1818</v>
      </c>
      <c r="P1072" t="s">
        <v>1834</v>
      </c>
    </row>
    <row r="1073" spans="1:16" x14ac:dyDescent="0.3">
      <c r="A1073" t="s">
        <v>1084</v>
      </c>
      <c r="B1073" t="s">
        <v>1758</v>
      </c>
      <c r="C1073">
        <v>56</v>
      </c>
      <c r="D1073" t="s">
        <v>1785</v>
      </c>
      <c r="E1073" t="s">
        <v>1787</v>
      </c>
      <c r="F1073" t="s">
        <v>1796</v>
      </c>
      <c r="G1073" s="5">
        <v>18730</v>
      </c>
      <c r="H1073" t="s">
        <v>1802</v>
      </c>
      <c r="I1073" t="s">
        <v>1806</v>
      </c>
      <c r="J1073" s="2">
        <v>45693</v>
      </c>
      <c r="K1073">
        <f t="shared" ca="1" si="32"/>
        <v>0</v>
      </c>
      <c r="L1073">
        <f t="shared" ca="1" si="33"/>
        <v>10</v>
      </c>
      <c r="M1073" t="s">
        <v>1810</v>
      </c>
      <c r="N1073">
        <v>5</v>
      </c>
      <c r="O1073" t="s">
        <v>1812</v>
      </c>
      <c r="P1073" t="s">
        <v>1834</v>
      </c>
    </row>
    <row r="1074" spans="1:16" x14ac:dyDescent="0.3">
      <c r="A1074" t="s">
        <v>1085</v>
      </c>
      <c r="B1074" t="s">
        <v>1758</v>
      </c>
      <c r="C1074">
        <v>35</v>
      </c>
      <c r="D1074" t="s">
        <v>1784</v>
      </c>
      <c r="E1074" t="s">
        <v>1790</v>
      </c>
      <c r="F1074" t="s">
        <v>1800</v>
      </c>
      <c r="G1074" s="5">
        <v>110912</v>
      </c>
      <c r="H1074" t="s">
        <v>1805</v>
      </c>
      <c r="I1074" t="s">
        <v>1806</v>
      </c>
      <c r="J1074" s="2">
        <v>45955</v>
      </c>
      <c r="K1074">
        <f t="shared" ca="1" si="32"/>
        <v>0</v>
      </c>
      <c r="L1074">
        <f t="shared" ca="1" si="33"/>
        <v>1</v>
      </c>
      <c r="M1074" t="s">
        <v>1809</v>
      </c>
      <c r="N1074">
        <v>1</v>
      </c>
      <c r="O1074" t="s">
        <v>1811</v>
      </c>
      <c r="P1074" t="s">
        <v>1833</v>
      </c>
    </row>
    <row r="1075" spans="1:16" x14ac:dyDescent="0.3">
      <c r="A1075" t="s">
        <v>1086</v>
      </c>
      <c r="B1075" t="s">
        <v>1718</v>
      </c>
      <c r="C1075">
        <v>28</v>
      </c>
      <c r="D1075" t="s">
        <v>1783</v>
      </c>
      <c r="E1075" t="s">
        <v>1791</v>
      </c>
      <c r="F1075" t="s">
        <v>1794</v>
      </c>
      <c r="G1075" s="5">
        <v>86149</v>
      </c>
      <c r="H1075" t="s">
        <v>1801</v>
      </c>
      <c r="I1075" t="s">
        <v>1807</v>
      </c>
      <c r="J1075" s="2">
        <v>43246</v>
      </c>
      <c r="K1075">
        <f t="shared" ca="1" si="32"/>
        <v>7</v>
      </c>
      <c r="L1075">
        <f t="shared" ca="1" si="33"/>
        <v>6</v>
      </c>
      <c r="M1075" t="s">
        <v>1810</v>
      </c>
      <c r="N1075">
        <v>1</v>
      </c>
      <c r="O1075" t="s">
        <v>1818</v>
      </c>
      <c r="P1075" t="s">
        <v>1833</v>
      </c>
    </row>
    <row r="1076" spans="1:16" x14ac:dyDescent="0.3">
      <c r="A1076" t="s">
        <v>1087</v>
      </c>
      <c r="B1076" t="s">
        <v>1723</v>
      </c>
      <c r="C1076">
        <v>30</v>
      </c>
      <c r="D1076" t="s">
        <v>1785</v>
      </c>
      <c r="E1076" t="s">
        <v>1790</v>
      </c>
      <c r="F1076" t="s">
        <v>1794</v>
      </c>
      <c r="G1076" s="5">
        <v>36332</v>
      </c>
      <c r="H1076" t="s">
        <v>1805</v>
      </c>
      <c r="I1076" t="s">
        <v>1808</v>
      </c>
      <c r="J1076" s="2">
        <v>44073</v>
      </c>
      <c r="K1076">
        <f t="shared" ca="1" si="32"/>
        <v>5</v>
      </c>
      <c r="L1076">
        <f t="shared" ca="1" si="33"/>
        <v>3</v>
      </c>
      <c r="M1076" t="s">
        <v>1809</v>
      </c>
      <c r="N1076">
        <v>3</v>
      </c>
      <c r="O1076" t="s">
        <v>1813</v>
      </c>
      <c r="P1076" t="s">
        <v>1833</v>
      </c>
    </row>
    <row r="1077" spans="1:16" x14ac:dyDescent="0.3">
      <c r="A1077" t="s">
        <v>1088</v>
      </c>
      <c r="B1077" t="s">
        <v>1754</v>
      </c>
      <c r="C1077">
        <v>37</v>
      </c>
      <c r="D1077" t="s">
        <v>1785</v>
      </c>
      <c r="E1077" t="s">
        <v>1789</v>
      </c>
      <c r="F1077" t="s">
        <v>1796</v>
      </c>
      <c r="G1077" s="5">
        <v>98622</v>
      </c>
      <c r="H1077" t="s">
        <v>1805</v>
      </c>
      <c r="I1077" t="s">
        <v>1806</v>
      </c>
      <c r="J1077" s="2">
        <v>43117</v>
      </c>
      <c r="K1077">
        <f t="shared" ca="1" si="32"/>
        <v>7</v>
      </c>
      <c r="L1077">
        <f t="shared" ca="1" si="33"/>
        <v>10</v>
      </c>
      <c r="M1077" t="s">
        <v>1809</v>
      </c>
      <c r="N1077">
        <v>3</v>
      </c>
      <c r="O1077" t="s">
        <v>1815</v>
      </c>
      <c r="P1077" t="s">
        <v>1831</v>
      </c>
    </row>
    <row r="1078" spans="1:16" x14ac:dyDescent="0.3">
      <c r="A1078" t="s">
        <v>1089</v>
      </c>
      <c r="B1078" t="s">
        <v>1760</v>
      </c>
      <c r="C1078">
        <v>43</v>
      </c>
      <c r="D1078" t="s">
        <v>1785</v>
      </c>
      <c r="E1078" t="s">
        <v>1788</v>
      </c>
      <c r="F1078" t="s">
        <v>1800</v>
      </c>
      <c r="G1078" s="5">
        <v>79880</v>
      </c>
      <c r="H1078" t="s">
        <v>1802</v>
      </c>
      <c r="I1078" t="s">
        <v>1808</v>
      </c>
      <c r="J1078" s="2">
        <v>45496</v>
      </c>
      <c r="K1078">
        <f t="shared" ca="1" si="32"/>
        <v>1</v>
      </c>
      <c r="L1078">
        <f t="shared" ca="1" si="33"/>
        <v>4</v>
      </c>
      <c r="M1078" t="s">
        <v>1809</v>
      </c>
      <c r="N1078">
        <v>2</v>
      </c>
      <c r="O1078" t="s">
        <v>1812</v>
      </c>
      <c r="P1078" t="s">
        <v>1831</v>
      </c>
    </row>
    <row r="1079" spans="1:16" x14ac:dyDescent="0.3">
      <c r="A1079" t="s">
        <v>1090</v>
      </c>
      <c r="B1079" t="s">
        <v>1740</v>
      </c>
      <c r="C1079">
        <v>46</v>
      </c>
      <c r="D1079" t="s">
        <v>1783</v>
      </c>
      <c r="E1079" t="s">
        <v>1791</v>
      </c>
      <c r="F1079" t="s">
        <v>1797</v>
      </c>
      <c r="G1079" s="5">
        <v>79668</v>
      </c>
      <c r="H1079" t="s">
        <v>1801</v>
      </c>
      <c r="I1079" t="s">
        <v>1808</v>
      </c>
      <c r="J1079" s="2">
        <v>45311</v>
      </c>
      <c r="K1079">
        <f t="shared" ca="1" si="32"/>
        <v>1</v>
      </c>
      <c r="L1079">
        <f t="shared" ca="1" si="33"/>
        <v>10</v>
      </c>
      <c r="M1079" t="s">
        <v>1809</v>
      </c>
      <c r="N1079">
        <v>2</v>
      </c>
      <c r="O1079" t="s">
        <v>1813</v>
      </c>
      <c r="P1079" t="s">
        <v>1834</v>
      </c>
    </row>
    <row r="1080" spans="1:16" x14ac:dyDescent="0.3">
      <c r="A1080" t="s">
        <v>1091</v>
      </c>
      <c r="B1080" t="s">
        <v>1748</v>
      </c>
      <c r="C1080">
        <v>41</v>
      </c>
      <c r="D1080" t="s">
        <v>1783</v>
      </c>
      <c r="E1080" t="s">
        <v>1792</v>
      </c>
      <c r="F1080" t="s">
        <v>1800</v>
      </c>
      <c r="G1080" s="5">
        <v>99916</v>
      </c>
      <c r="H1080" t="s">
        <v>1805</v>
      </c>
      <c r="I1080" t="s">
        <v>1807</v>
      </c>
      <c r="J1080" s="2">
        <v>42711</v>
      </c>
      <c r="K1080">
        <f t="shared" ca="1" si="32"/>
        <v>9</v>
      </c>
      <c r="L1080">
        <f t="shared" ca="1" si="33"/>
        <v>0</v>
      </c>
      <c r="M1080" t="s">
        <v>1810</v>
      </c>
      <c r="N1080">
        <v>5</v>
      </c>
      <c r="O1080" t="s">
        <v>1815</v>
      </c>
      <c r="P1080" t="s">
        <v>1831</v>
      </c>
    </row>
    <row r="1081" spans="1:16" x14ac:dyDescent="0.3">
      <c r="A1081" t="s">
        <v>1092</v>
      </c>
      <c r="B1081" t="s">
        <v>1758</v>
      </c>
      <c r="C1081">
        <v>20</v>
      </c>
      <c r="D1081" t="s">
        <v>1783</v>
      </c>
      <c r="E1081" t="s">
        <v>1788</v>
      </c>
      <c r="F1081" t="s">
        <v>1799</v>
      </c>
      <c r="G1081" s="5">
        <v>55249</v>
      </c>
      <c r="H1081" t="s">
        <v>1803</v>
      </c>
      <c r="I1081" t="s">
        <v>1806</v>
      </c>
      <c r="J1081" s="2">
        <v>45425</v>
      </c>
      <c r="K1081">
        <f t="shared" ca="1" si="32"/>
        <v>1</v>
      </c>
      <c r="L1081">
        <f t="shared" ca="1" si="33"/>
        <v>6</v>
      </c>
      <c r="M1081" t="s">
        <v>1810</v>
      </c>
      <c r="N1081">
        <v>3</v>
      </c>
      <c r="O1081" t="s">
        <v>1811</v>
      </c>
      <c r="P1081" t="s">
        <v>1832</v>
      </c>
    </row>
    <row r="1082" spans="1:16" x14ac:dyDescent="0.3">
      <c r="A1082" t="s">
        <v>1093</v>
      </c>
      <c r="B1082" t="s">
        <v>1763</v>
      </c>
      <c r="C1082">
        <v>54</v>
      </c>
      <c r="D1082" t="s">
        <v>1785</v>
      </c>
      <c r="E1082" t="s">
        <v>1786</v>
      </c>
      <c r="F1082" t="s">
        <v>1795</v>
      </c>
      <c r="G1082" s="5">
        <v>28154</v>
      </c>
      <c r="H1082" t="s">
        <v>1802</v>
      </c>
      <c r="I1082" t="s">
        <v>1807</v>
      </c>
      <c r="J1082" s="2">
        <v>45430</v>
      </c>
      <c r="K1082">
        <f t="shared" ca="1" si="32"/>
        <v>1</v>
      </c>
      <c r="L1082">
        <f t="shared" ca="1" si="33"/>
        <v>6</v>
      </c>
      <c r="M1082" t="s">
        <v>1809</v>
      </c>
      <c r="N1082">
        <v>3</v>
      </c>
      <c r="O1082" t="s">
        <v>1816</v>
      </c>
      <c r="P1082" t="s">
        <v>1834</v>
      </c>
    </row>
    <row r="1083" spans="1:16" x14ac:dyDescent="0.3">
      <c r="A1083" t="s">
        <v>1094</v>
      </c>
      <c r="B1083" t="s">
        <v>1763</v>
      </c>
      <c r="C1083">
        <v>26</v>
      </c>
      <c r="D1083" t="s">
        <v>1783</v>
      </c>
      <c r="E1083" t="s">
        <v>1787</v>
      </c>
      <c r="F1083" t="s">
        <v>1795</v>
      </c>
      <c r="G1083" s="5">
        <v>61274</v>
      </c>
      <c r="H1083" t="s">
        <v>1805</v>
      </c>
      <c r="I1083" t="s">
        <v>1806</v>
      </c>
      <c r="J1083" s="2">
        <v>43573</v>
      </c>
      <c r="K1083">
        <f t="shared" ca="1" si="32"/>
        <v>6</v>
      </c>
      <c r="L1083">
        <f t="shared" ca="1" si="33"/>
        <v>7</v>
      </c>
      <c r="M1083" t="s">
        <v>1810</v>
      </c>
      <c r="N1083">
        <v>2</v>
      </c>
      <c r="O1083" t="s">
        <v>1816</v>
      </c>
      <c r="P1083" t="s">
        <v>1833</v>
      </c>
    </row>
    <row r="1084" spans="1:16" x14ac:dyDescent="0.3">
      <c r="A1084" t="s">
        <v>1095</v>
      </c>
      <c r="B1084" t="s">
        <v>1720</v>
      </c>
      <c r="C1084">
        <v>34</v>
      </c>
      <c r="D1084" t="s">
        <v>1783</v>
      </c>
      <c r="E1084" t="s">
        <v>1793</v>
      </c>
      <c r="F1084" t="s">
        <v>1798</v>
      </c>
      <c r="G1084" s="5">
        <v>98599</v>
      </c>
      <c r="H1084" t="s">
        <v>1802</v>
      </c>
      <c r="I1084" t="s">
        <v>1807</v>
      </c>
      <c r="J1084" s="2">
        <v>44385</v>
      </c>
      <c r="K1084">
        <f t="shared" ca="1" si="32"/>
        <v>4</v>
      </c>
      <c r="L1084">
        <f t="shared" ca="1" si="33"/>
        <v>5</v>
      </c>
      <c r="M1084" t="s">
        <v>1809</v>
      </c>
      <c r="N1084">
        <v>3</v>
      </c>
      <c r="O1084" t="s">
        <v>1813</v>
      </c>
      <c r="P1084" t="s">
        <v>1833</v>
      </c>
    </row>
    <row r="1085" spans="1:16" x14ac:dyDescent="0.3">
      <c r="A1085" t="s">
        <v>1096</v>
      </c>
      <c r="B1085" t="s">
        <v>1752</v>
      </c>
      <c r="C1085">
        <v>52</v>
      </c>
      <c r="D1085" t="s">
        <v>1784</v>
      </c>
      <c r="E1085" t="s">
        <v>1787</v>
      </c>
      <c r="F1085" t="s">
        <v>1800</v>
      </c>
      <c r="G1085" s="5">
        <v>105142</v>
      </c>
      <c r="H1085" t="s">
        <v>1804</v>
      </c>
      <c r="I1085" t="s">
        <v>1808</v>
      </c>
      <c r="J1085" s="2">
        <v>44487</v>
      </c>
      <c r="K1085">
        <f t="shared" ca="1" si="32"/>
        <v>4</v>
      </c>
      <c r="L1085">
        <f t="shared" ca="1" si="33"/>
        <v>1</v>
      </c>
      <c r="M1085" t="s">
        <v>1809</v>
      </c>
      <c r="N1085">
        <v>2</v>
      </c>
      <c r="O1085" t="s">
        <v>1811</v>
      </c>
      <c r="P1085" t="s">
        <v>1834</v>
      </c>
    </row>
    <row r="1086" spans="1:16" x14ac:dyDescent="0.3">
      <c r="A1086" t="s">
        <v>1097</v>
      </c>
      <c r="B1086" t="s">
        <v>1750</v>
      </c>
      <c r="C1086">
        <v>44</v>
      </c>
      <c r="D1086" t="s">
        <v>1785</v>
      </c>
      <c r="E1086" t="s">
        <v>1790</v>
      </c>
      <c r="F1086" t="s">
        <v>1796</v>
      </c>
      <c r="G1086" s="5">
        <v>64529</v>
      </c>
      <c r="H1086" t="s">
        <v>1805</v>
      </c>
      <c r="I1086" t="s">
        <v>1808</v>
      </c>
      <c r="J1086" s="2">
        <v>44611</v>
      </c>
      <c r="K1086">
        <f t="shared" ca="1" si="32"/>
        <v>3</v>
      </c>
      <c r="L1086">
        <f t="shared" ca="1" si="33"/>
        <v>9</v>
      </c>
      <c r="M1086" t="s">
        <v>1809</v>
      </c>
      <c r="N1086">
        <v>5</v>
      </c>
      <c r="O1086" t="s">
        <v>1815</v>
      </c>
      <c r="P1086" t="s">
        <v>1831</v>
      </c>
    </row>
    <row r="1087" spans="1:16" x14ac:dyDescent="0.3">
      <c r="A1087" t="s">
        <v>1098</v>
      </c>
      <c r="B1087" t="s">
        <v>1749</v>
      </c>
      <c r="C1087">
        <v>37</v>
      </c>
      <c r="D1087" t="s">
        <v>1785</v>
      </c>
      <c r="E1087" t="s">
        <v>1791</v>
      </c>
      <c r="F1087" t="s">
        <v>1795</v>
      </c>
      <c r="G1087" s="5">
        <v>75310</v>
      </c>
      <c r="H1087" t="s">
        <v>1803</v>
      </c>
      <c r="I1087" t="s">
        <v>1808</v>
      </c>
      <c r="J1087" s="2">
        <v>45285</v>
      </c>
      <c r="K1087">
        <f t="shared" ca="1" si="32"/>
        <v>2</v>
      </c>
      <c r="L1087">
        <f t="shared" ca="1" si="33"/>
        <v>11</v>
      </c>
      <c r="M1087" t="s">
        <v>1810</v>
      </c>
      <c r="N1087">
        <v>1</v>
      </c>
      <c r="O1087" t="s">
        <v>1811</v>
      </c>
      <c r="P1087" t="s">
        <v>1831</v>
      </c>
    </row>
    <row r="1088" spans="1:16" x14ac:dyDescent="0.3">
      <c r="A1088" t="s">
        <v>1099</v>
      </c>
      <c r="B1088" t="s">
        <v>1722</v>
      </c>
      <c r="C1088">
        <v>21</v>
      </c>
      <c r="D1088" t="s">
        <v>1784</v>
      </c>
      <c r="E1088" t="s">
        <v>1790</v>
      </c>
      <c r="F1088" t="s">
        <v>1794</v>
      </c>
      <c r="G1088" s="5">
        <v>119023</v>
      </c>
      <c r="H1088" t="s">
        <v>1804</v>
      </c>
      <c r="I1088" t="s">
        <v>1806</v>
      </c>
      <c r="J1088" s="2">
        <v>44175</v>
      </c>
      <c r="K1088">
        <f t="shared" ca="1" si="32"/>
        <v>5</v>
      </c>
      <c r="L1088">
        <f t="shared" ca="1" si="33"/>
        <v>0</v>
      </c>
      <c r="M1088" t="s">
        <v>1809</v>
      </c>
      <c r="N1088">
        <v>5</v>
      </c>
      <c r="O1088" t="s">
        <v>1815</v>
      </c>
      <c r="P1088" t="s">
        <v>1832</v>
      </c>
    </row>
    <row r="1089" spans="1:16" x14ac:dyDescent="0.3">
      <c r="A1089" t="s">
        <v>1100</v>
      </c>
      <c r="B1089" t="s">
        <v>1754</v>
      </c>
      <c r="C1089">
        <v>31</v>
      </c>
      <c r="D1089" t="s">
        <v>1785</v>
      </c>
      <c r="E1089" t="s">
        <v>1792</v>
      </c>
      <c r="F1089" t="s">
        <v>1800</v>
      </c>
      <c r="G1089" s="5">
        <v>43668</v>
      </c>
      <c r="H1089" t="s">
        <v>1804</v>
      </c>
      <c r="I1089" t="s">
        <v>1806</v>
      </c>
      <c r="J1089" s="2">
        <v>43236</v>
      </c>
      <c r="K1089">
        <f t="shared" ca="1" si="32"/>
        <v>7</v>
      </c>
      <c r="L1089">
        <f t="shared" ca="1" si="33"/>
        <v>6</v>
      </c>
      <c r="M1089" t="s">
        <v>1809</v>
      </c>
      <c r="N1089">
        <v>5</v>
      </c>
      <c r="O1089" t="s">
        <v>1814</v>
      </c>
      <c r="P1089" t="s">
        <v>1833</v>
      </c>
    </row>
    <row r="1090" spans="1:16" x14ac:dyDescent="0.3">
      <c r="A1090" t="s">
        <v>1101</v>
      </c>
      <c r="B1090" t="s">
        <v>1724</v>
      </c>
      <c r="C1090">
        <v>43</v>
      </c>
      <c r="D1090" t="s">
        <v>1784</v>
      </c>
      <c r="E1090" t="s">
        <v>1792</v>
      </c>
      <c r="F1090" t="s">
        <v>1796</v>
      </c>
      <c r="G1090" s="5">
        <v>97531</v>
      </c>
      <c r="H1090" t="s">
        <v>1801</v>
      </c>
      <c r="I1090" t="s">
        <v>1806</v>
      </c>
      <c r="J1090" s="2">
        <v>43564</v>
      </c>
      <c r="K1090">
        <f t="shared" ca="1" si="32"/>
        <v>6</v>
      </c>
      <c r="L1090">
        <f t="shared" ca="1" si="33"/>
        <v>8</v>
      </c>
      <c r="M1090" t="s">
        <v>1810</v>
      </c>
      <c r="N1090">
        <v>4</v>
      </c>
      <c r="O1090" t="s">
        <v>1818</v>
      </c>
      <c r="P1090" t="s">
        <v>1831</v>
      </c>
    </row>
    <row r="1091" spans="1:16" x14ac:dyDescent="0.3">
      <c r="A1091" t="s">
        <v>1102</v>
      </c>
      <c r="B1091" t="s">
        <v>1766</v>
      </c>
      <c r="C1091">
        <v>23</v>
      </c>
      <c r="D1091" t="s">
        <v>1785</v>
      </c>
      <c r="E1091" t="s">
        <v>1792</v>
      </c>
      <c r="F1091" t="s">
        <v>1800</v>
      </c>
      <c r="G1091" s="5">
        <v>112113</v>
      </c>
      <c r="H1091" t="s">
        <v>1805</v>
      </c>
      <c r="I1091" t="s">
        <v>1806</v>
      </c>
      <c r="J1091" s="2">
        <v>44299</v>
      </c>
      <c r="K1091">
        <f t="shared" ref="K1091:K1154" ca="1" si="34">YEAR(TODAY()) - YEAR(J1091)</f>
        <v>4</v>
      </c>
      <c r="L1091">
        <f t="shared" ref="L1091:L1154" ca="1" si="35">DATEDIF(J1091,TODAY(),"YM")</f>
        <v>7</v>
      </c>
      <c r="M1091" t="s">
        <v>1810</v>
      </c>
      <c r="N1091">
        <v>2</v>
      </c>
      <c r="O1091" t="s">
        <v>1812</v>
      </c>
      <c r="P1091" t="s">
        <v>1832</v>
      </c>
    </row>
    <row r="1092" spans="1:16" x14ac:dyDescent="0.3">
      <c r="A1092" t="s">
        <v>1103</v>
      </c>
      <c r="B1092" t="s">
        <v>1727</v>
      </c>
      <c r="C1092">
        <v>26</v>
      </c>
      <c r="D1092" t="s">
        <v>1783</v>
      </c>
      <c r="E1092" t="s">
        <v>1789</v>
      </c>
      <c r="F1092" t="s">
        <v>1795</v>
      </c>
      <c r="G1092" s="5">
        <v>21779</v>
      </c>
      <c r="H1092" t="s">
        <v>1802</v>
      </c>
      <c r="I1092" t="s">
        <v>1806</v>
      </c>
      <c r="J1092" s="2">
        <v>45453</v>
      </c>
      <c r="K1092">
        <f t="shared" ca="1" si="34"/>
        <v>1</v>
      </c>
      <c r="L1092">
        <f t="shared" ca="1" si="35"/>
        <v>6</v>
      </c>
      <c r="M1092" t="s">
        <v>1809</v>
      </c>
      <c r="N1092">
        <v>2</v>
      </c>
      <c r="O1092" t="s">
        <v>1813</v>
      </c>
      <c r="P1092" t="s">
        <v>1833</v>
      </c>
    </row>
    <row r="1093" spans="1:16" x14ac:dyDescent="0.3">
      <c r="A1093" t="s">
        <v>1104</v>
      </c>
      <c r="B1093" t="s">
        <v>1750</v>
      </c>
      <c r="C1093">
        <v>27</v>
      </c>
      <c r="D1093" t="s">
        <v>1783</v>
      </c>
      <c r="E1093" t="s">
        <v>1790</v>
      </c>
      <c r="F1093" t="s">
        <v>1794</v>
      </c>
      <c r="G1093" s="5">
        <v>101555</v>
      </c>
      <c r="H1093" t="s">
        <v>1801</v>
      </c>
      <c r="I1093" t="s">
        <v>1808</v>
      </c>
      <c r="J1093" s="2">
        <v>42837</v>
      </c>
      <c r="K1093">
        <f t="shared" ca="1" si="34"/>
        <v>8</v>
      </c>
      <c r="L1093">
        <f t="shared" ca="1" si="35"/>
        <v>7</v>
      </c>
      <c r="M1093" t="s">
        <v>1810</v>
      </c>
      <c r="N1093">
        <v>2</v>
      </c>
      <c r="O1093" t="s">
        <v>1818</v>
      </c>
      <c r="P1093" t="s">
        <v>1833</v>
      </c>
    </row>
    <row r="1094" spans="1:16" x14ac:dyDescent="0.3">
      <c r="A1094" t="s">
        <v>1105</v>
      </c>
      <c r="B1094" t="s">
        <v>1741</v>
      </c>
      <c r="C1094">
        <v>40</v>
      </c>
      <c r="D1094" t="s">
        <v>1785</v>
      </c>
      <c r="E1094" t="s">
        <v>1791</v>
      </c>
      <c r="F1094" t="s">
        <v>1794</v>
      </c>
      <c r="G1094" s="5">
        <v>94919</v>
      </c>
      <c r="H1094" t="s">
        <v>1804</v>
      </c>
      <c r="I1094" t="s">
        <v>1806</v>
      </c>
      <c r="J1094" s="2">
        <v>42496</v>
      </c>
      <c r="K1094">
        <f t="shared" ca="1" si="34"/>
        <v>9</v>
      </c>
      <c r="L1094">
        <f t="shared" ca="1" si="35"/>
        <v>7</v>
      </c>
      <c r="M1094" t="s">
        <v>1810</v>
      </c>
      <c r="N1094">
        <v>4</v>
      </c>
      <c r="O1094" t="s">
        <v>1818</v>
      </c>
      <c r="P1094" t="s">
        <v>1831</v>
      </c>
    </row>
    <row r="1095" spans="1:16" x14ac:dyDescent="0.3">
      <c r="A1095" t="s">
        <v>1106</v>
      </c>
      <c r="B1095" t="s">
        <v>1769</v>
      </c>
      <c r="C1095">
        <v>52</v>
      </c>
      <c r="D1095" t="s">
        <v>1783</v>
      </c>
      <c r="E1095" t="s">
        <v>1788</v>
      </c>
      <c r="F1095" t="s">
        <v>1798</v>
      </c>
      <c r="G1095" s="5">
        <v>29005</v>
      </c>
      <c r="H1095" t="s">
        <v>1803</v>
      </c>
      <c r="I1095" t="s">
        <v>1807</v>
      </c>
      <c r="J1095" s="2">
        <v>43566</v>
      </c>
      <c r="K1095">
        <f t="shared" ca="1" si="34"/>
        <v>6</v>
      </c>
      <c r="L1095">
        <f t="shared" ca="1" si="35"/>
        <v>7</v>
      </c>
      <c r="M1095" t="s">
        <v>1809</v>
      </c>
      <c r="N1095">
        <v>5</v>
      </c>
      <c r="O1095" t="s">
        <v>1811</v>
      </c>
      <c r="P1095" t="s">
        <v>1834</v>
      </c>
    </row>
    <row r="1096" spans="1:16" x14ac:dyDescent="0.3">
      <c r="A1096" t="s">
        <v>1107</v>
      </c>
      <c r="B1096" t="s">
        <v>1749</v>
      </c>
      <c r="C1096">
        <v>20</v>
      </c>
      <c r="D1096" t="s">
        <v>1784</v>
      </c>
      <c r="E1096" t="s">
        <v>1788</v>
      </c>
      <c r="F1096" t="s">
        <v>1796</v>
      </c>
      <c r="G1096" s="5">
        <v>91473</v>
      </c>
      <c r="H1096" t="s">
        <v>1801</v>
      </c>
      <c r="I1096" t="s">
        <v>1808</v>
      </c>
      <c r="J1096" s="2">
        <v>44347</v>
      </c>
      <c r="K1096">
        <f t="shared" ca="1" si="34"/>
        <v>4</v>
      </c>
      <c r="L1096">
        <f t="shared" ca="1" si="35"/>
        <v>6</v>
      </c>
      <c r="M1096" t="s">
        <v>1809</v>
      </c>
      <c r="N1096">
        <v>5</v>
      </c>
      <c r="O1096" t="s">
        <v>1812</v>
      </c>
      <c r="P1096" t="s">
        <v>1832</v>
      </c>
    </row>
    <row r="1097" spans="1:16" x14ac:dyDescent="0.3">
      <c r="A1097" t="s">
        <v>1108</v>
      </c>
      <c r="B1097" t="s">
        <v>1713</v>
      </c>
      <c r="C1097">
        <v>25</v>
      </c>
      <c r="D1097" t="s">
        <v>1783</v>
      </c>
      <c r="E1097" t="s">
        <v>1793</v>
      </c>
      <c r="F1097" t="s">
        <v>1796</v>
      </c>
      <c r="G1097" s="5">
        <v>42334</v>
      </c>
      <c r="H1097" t="s">
        <v>1805</v>
      </c>
      <c r="I1097" t="s">
        <v>1806</v>
      </c>
      <c r="J1097" s="2">
        <v>42520</v>
      </c>
      <c r="K1097">
        <f t="shared" ca="1" si="34"/>
        <v>9</v>
      </c>
      <c r="L1097">
        <f t="shared" ca="1" si="35"/>
        <v>6</v>
      </c>
      <c r="M1097" t="s">
        <v>1809</v>
      </c>
      <c r="N1097">
        <v>1</v>
      </c>
      <c r="O1097" t="s">
        <v>1815</v>
      </c>
      <c r="P1097" t="s">
        <v>1832</v>
      </c>
    </row>
    <row r="1098" spans="1:16" x14ac:dyDescent="0.3">
      <c r="A1098" t="s">
        <v>1109</v>
      </c>
      <c r="B1098" t="s">
        <v>1731</v>
      </c>
      <c r="C1098">
        <v>25</v>
      </c>
      <c r="D1098" t="s">
        <v>1785</v>
      </c>
      <c r="E1098" t="s">
        <v>1786</v>
      </c>
      <c r="F1098" t="s">
        <v>1799</v>
      </c>
      <c r="G1098" s="5">
        <v>58341</v>
      </c>
      <c r="H1098" t="s">
        <v>1802</v>
      </c>
      <c r="I1098" t="s">
        <v>1806</v>
      </c>
      <c r="J1098" s="2">
        <v>45533</v>
      </c>
      <c r="K1098">
        <f t="shared" ca="1" si="34"/>
        <v>1</v>
      </c>
      <c r="L1098">
        <f t="shared" ca="1" si="35"/>
        <v>3</v>
      </c>
      <c r="M1098" t="s">
        <v>1809</v>
      </c>
      <c r="N1098">
        <v>3</v>
      </c>
      <c r="O1098" t="s">
        <v>1818</v>
      </c>
      <c r="P1098" t="s">
        <v>1832</v>
      </c>
    </row>
    <row r="1099" spans="1:16" x14ac:dyDescent="0.3">
      <c r="A1099" t="s">
        <v>1110</v>
      </c>
      <c r="B1099" t="s">
        <v>1746</v>
      </c>
      <c r="C1099">
        <v>38</v>
      </c>
      <c r="D1099" t="s">
        <v>1783</v>
      </c>
      <c r="E1099" t="s">
        <v>1788</v>
      </c>
      <c r="F1099" t="s">
        <v>1795</v>
      </c>
      <c r="G1099" s="5">
        <v>36405</v>
      </c>
      <c r="H1099" t="s">
        <v>1804</v>
      </c>
      <c r="I1099" t="s">
        <v>1808</v>
      </c>
      <c r="J1099" s="2">
        <v>43363</v>
      </c>
      <c r="K1099">
        <f t="shared" ca="1" si="34"/>
        <v>7</v>
      </c>
      <c r="L1099">
        <f t="shared" ca="1" si="35"/>
        <v>2</v>
      </c>
      <c r="M1099" t="s">
        <v>1809</v>
      </c>
      <c r="N1099">
        <v>3</v>
      </c>
      <c r="O1099" t="s">
        <v>1815</v>
      </c>
      <c r="P1099" t="s">
        <v>1831</v>
      </c>
    </row>
    <row r="1100" spans="1:16" x14ac:dyDescent="0.3">
      <c r="A1100" t="s">
        <v>1111</v>
      </c>
      <c r="B1100" t="s">
        <v>1738</v>
      </c>
      <c r="C1100">
        <v>36</v>
      </c>
      <c r="D1100" t="s">
        <v>1785</v>
      </c>
      <c r="E1100" t="s">
        <v>1790</v>
      </c>
      <c r="F1100" t="s">
        <v>1797</v>
      </c>
      <c r="G1100" s="5">
        <v>52674</v>
      </c>
      <c r="H1100" t="s">
        <v>1803</v>
      </c>
      <c r="I1100" t="s">
        <v>1808</v>
      </c>
      <c r="J1100" s="2">
        <v>44808</v>
      </c>
      <c r="K1100">
        <f t="shared" ca="1" si="34"/>
        <v>3</v>
      </c>
      <c r="L1100">
        <f t="shared" ca="1" si="35"/>
        <v>3</v>
      </c>
      <c r="M1100" t="s">
        <v>1810</v>
      </c>
      <c r="N1100">
        <v>3</v>
      </c>
      <c r="O1100" t="s">
        <v>1812</v>
      </c>
      <c r="P1100" t="s">
        <v>1831</v>
      </c>
    </row>
    <row r="1101" spans="1:16" x14ac:dyDescent="0.3">
      <c r="A1101" t="s">
        <v>1112</v>
      </c>
      <c r="B1101" t="s">
        <v>1761</v>
      </c>
      <c r="C1101">
        <v>57</v>
      </c>
      <c r="D1101" t="s">
        <v>1784</v>
      </c>
      <c r="E1101" t="s">
        <v>1791</v>
      </c>
      <c r="F1101" t="s">
        <v>1795</v>
      </c>
      <c r="G1101" s="5">
        <v>88510</v>
      </c>
      <c r="H1101" t="s">
        <v>1802</v>
      </c>
      <c r="I1101" t="s">
        <v>1806</v>
      </c>
      <c r="J1101" s="2">
        <v>44215</v>
      </c>
      <c r="K1101">
        <f t="shared" ca="1" si="34"/>
        <v>4</v>
      </c>
      <c r="L1101">
        <f t="shared" ca="1" si="35"/>
        <v>10</v>
      </c>
      <c r="M1101" t="s">
        <v>1810</v>
      </c>
      <c r="N1101">
        <v>3</v>
      </c>
      <c r="O1101" t="s">
        <v>1815</v>
      </c>
      <c r="P1101" t="s">
        <v>1834</v>
      </c>
    </row>
    <row r="1102" spans="1:16" x14ac:dyDescent="0.3">
      <c r="A1102" t="s">
        <v>1113</v>
      </c>
      <c r="B1102" t="s">
        <v>1758</v>
      </c>
      <c r="C1102">
        <v>52</v>
      </c>
      <c r="D1102" t="s">
        <v>1785</v>
      </c>
      <c r="E1102" t="s">
        <v>1788</v>
      </c>
      <c r="F1102" t="s">
        <v>1795</v>
      </c>
      <c r="G1102" s="5">
        <v>29895</v>
      </c>
      <c r="H1102" t="s">
        <v>1802</v>
      </c>
      <c r="I1102" t="s">
        <v>1808</v>
      </c>
      <c r="J1102" s="2">
        <v>43331</v>
      </c>
      <c r="K1102">
        <f t="shared" ca="1" si="34"/>
        <v>7</v>
      </c>
      <c r="L1102">
        <f t="shared" ca="1" si="35"/>
        <v>3</v>
      </c>
      <c r="M1102" t="s">
        <v>1810</v>
      </c>
      <c r="N1102">
        <v>3</v>
      </c>
      <c r="O1102" t="s">
        <v>1818</v>
      </c>
      <c r="P1102" t="s">
        <v>1834</v>
      </c>
    </row>
    <row r="1103" spans="1:16" x14ac:dyDescent="0.3">
      <c r="A1103" t="s">
        <v>1114</v>
      </c>
      <c r="B1103" t="s">
        <v>1777</v>
      </c>
      <c r="C1103">
        <v>31</v>
      </c>
      <c r="D1103" t="s">
        <v>1784</v>
      </c>
      <c r="E1103" t="s">
        <v>1791</v>
      </c>
      <c r="F1103" t="s">
        <v>1795</v>
      </c>
      <c r="G1103" s="5">
        <v>79242</v>
      </c>
      <c r="H1103" t="s">
        <v>1804</v>
      </c>
      <c r="I1103" t="s">
        <v>1808</v>
      </c>
      <c r="J1103" s="2">
        <v>44747</v>
      </c>
      <c r="K1103">
        <f t="shared" ca="1" si="34"/>
        <v>3</v>
      </c>
      <c r="L1103">
        <f t="shared" ca="1" si="35"/>
        <v>5</v>
      </c>
      <c r="M1103" t="s">
        <v>1810</v>
      </c>
      <c r="N1103">
        <v>5</v>
      </c>
      <c r="O1103" t="s">
        <v>1818</v>
      </c>
      <c r="P1103" t="s">
        <v>1833</v>
      </c>
    </row>
    <row r="1104" spans="1:16" x14ac:dyDescent="0.3">
      <c r="A1104" t="s">
        <v>1115</v>
      </c>
      <c r="B1104" t="s">
        <v>1758</v>
      </c>
      <c r="C1104">
        <v>26</v>
      </c>
      <c r="D1104" t="s">
        <v>1785</v>
      </c>
      <c r="E1104" t="s">
        <v>1789</v>
      </c>
      <c r="F1104" t="s">
        <v>1798</v>
      </c>
      <c r="G1104" s="5">
        <v>19035</v>
      </c>
      <c r="H1104" t="s">
        <v>1803</v>
      </c>
      <c r="I1104" t="s">
        <v>1808</v>
      </c>
      <c r="J1104" s="2">
        <v>43808</v>
      </c>
      <c r="K1104">
        <f t="shared" ca="1" si="34"/>
        <v>6</v>
      </c>
      <c r="L1104">
        <f t="shared" ca="1" si="35"/>
        <v>0</v>
      </c>
      <c r="M1104" t="s">
        <v>1810</v>
      </c>
      <c r="N1104">
        <v>1</v>
      </c>
      <c r="O1104" t="s">
        <v>1816</v>
      </c>
      <c r="P1104" t="s">
        <v>1833</v>
      </c>
    </row>
    <row r="1105" spans="1:16" x14ac:dyDescent="0.3">
      <c r="A1105" t="s">
        <v>1116</v>
      </c>
      <c r="B1105" t="s">
        <v>1775</v>
      </c>
      <c r="C1105">
        <v>30</v>
      </c>
      <c r="D1105" t="s">
        <v>1784</v>
      </c>
      <c r="E1105" t="s">
        <v>1791</v>
      </c>
      <c r="F1105" t="s">
        <v>1797</v>
      </c>
      <c r="G1105" s="5">
        <v>116572</v>
      </c>
      <c r="H1105" t="s">
        <v>1803</v>
      </c>
      <c r="I1105" t="s">
        <v>1806</v>
      </c>
      <c r="J1105" s="2">
        <v>44307</v>
      </c>
      <c r="K1105">
        <f t="shared" ca="1" si="34"/>
        <v>4</v>
      </c>
      <c r="L1105">
        <f t="shared" ca="1" si="35"/>
        <v>7</v>
      </c>
      <c r="M1105" t="s">
        <v>1810</v>
      </c>
      <c r="N1105">
        <v>4</v>
      </c>
      <c r="O1105" t="s">
        <v>1812</v>
      </c>
      <c r="P1105" t="s">
        <v>1833</v>
      </c>
    </row>
    <row r="1106" spans="1:16" x14ac:dyDescent="0.3">
      <c r="A1106" t="s">
        <v>1117</v>
      </c>
      <c r="B1106" t="s">
        <v>1762</v>
      </c>
      <c r="C1106">
        <v>43</v>
      </c>
      <c r="D1106" t="s">
        <v>1785</v>
      </c>
      <c r="E1106" t="s">
        <v>1789</v>
      </c>
      <c r="F1106" t="s">
        <v>1794</v>
      </c>
      <c r="G1106" s="5">
        <v>81249</v>
      </c>
      <c r="H1106" t="s">
        <v>1803</v>
      </c>
      <c r="I1106" t="s">
        <v>1808</v>
      </c>
      <c r="J1106" s="2">
        <v>42602</v>
      </c>
      <c r="K1106">
        <f t="shared" ca="1" si="34"/>
        <v>9</v>
      </c>
      <c r="L1106">
        <f t="shared" ca="1" si="35"/>
        <v>3</v>
      </c>
      <c r="M1106" t="s">
        <v>1809</v>
      </c>
      <c r="N1106">
        <v>5</v>
      </c>
      <c r="O1106" t="s">
        <v>1813</v>
      </c>
      <c r="P1106" t="s">
        <v>1831</v>
      </c>
    </row>
    <row r="1107" spans="1:16" x14ac:dyDescent="0.3">
      <c r="A1107" t="s">
        <v>1118</v>
      </c>
      <c r="B1107" t="s">
        <v>1723</v>
      </c>
      <c r="C1107">
        <v>37</v>
      </c>
      <c r="D1107" t="s">
        <v>1785</v>
      </c>
      <c r="E1107" t="s">
        <v>1787</v>
      </c>
      <c r="F1107" t="s">
        <v>1797</v>
      </c>
      <c r="G1107" s="5">
        <v>95735</v>
      </c>
      <c r="H1107" t="s">
        <v>1802</v>
      </c>
      <c r="I1107" t="s">
        <v>1806</v>
      </c>
      <c r="J1107" s="2">
        <v>43119</v>
      </c>
      <c r="K1107">
        <f t="shared" ca="1" si="34"/>
        <v>7</v>
      </c>
      <c r="L1107">
        <f t="shared" ca="1" si="35"/>
        <v>10</v>
      </c>
      <c r="M1107" t="s">
        <v>1810</v>
      </c>
      <c r="N1107">
        <v>5</v>
      </c>
      <c r="O1107" t="s">
        <v>1815</v>
      </c>
      <c r="P1107" t="s">
        <v>1831</v>
      </c>
    </row>
    <row r="1108" spans="1:16" x14ac:dyDescent="0.3">
      <c r="A1108" t="s">
        <v>1119</v>
      </c>
      <c r="B1108" t="s">
        <v>1717</v>
      </c>
      <c r="C1108">
        <v>28</v>
      </c>
      <c r="D1108" t="s">
        <v>1783</v>
      </c>
      <c r="E1108" t="s">
        <v>1789</v>
      </c>
      <c r="F1108" t="s">
        <v>1797</v>
      </c>
      <c r="G1108" s="5">
        <v>25051</v>
      </c>
      <c r="H1108" t="s">
        <v>1804</v>
      </c>
      <c r="I1108" t="s">
        <v>1807</v>
      </c>
      <c r="J1108" s="2">
        <v>45720</v>
      </c>
      <c r="K1108">
        <f t="shared" ca="1" si="34"/>
        <v>0</v>
      </c>
      <c r="L1108">
        <f t="shared" ca="1" si="35"/>
        <v>9</v>
      </c>
      <c r="M1108" t="s">
        <v>1810</v>
      </c>
      <c r="N1108">
        <v>4</v>
      </c>
      <c r="O1108" t="s">
        <v>1811</v>
      </c>
      <c r="P1108" t="s">
        <v>1833</v>
      </c>
    </row>
    <row r="1109" spans="1:16" x14ac:dyDescent="0.3">
      <c r="A1109" t="s">
        <v>1120</v>
      </c>
      <c r="B1109" t="s">
        <v>1781</v>
      </c>
      <c r="C1109">
        <v>20</v>
      </c>
      <c r="D1109" t="s">
        <v>1785</v>
      </c>
      <c r="E1109" t="s">
        <v>1791</v>
      </c>
      <c r="F1109" t="s">
        <v>1798</v>
      </c>
      <c r="G1109" s="5">
        <v>44267</v>
      </c>
      <c r="H1109" t="s">
        <v>1804</v>
      </c>
      <c r="I1109" t="s">
        <v>1808</v>
      </c>
      <c r="J1109" s="2">
        <v>42767</v>
      </c>
      <c r="K1109">
        <f t="shared" ca="1" si="34"/>
        <v>8</v>
      </c>
      <c r="L1109">
        <f t="shared" ca="1" si="35"/>
        <v>10</v>
      </c>
      <c r="M1109" t="s">
        <v>1809</v>
      </c>
      <c r="N1109">
        <v>2</v>
      </c>
      <c r="O1109" t="s">
        <v>1815</v>
      </c>
      <c r="P1109" t="s">
        <v>1832</v>
      </c>
    </row>
    <row r="1110" spans="1:16" x14ac:dyDescent="0.3">
      <c r="A1110" t="s">
        <v>1121</v>
      </c>
      <c r="B1110" t="s">
        <v>1716</v>
      </c>
      <c r="C1110">
        <v>35</v>
      </c>
      <c r="D1110" t="s">
        <v>1783</v>
      </c>
      <c r="E1110" t="s">
        <v>1789</v>
      </c>
      <c r="F1110" t="s">
        <v>1800</v>
      </c>
      <c r="G1110" s="5">
        <v>18648</v>
      </c>
      <c r="H1110" t="s">
        <v>1802</v>
      </c>
      <c r="I1110" t="s">
        <v>1808</v>
      </c>
      <c r="J1110" s="2">
        <v>42847</v>
      </c>
      <c r="K1110">
        <f t="shared" ca="1" si="34"/>
        <v>8</v>
      </c>
      <c r="L1110">
        <f t="shared" ca="1" si="35"/>
        <v>7</v>
      </c>
      <c r="M1110" t="s">
        <v>1810</v>
      </c>
      <c r="N1110">
        <v>5</v>
      </c>
      <c r="O1110" t="s">
        <v>1811</v>
      </c>
      <c r="P1110" t="s">
        <v>1833</v>
      </c>
    </row>
    <row r="1111" spans="1:16" x14ac:dyDescent="0.3">
      <c r="A1111" t="s">
        <v>1122</v>
      </c>
      <c r="B1111" t="s">
        <v>1743</v>
      </c>
      <c r="C1111">
        <v>44</v>
      </c>
      <c r="D1111" t="s">
        <v>1784</v>
      </c>
      <c r="E1111" t="s">
        <v>1786</v>
      </c>
      <c r="F1111" t="s">
        <v>1797</v>
      </c>
      <c r="G1111" s="5">
        <v>118015</v>
      </c>
      <c r="H1111" t="s">
        <v>1803</v>
      </c>
      <c r="I1111" t="s">
        <v>1807</v>
      </c>
      <c r="J1111" s="2">
        <v>43741</v>
      </c>
      <c r="K1111">
        <f t="shared" ca="1" si="34"/>
        <v>6</v>
      </c>
      <c r="L1111">
        <f t="shared" ca="1" si="35"/>
        <v>2</v>
      </c>
      <c r="M1111" t="s">
        <v>1809</v>
      </c>
      <c r="N1111">
        <v>4</v>
      </c>
      <c r="O1111" t="s">
        <v>1817</v>
      </c>
      <c r="P1111" t="s">
        <v>1831</v>
      </c>
    </row>
    <row r="1112" spans="1:16" x14ac:dyDescent="0.3">
      <c r="A1112" t="s">
        <v>1123</v>
      </c>
      <c r="B1112" t="s">
        <v>1725</v>
      </c>
      <c r="C1112">
        <v>47</v>
      </c>
      <c r="D1112" t="s">
        <v>1785</v>
      </c>
      <c r="E1112" t="s">
        <v>1787</v>
      </c>
      <c r="F1112" t="s">
        <v>1797</v>
      </c>
      <c r="G1112" s="5">
        <v>88007</v>
      </c>
      <c r="H1112" t="s">
        <v>1804</v>
      </c>
      <c r="I1112" t="s">
        <v>1808</v>
      </c>
      <c r="J1112" s="2">
        <v>45181</v>
      </c>
      <c r="K1112">
        <f t="shared" ca="1" si="34"/>
        <v>2</v>
      </c>
      <c r="L1112">
        <f t="shared" ca="1" si="35"/>
        <v>2</v>
      </c>
      <c r="M1112" t="s">
        <v>1809</v>
      </c>
      <c r="N1112">
        <v>2</v>
      </c>
      <c r="O1112" t="s">
        <v>1816</v>
      </c>
      <c r="P1112" t="s">
        <v>1834</v>
      </c>
    </row>
    <row r="1113" spans="1:16" x14ac:dyDescent="0.3">
      <c r="A1113" t="s">
        <v>1124</v>
      </c>
      <c r="B1113" t="s">
        <v>1762</v>
      </c>
      <c r="C1113">
        <v>43</v>
      </c>
      <c r="D1113" t="s">
        <v>1784</v>
      </c>
      <c r="E1113" t="s">
        <v>1792</v>
      </c>
      <c r="F1113" t="s">
        <v>1795</v>
      </c>
      <c r="G1113" s="5">
        <v>98028</v>
      </c>
      <c r="H1113" t="s">
        <v>1803</v>
      </c>
      <c r="I1113" t="s">
        <v>1807</v>
      </c>
      <c r="J1113" s="2">
        <v>45082</v>
      </c>
      <c r="K1113">
        <f t="shared" ca="1" si="34"/>
        <v>2</v>
      </c>
      <c r="L1113">
        <f t="shared" ca="1" si="35"/>
        <v>6</v>
      </c>
      <c r="M1113" t="s">
        <v>1809</v>
      </c>
      <c r="N1113">
        <v>2</v>
      </c>
      <c r="O1113" t="s">
        <v>1812</v>
      </c>
      <c r="P1113" t="s">
        <v>1831</v>
      </c>
    </row>
    <row r="1114" spans="1:16" x14ac:dyDescent="0.3">
      <c r="A1114" t="s">
        <v>1125</v>
      </c>
      <c r="B1114" t="s">
        <v>1779</v>
      </c>
      <c r="C1114">
        <v>33</v>
      </c>
      <c r="D1114" t="s">
        <v>1784</v>
      </c>
      <c r="E1114" t="s">
        <v>1787</v>
      </c>
      <c r="F1114" t="s">
        <v>1796</v>
      </c>
      <c r="G1114" s="5">
        <v>30170</v>
      </c>
      <c r="H1114" t="s">
        <v>1803</v>
      </c>
      <c r="I1114" t="s">
        <v>1806</v>
      </c>
      <c r="J1114" s="2">
        <v>43174</v>
      </c>
      <c r="K1114">
        <f t="shared" ca="1" si="34"/>
        <v>7</v>
      </c>
      <c r="L1114">
        <f t="shared" ca="1" si="35"/>
        <v>8</v>
      </c>
      <c r="M1114" t="s">
        <v>1810</v>
      </c>
      <c r="N1114">
        <v>2</v>
      </c>
      <c r="O1114" t="s">
        <v>1814</v>
      </c>
      <c r="P1114" t="s">
        <v>1833</v>
      </c>
    </row>
    <row r="1115" spans="1:16" x14ac:dyDescent="0.3">
      <c r="A1115" t="s">
        <v>1126</v>
      </c>
      <c r="B1115" t="s">
        <v>1728</v>
      </c>
      <c r="C1115">
        <v>50</v>
      </c>
      <c r="D1115" t="s">
        <v>1783</v>
      </c>
      <c r="E1115" t="s">
        <v>1788</v>
      </c>
      <c r="F1115" t="s">
        <v>1798</v>
      </c>
      <c r="G1115" s="5">
        <v>73277</v>
      </c>
      <c r="H1115" t="s">
        <v>1802</v>
      </c>
      <c r="I1115" t="s">
        <v>1808</v>
      </c>
      <c r="J1115" s="2">
        <v>45232</v>
      </c>
      <c r="K1115">
        <f t="shared" ca="1" si="34"/>
        <v>2</v>
      </c>
      <c r="L1115">
        <f t="shared" ca="1" si="35"/>
        <v>1</v>
      </c>
      <c r="M1115" t="s">
        <v>1809</v>
      </c>
      <c r="N1115">
        <v>4</v>
      </c>
      <c r="O1115" t="s">
        <v>1813</v>
      </c>
      <c r="P1115" t="s">
        <v>1834</v>
      </c>
    </row>
    <row r="1116" spans="1:16" x14ac:dyDescent="0.3">
      <c r="A1116" t="s">
        <v>1127</v>
      </c>
      <c r="B1116" t="s">
        <v>1758</v>
      </c>
      <c r="C1116">
        <v>26</v>
      </c>
      <c r="D1116" t="s">
        <v>1785</v>
      </c>
      <c r="E1116" t="s">
        <v>1787</v>
      </c>
      <c r="F1116" t="s">
        <v>1798</v>
      </c>
      <c r="G1116" s="5">
        <v>19602</v>
      </c>
      <c r="H1116" t="s">
        <v>1804</v>
      </c>
      <c r="I1116" t="s">
        <v>1807</v>
      </c>
      <c r="J1116" s="2">
        <v>44791</v>
      </c>
      <c r="K1116">
        <f t="shared" ca="1" si="34"/>
        <v>3</v>
      </c>
      <c r="L1116">
        <f t="shared" ca="1" si="35"/>
        <v>3</v>
      </c>
      <c r="M1116" t="s">
        <v>1810</v>
      </c>
      <c r="N1116">
        <v>4</v>
      </c>
      <c r="O1116" t="s">
        <v>1818</v>
      </c>
      <c r="P1116" t="s">
        <v>1833</v>
      </c>
    </row>
    <row r="1117" spans="1:16" x14ac:dyDescent="0.3">
      <c r="A1117" t="s">
        <v>1128</v>
      </c>
      <c r="B1117" t="s">
        <v>1747</v>
      </c>
      <c r="C1117">
        <v>45</v>
      </c>
      <c r="D1117" t="s">
        <v>1784</v>
      </c>
      <c r="E1117" t="s">
        <v>1792</v>
      </c>
      <c r="F1117" t="s">
        <v>1800</v>
      </c>
      <c r="G1117" s="5">
        <v>57708</v>
      </c>
      <c r="H1117" t="s">
        <v>1804</v>
      </c>
      <c r="I1117" t="s">
        <v>1806</v>
      </c>
      <c r="J1117" s="2">
        <v>45035</v>
      </c>
      <c r="K1117">
        <f t="shared" ca="1" si="34"/>
        <v>2</v>
      </c>
      <c r="L1117">
        <f t="shared" ca="1" si="35"/>
        <v>7</v>
      </c>
      <c r="M1117" t="s">
        <v>1809</v>
      </c>
      <c r="N1117">
        <v>5</v>
      </c>
      <c r="O1117" t="s">
        <v>1812</v>
      </c>
      <c r="P1117" t="s">
        <v>1831</v>
      </c>
    </row>
    <row r="1118" spans="1:16" x14ac:dyDescent="0.3">
      <c r="A1118" t="s">
        <v>1129</v>
      </c>
      <c r="B1118" t="s">
        <v>1739</v>
      </c>
      <c r="C1118">
        <v>50</v>
      </c>
      <c r="D1118" t="s">
        <v>1785</v>
      </c>
      <c r="E1118" t="s">
        <v>1789</v>
      </c>
      <c r="F1118" t="s">
        <v>1796</v>
      </c>
      <c r="G1118" s="5">
        <v>88126</v>
      </c>
      <c r="H1118" t="s">
        <v>1801</v>
      </c>
      <c r="I1118" t="s">
        <v>1807</v>
      </c>
      <c r="J1118" s="2">
        <v>44174</v>
      </c>
      <c r="K1118">
        <f t="shared" ca="1" si="34"/>
        <v>5</v>
      </c>
      <c r="L1118">
        <f t="shared" ca="1" si="35"/>
        <v>0</v>
      </c>
      <c r="M1118" t="s">
        <v>1810</v>
      </c>
      <c r="N1118">
        <v>1</v>
      </c>
      <c r="O1118" t="s">
        <v>1816</v>
      </c>
      <c r="P1118" t="s">
        <v>1834</v>
      </c>
    </row>
    <row r="1119" spans="1:16" x14ac:dyDescent="0.3">
      <c r="A1119" t="s">
        <v>1130</v>
      </c>
      <c r="B1119" t="s">
        <v>1740</v>
      </c>
      <c r="C1119">
        <v>57</v>
      </c>
      <c r="D1119" t="s">
        <v>1784</v>
      </c>
      <c r="E1119" t="s">
        <v>1786</v>
      </c>
      <c r="F1119" t="s">
        <v>1799</v>
      </c>
      <c r="G1119" s="5">
        <v>85488</v>
      </c>
      <c r="H1119" t="s">
        <v>1805</v>
      </c>
      <c r="I1119" t="s">
        <v>1806</v>
      </c>
      <c r="J1119" s="2">
        <v>44301</v>
      </c>
      <c r="K1119">
        <f t="shared" ca="1" si="34"/>
        <v>4</v>
      </c>
      <c r="L1119">
        <f t="shared" ca="1" si="35"/>
        <v>7</v>
      </c>
      <c r="M1119" t="s">
        <v>1810</v>
      </c>
      <c r="N1119">
        <v>1</v>
      </c>
      <c r="O1119" t="s">
        <v>1812</v>
      </c>
      <c r="P1119" t="s">
        <v>1834</v>
      </c>
    </row>
    <row r="1120" spans="1:16" x14ac:dyDescent="0.3">
      <c r="A1120" t="s">
        <v>1131</v>
      </c>
      <c r="B1120" t="s">
        <v>1767</v>
      </c>
      <c r="C1120">
        <v>27</v>
      </c>
      <c r="D1120" t="s">
        <v>1784</v>
      </c>
      <c r="E1120" t="s">
        <v>1790</v>
      </c>
      <c r="F1120" t="s">
        <v>1797</v>
      </c>
      <c r="G1120" s="5">
        <v>66117</v>
      </c>
      <c r="H1120" t="s">
        <v>1805</v>
      </c>
      <c r="I1120" t="s">
        <v>1806</v>
      </c>
      <c r="J1120" s="2">
        <v>43950</v>
      </c>
      <c r="K1120">
        <f t="shared" ca="1" si="34"/>
        <v>5</v>
      </c>
      <c r="L1120">
        <f t="shared" ca="1" si="35"/>
        <v>7</v>
      </c>
      <c r="M1120" t="s">
        <v>1810</v>
      </c>
      <c r="N1120">
        <v>4</v>
      </c>
      <c r="O1120" t="s">
        <v>1817</v>
      </c>
      <c r="P1120" t="s">
        <v>1833</v>
      </c>
    </row>
    <row r="1121" spans="1:16" x14ac:dyDescent="0.3">
      <c r="A1121" t="s">
        <v>1132</v>
      </c>
      <c r="B1121" t="s">
        <v>1725</v>
      </c>
      <c r="C1121">
        <v>21</v>
      </c>
      <c r="D1121" t="s">
        <v>1785</v>
      </c>
      <c r="E1121" t="s">
        <v>1788</v>
      </c>
      <c r="F1121" t="s">
        <v>1796</v>
      </c>
      <c r="G1121" s="5">
        <v>41426</v>
      </c>
      <c r="H1121" t="s">
        <v>1804</v>
      </c>
      <c r="I1121" t="s">
        <v>1808</v>
      </c>
      <c r="J1121" s="2">
        <v>42509</v>
      </c>
      <c r="K1121">
        <f t="shared" ca="1" si="34"/>
        <v>9</v>
      </c>
      <c r="L1121">
        <f t="shared" ca="1" si="35"/>
        <v>6</v>
      </c>
      <c r="M1121" t="s">
        <v>1810</v>
      </c>
      <c r="N1121">
        <v>3</v>
      </c>
      <c r="O1121" t="s">
        <v>1814</v>
      </c>
      <c r="P1121" t="s">
        <v>1832</v>
      </c>
    </row>
    <row r="1122" spans="1:16" x14ac:dyDescent="0.3">
      <c r="A1122" t="s">
        <v>1133</v>
      </c>
      <c r="B1122" t="s">
        <v>1735</v>
      </c>
      <c r="C1122">
        <v>27</v>
      </c>
      <c r="D1122" t="s">
        <v>1784</v>
      </c>
      <c r="E1122" t="s">
        <v>1792</v>
      </c>
      <c r="F1122" t="s">
        <v>1794</v>
      </c>
      <c r="G1122" s="5">
        <v>87634</v>
      </c>
      <c r="H1122" t="s">
        <v>1803</v>
      </c>
      <c r="I1122" t="s">
        <v>1807</v>
      </c>
      <c r="J1122" s="2">
        <v>43155</v>
      </c>
      <c r="K1122">
        <f t="shared" ca="1" si="34"/>
        <v>7</v>
      </c>
      <c r="L1122">
        <f t="shared" ca="1" si="35"/>
        <v>9</v>
      </c>
      <c r="M1122" t="s">
        <v>1809</v>
      </c>
      <c r="N1122">
        <v>5</v>
      </c>
      <c r="O1122" t="s">
        <v>1813</v>
      </c>
      <c r="P1122" t="s">
        <v>1833</v>
      </c>
    </row>
    <row r="1123" spans="1:16" x14ac:dyDescent="0.3">
      <c r="A1123" t="s">
        <v>1134</v>
      </c>
      <c r="B1123" t="s">
        <v>1749</v>
      </c>
      <c r="C1123">
        <v>29</v>
      </c>
      <c r="D1123" t="s">
        <v>1785</v>
      </c>
      <c r="E1123" t="s">
        <v>1790</v>
      </c>
      <c r="F1123" t="s">
        <v>1796</v>
      </c>
      <c r="G1123" s="5">
        <v>74505</v>
      </c>
      <c r="H1123" t="s">
        <v>1804</v>
      </c>
      <c r="I1123" t="s">
        <v>1808</v>
      </c>
      <c r="J1123" s="2">
        <v>45260</v>
      </c>
      <c r="K1123">
        <f t="shared" ca="1" si="34"/>
        <v>2</v>
      </c>
      <c r="L1123">
        <f t="shared" ca="1" si="35"/>
        <v>0</v>
      </c>
      <c r="M1123" t="s">
        <v>1809</v>
      </c>
      <c r="N1123">
        <v>5</v>
      </c>
      <c r="O1123" t="s">
        <v>1812</v>
      </c>
      <c r="P1123" t="s">
        <v>1833</v>
      </c>
    </row>
    <row r="1124" spans="1:16" x14ac:dyDescent="0.3">
      <c r="A1124" t="s">
        <v>1135</v>
      </c>
      <c r="B1124" t="s">
        <v>1714</v>
      </c>
      <c r="C1124">
        <v>40</v>
      </c>
      <c r="D1124" t="s">
        <v>1784</v>
      </c>
      <c r="E1124" t="s">
        <v>1792</v>
      </c>
      <c r="F1124" t="s">
        <v>1795</v>
      </c>
      <c r="G1124" s="5">
        <v>37234</v>
      </c>
      <c r="H1124" t="s">
        <v>1801</v>
      </c>
      <c r="I1124" t="s">
        <v>1808</v>
      </c>
      <c r="J1124" s="2">
        <v>44537</v>
      </c>
      <c r="K1124">
        <f t="shared" ca="1" si="34"/>
        <v>4</v>
      </c>
      <c r="L1124">
        <f t="shared" ca="1" si="35"/>
        <v>0</v>
      </c>
      <c r="M1124" t="s">
        <v>1809</v>
      </c>
      <c r="N1124">
        <v>3</v>
      </c>
      <c r="O1124" t="s">
        <v>1814</v>
      </c>
      <c r="P1124" t="s">
        <v>1831</v>
      </c>
    </row>
    <row r="1125" spans="1:16" x14ac:dyDescent="0.3">
      <c r="A1125" t="s">
        <v>1136</v>
      </c>
      <c r="B1125" t="s">
        <v>1723</v>
      </c>
      <c r="C1125">
        <v>21</v>
      </c>
      <c r="D1125" t="s">
        <v>1783</v>
      </c>
      <c r="E1125" t="s">
        <v>1788</v>
      </c>
      <c r="F1125" t="s">
        <v>1794</v>
      </c>
      <c r="G1125" s="5">
        <v>112580</v>
      </c>
      <c r="H1125" t="s">
        <v>1801</v>
      </c>
      <c r="I1125" t="s">
        <v>1808</v>
      </c>
      <c r="J1125" s="2">
        <v>42914</v>
      </c>
      <c r="K1125">
        <f t="shared" ca="1" si="34"/>
        <v>8</v>
      </c>
      <c r="L1125">
        <f t="shared" ca="1" si="35"/>
        <v>5</v>
      </c>
      <c r="M1125" t="s">
        <v>1809</v>
      </c>
      <c r="N1125">
        <v>5</v>
      </c>
      <c r="O1125" t="s">
        <v>1814</v>
      </c>
      <c r="P1125" t="s">
        <v>1832</v>
      </c>
    </row>
    <row r="1126" spans="1:16" x14ac:dyDescent="0.3">
      <c r="A1126" t="s">
        <v>1137</v>
      </c>
      <c r="B1126" t="s">
        <v>1763</v>
      </c>
      <c r="C1126">
        <v>52</v>
      </c>
      <c r="D1126" t="s">
        <v>1785</v>
      </c>
      <c r="E1126" t="s">
        <v>1786</v>
      </c>
      <c r="F1126" t="s">
        <v>1799</v>
      </c>
      <c r="G1126" s="5">
        <v>108997</v>
      </c>
      <c r="H1126" t="s">
        <v>1801</v>
      </c>
      <c r="I1126" t="s">
        <v>1808</v>
      </c>
      <c r="J1126" s="2">
        <v>44786</v>
      </c>
      <c r="K1126">
        <f t="shared" ca="1" si="34"/>
        <v>3</v>
      </c>
      <c r="L1126">
        <f t="shared" ca="1" si="35"/>
        <v>3</v>
      </c>
      <c r="M1126" t="s">
        <v>1810</v>
      </c>
      <c r="N1126">
        <v>2</v>
      </c>
      <c r="O1126" t="s">
        <v>1811</v>
      </c>
      <c r="P1126" t="s">
        <v>1834</v>
      </c>
    </row>
    <row r="1127" spans="1:16" x14ac:dyDescent="0.3">
      <c r="A1127" t="s">
        <v>1138</v>
      </c>
      <c r="B1127" t="s">
        <v>1780</v>
      </c>
      <c r="C1127">
        <v>31</v>
      </c>
      <c r="D1127" t="s">
        <v>1784</v>
      </c>
      <c r="E1127" t="s">
        <v>1792</v>
      </c>
      <c r="F1127" t="s">
        <v>1800</v>
      </c>
      <c r="G1127" s="5">
        <v>97249</v>
      </c>
      <c r="H1127" t="s">
        <v>1802</v>
      </c>
      <c r="I1127" t="s">
        <v>1806</v>
      </c>
      <c r="J1127" s="2">
        <v>43605</v>
      </c>
      <c r="K1127">
        <f t="shared" ca="1" si="34"/>
        <v>6</v>
      </c>
      <c r="L1127">
        <f t="shared" ca="1" si="35"/>
        <v>6</v>
      </c>
      <c r="M1127" t="s">
        <v>1810</v>
      </c>
      <c r="N1127">
        <v>1</v>
      </c>
      <c r="O1127" t="s">
        <v>1811</v>
      </c>
      <c r="P1127" t="s">
        <v>1833</v>
      </c>
    </row>
    <row r="1128" spans="1:16" x14ac:dyDescent="0.3">
      <c r="A1128" t="s">
        <v>1139</v>
      </c>
      <c r="B1128" t="s">
        <v>1779</v>
      </c>
      <c r="C1128">
        <v>46</v>
      </c>
      <c r="D1128" t="s">
        <v>1785</v>
      </c>
      <c r="E1128" t="s">
        <v>1791</v>
      </c>
      <c r="F1128" t="s">
        <v>1796</v>
      </c>
      <c r="G1128" s="5">
        <v>54014</v>
      </c>
      <c r="H1128" t="s">
        <v>1803</v>
      </c>
      <c r="I1128" t="s">
        <v>1806</v>
      </c>
      <c r="J1128" s="2">
        <v>45674</v>
      </c>
      <c r="K1128">
        <f t="shared" ca="1" si="34"/>
        <v>0</v>
      </c>
      <c r="L1128">
        <f t="shared" ca="1" si="35"/>
        <v>10</v>
      </c>
      <c r="M1128" t="s">
        <v>1810</v>
      </c>
      <c r="N1128">
        <v>1</v>
      </c>
      <c r="O1128" t="s">
        <v>1815</v>
      </c>
      <c r="P1128" t="s">
        <v>1834</v>
      </c>
    </row>
    <row r="1129" spans="1:16" x14ac:dyDescent="0.3">
      <c r="A1129" t="s">
        <v>1140</v>
      </c>
      <c r="B1129" t="s">
        <v>1779</v>
      </c>
      <c r="C1129">
        <v>40</v>
      </c>
      <c r="D1129" t="s">
        <v>1783</v>
      </c>
      <c r="E1129" t="s">
        <v>1793</v>
      </c>
      <c r="F1129" t="s">
        <v>1796</v>
      </c>
      <c r="G1129" s="5">
        <v>98135</v>
      </c>
      <c r="H1129" t="s">
        <v>1805</v>
      </c>
      <c r="I1129" t="s">
        <v>1808</v>
      </c>
      <c r="J1129" s="2">
        <v>44846</v>
      </c>
      <c r="K1129">
        <f t="shared" ca="1" si="34"/>
        <v>3</v>
      </c>
      <c r="L1129">
        <f t="shared" ca="1" si="35"/>
        <v>1</v>
      </c>
      <c r="M1129" t="s">
        <v>1810</v>
      </c>
      <c r="N1129">
        <v>5</v>
      </c>
      <c r="O1129" t="s">
        <v>1817</v>
      </c>
      <c r="P1129" t="s">
        <v>1831</v>
      </c>
    </row>
    <row r="1130" spans="1:16" x14ac:dyDescent="0.3">
      <c r="A1130" t="s">
        <v>1141</v>
      </c>
      <c r="B1130" t="s">
        <v>1748</v>
      </c>
      <c r="C1130">
        <v>50</v>
      </c>
      <c r="D1130" t="s">
        <v>1785</v>
      </c>
      <c r="E1130" t="s">
        <v>1792</v>
      </c>
      <c r="F1130" t="s">
        <v>1796</v>
      </c>
      <c r="G1130" s="5">
        <v>62951</v>
      </c>
      <c r="H1130" t="s">
        <v>1804</v>
      </c>
      <c r="I1130" t="s">
        <v>1808</v>
      </c>
      <c r="J1130" s="2">
        <v>45807</v>
      </c>
      <c r="K1130">
        <f t="shared" ca="1" si="34"/>
        <v>0</v>
      </c>
      <c r="L1130">
        <f t="shared" ca="1" si="35"/>
        <v>6</v>
      </c>
      <c r="M1130" t="s">
        <v>1810</v>
      </c>
      <c r="N1130">
        <v>2</v>
      </c>
      <c r="O1130" t="s">
        <v>1812</v>
      </c>
      <c r="P1130" t="s">
        <v>1834</v>
      </c>
    </row>
    <row r="1131" spans="1:16" x14ac:dyDescent="0.3">
      <c r="A1131" t="s">
        <v>1142</v>
      </c>
      <c r="B1131" t="s">
        <v>1721</v>
      </c>
      <c r="C1131">
        <v>54</v>
      </c>
      <c r="D1131" t="s">
        <v>1785</v>
      </c>
      <c r="E1131" t="s">
        <v>1791</v>
      </c>
      <c r="F1131" t="s">
        <v>1800</v>
      </c>
      <c r="G1131" s="5">
        <v>106209</v>
      </c>
      <c r="H1131" t="s">
        <v>1804</v>
      </c>
      <c r="I1131" t="s">
        <v>1808</v>
      </c>
      <c r="J1131" s="2">
        <v>42570</v>
      </c>
      <c r="K1131">
        <f t="shared" ca="1" si="34"/>
        <v>9</v>
      </c>
      <c r="L1131">
        <f t="shared" ca="1" si="35"/>
        <v>4</v>
      </c>
      <c r="M1131" t="s">
        <v>1809</v>
      </c>
      <c r="N1131">
        <v>4</v>
      </c>
      <c r="O1131" t="s">
        <v>1817</v>
      </c>
      <c r="P1131" t="s">
        <v>1834</v>
      </c>
    </row>
    <row r="1132" spans="1:16" x14ac:dyDescent="0.3">
      <c r="A1132" t="s">
        <v>1143</v>
      </c>
      <c r="B1132" t="s">
        <v>1769</v>
      </c>
      <c r="C1132">
        <v>53</v>
      </c>
      <c r="D1132" t="s">
        <v>1784</v>
      </c>
      <c r="E1132" t="s">
        <v>1788</v>
      </c>
      <c r="F1132" t="s">
        <v>1799</v>
      </c>
      <c r="G1132" s="5">
        <v>56249</v>
      </c>
      <c r="H1132" t="s">
        <v>1804</v>
      </c>
      <c r="I1132" t="s">
        <v>1808</v>
      </c>
      <c r="J1132" s="2">
        <v>45200</v>
      </c>
      <c r="K1132">
        <f t="shared" ca="1" si="34"/>
        <v>2</v>
      </c>
      <c r="L1132">
        <f t="shared" ca="1" si="35"/>
        <v>2</v>
      </c>
      <c r="M1132" t="s">
        <v>1810</v>
      </c>
      <c r="N1132">
        <v>1</v>
      </c>
      <c r="O1132" t="s">
        <v>1816</v>
      </c>
      <c r="P1132" t="s">
        <v>1834</v>
      </c>
    </row>
    <row r="1133" spans="1:16" x14ac:dyDescent="0.3">
      <c r="A1133" t="s">
        <v>1144</v>
      </c>
      <c r="B1133" t="s">
        <v>1759</v>
      </c>
      <c r="C1133">
        <v>30</v>
      </c>
      <c r="D1133" t="s">
        <v>1785</v>
      </c>
      <c r="E1133" t="s">
        <v>1789</v>
      </c>
      <c r="F1133" t="s">
        <v>1800</v>
      </c>
      <c r="G1133" s="5">
        <v>92041</v>
      </c>
      <c r="H1133" t="s">
        <v>1803</v>
      </c>
      <c r="I1133" t="s">
        <v>1807</v>
      </c>
      <c r="J1133" s="2">
        <v>45515</v>
      </c>
      <c r="K1133">
        <f t="shared" ca="1" si="34"/>
        <v>1</v>
      </c>
      <c r="L1133">
        <f t="shared" ca="1" si="35"/>
        <v>3</v>
      </c>
      <c r="M1133" t="s">
        <v>1810</v>
      </c>
      <c r="N1133">
        <v>5</v>
      </c>
      <c r="O1133" t="s">
        <v>1812</v>
      </c>
      <c r="P1133" t="s">
        <v>1833</v>
      </c>
    </row>
    <row r="1134" spans="1:16" x14ac:dyDescent="0.3">
      <c r="A1134" t="s">
        <v>1145</v>
      </c>
      <c r="B1134" t="s">
        <v>1743</v>
      </c>
      <c r="C1134">
        <v>54</v>
      </c>
      <c r="D1134" t="s">
        <v>1783</v>
      </c>
      <c r="E1134" t="s">
        <v>1787</v>
      </c>
      <c r="F1134" t="s">
        <v>1799</v>
      </c>
      <c r="G1134" s="5">
        <v>97576</v>
      </c>
      <c r="H1134" t="s">
        <v>1801</v>
      </c>
      <c r="I1134" t="s">
        <v>1807</v>
      </c>
      <c r="J1134" s="2">
        <v>44058</v>
      </c>
      <c r="K1134">
        <f t="shared" ca="1" si="34"/>
        <v>5</v>
      </c>
      <c r="L1134">
        <f t="shared" ca="1" si="35"/>
        <v>3</v>
      </c>
      <c r="M1134" t="s">
        <v>1809</v>
      </c>
      <c r="N1134">
        <v>2</v>
      </c>
      <c r="O1134" t="s">
        <v>1813</v>
      </c>
      <c r="P1134" t="s">
        <v>1834</v>
      </c>
    </row>
    <row r="1135" spans="1:16" x14ac:dyDescent="0.3">
      <c r="A1135" t="s">
        <v>1146</v>
      </c>
      <c r="B1135" t="s">
        <v>1715</v>
      </c>
      <c r="C1135">
        <v>31</v>
      </c>
      <c r="D1135" t="s">
        <v>1783</v>
      </c>
      <c r="E1135" t="s">
        <v>1787</v>
      </c>
      <c r="F1135" t="s">
        <v>1800</v>
      </c>
      <c r="G1135" s="5">
        <v>90098</v>
      </c>
      <c r="H1135" t="s">
        <v>1804</v>
      </c>
      <c r="I1135" t="s">
        <v>1807</v>
      </c>
      <c r="J1135" s="2">
        <v>44150</v>
      </c>
      <c r="K1135">
        <f t="shared" ca="1" si="34"/>
        <v>5</v>
      </c>
      <c r="L1135">
        <f t="shared" ca="1" si="35"/>
        <v>0</v>
      </c>
      <c r="M1135" t="s">
        <v>1810</v>
      </c>
      <c r="N1135">
        <v>3</v>
      </c>
      <c r="O1135" t="s">
        <v>1817</v>
      </c>
      <c r="P1135" t="s">
        <v>1833</v>
      </c>
    </row>
    <row r="1136" spans="1:16" x14ac:dyDescent="0.3">
      <c r="A1136" t="s">
        <v>1147</v>
      </c>
      <c r="B1136" t="s">
        <v>1745</v>
      </c>
      <c r="C1136">
        <v>40</v>
      </c>
      <c r="D1136" t="s">
        <v>1785</v>
      </c>
      <c r="E1136" t="s">
        <v>1787</v>
      </c>
      <c r="F1136" t="s">
        <v>1799</v>
      </c>
      <c r="G1136" s="5">
        <v>47504</v>
      </c>
      <c r="H1136" t="s">
        <v>1803</v>
      </c>
      <c r="I1136" t="s">
        <v>1808</v>
      </c>
      <c r="J1136" s="2">
        <v>45537</v>
      </c>
      <c r="K1136">
        <f t="shared" ca="1" si="34"/>
        <v>1</v>
      </c>
      <c r="L1136">
        <f t="shared" ca="1" si="35"/>
        <v>3</v>
      </c>
      <c r="M1136" t="s">
        <v>1810</v>
      </c>
      <c r="N1136">
        <v>3</v>
      </c>
      <c r="O1136" t="s">
        <v>1812</v>
      </c>
      <c r="P1136" t="s">
        <v>1831</v>
      </c>
    </row>
    <row r="1137" spans="1:16" x14ac:dyDescent="0.3">
      <c r="A1137" t="s">
        <v>1148</v>
      </c>
      <c r="B1137" t="s">
        <v>1751</v>
      </c>
      <c r="C1137">
        <v>31</v>
      </c>
      <c r="D1137" t="s">
        <v>1784</v>
      </c>
      <c r="E1137" t="s">
        <v>1788</v>
      </c>
      <c r="F1137" t="s">
        <v>1795</v>
      </c>
      <c r="G1137" s="5">
        <v>18437</v>
      </c>
      <c r="H1137" t="s">
        <v>1804</v>
      </c>
      <c r="I1137" t="s">
        <v>1808</v>
      </c>
      <c r="J1137" s="2">
        <v>45125</v>
      </c>
      <c r="K1137">
        <f t="shared" ca="1" si="34"/>
        <v>2</v>
      </c>
      <c r="L1137">
        <f t="shared" ca="1" si="35"/>
        <v>4</v>
      </c>
      <c r="M1137" t="s">
        <v>1809</v>
      </c>
      <c r="N1137">
        <v>1</v>
      </c>
      <c r="O1137" t="s">
        <v>1811</v>
      </c>
      <c r="P1137" t="s">
        <v>1833</v>
      </c>
    </row>
    <row r="1138" spans="1:16" x14ac:dyDescent="0.3">
      <c r="A1138" t="s">
        <v>1149</v>
      </c>
      <c r="B1138" t="s">
        <v>1760</v>
      </c>
      <c r="C1138">
        <v>46</v>
      </c>
      <c r="D1138" t="s">
        <v>1784</v>
      </c>
      <c r="E1138" t="s">
        <v>1787</v>
      </c>
      <c r="F1138" t="s">
        <v>1794</v>
      </c>
      <c r="G1138" s="5">
        <v>42756</v>
      </c>
      <c r="H1138" t="s">
        <v>1801</v>
      </c>
      <c r="I1138" t="s">
        <v>1806</v>
      </c>
      <c r="J1138" s="2">
        <v>43356</v>
      </c>
      <c r="K1138">
        <f t="shared" ca="1" si="34"/>
        <v>7</v>
      </c>
      <c r="L1138">
        <f t="shared" ca="1" si="35"/>
        <v>2</v>
      </c>
      <c r="M1138" t="s">
        <v>1809</v>
      </c>
      <c r="N1138">
        <v>5</v>
      </c>
      <c r="O1138" t="s">
        <v>1813</v>
      </c>
      <c r="P1138" t="s">
        <v>1834</v>
      </c>
    </row>
    <row r="1139" spans="1:16" x14ac:dyDescent="0.3">
      <c r="A1139" t="s">
        <v>1150</v>
      </c>
      <c r="B1139" t="s">
        <v>1759</v>
      </c>
      <c r="C1139">
        <v>46</v>
      </c>
      <c r="D1139" t="s">
        <v>1783</v>
      </c>
      <c r="E1139" t="s">
        <v>1789</v>
      </c>
      <c r="F1139" t="s">
        <v>1798</v>
      </c>
      <c r="G1139" s="5">
        <v>97929</v>
      </c>
      <c r="H1139" t="s">
        <v>1802</v>
      </c>
      <c r="I1139" t="s">
        <v>1806</v>
      </c>
      <c r="J1139" s="2">
        <v>45000</v>
      </c>
      <c r="K1139">
        <f t="shared" ca="1" si="34"/>
        <v>2</v>
      </c>
      <c r="L1139">
        <f t="shared" ca="1" si="35"/>
        <v>8</v>
      </c>
      <c r="M1139" t="s">
        <v>1810</v>
      </c>
      <c r="N1139">
        <v>1</v>
      </c>
      <c r="O1139" t="s">
        <v>1817</v>
      </c>
      <c r="P1139" t="s">
        <v>1834</v>
      </c>
    </row>
    <row r="1140" spans="1:16" x14ac:dyDescent="0.3">
      <c r="A1140" t="s">
        <v>1151</v>
      </c>
      <c r="B1140" t="s">
        <v>1733</v>
      </c>
      <c r="C1140">
        <v>58</v>
      </c>
      <c r="D1140" t="s">
        <v>1785</v>
      </c>
      <c r="E1140" t="s">
        <v>1787</v>
      </c>
      <c r="F1140" t="s">
        <v>1795</v>
      </c>
      <c r="G1140" s="5">
        <v>90359</v>
      </c>
      <c r="H1140" t="s">
        <v>1802</v>
      </c>
      <c r="I1140" t="s">
        <v>1807</v>
      </c>
      <c r="J1140" s="2">
        <v>44313</v>
      </c>
      <c r="K1140">
        <f t="shared" ca="1" si="34"/>
        <v>4</v>
      </c>
      <c r="L1140">
        <f t="shared" ca="1" si="35"/>
        <v>7</v>
      </c>
      <c r="M1140" t="s">
        <v>1810</v>
      </c>
      <c r="N1140">
        <v>2</v>
      </c>
      <c r="O1140" t="s">
        <v>1816</v>
      </c>
      <c r="P1140" t="s">
        <v>1834</v>
      </c>
    </row>
    <row r="1141" spans="1:16" x14ac:dyDescent="0.3">
      <c r="A1141" t="s">
        <v>1152</v>
      </c>
      <c r="B1141" t="s">
        <v>1747</v>
      </c>
      <c r="C1141">
        <v>32</v>
      </c>
      <c r="D1141" t="s">
        <v>1784</v>
      </c>
      <c r="E1141" t="s">
        <v>1791</v>
      </c>
      <c r="F1141" t="s">
        <v>1797</v>
      </c>
      <c r="G1141" s="5">
        <v>56401</v>
      </c>
      <c r="H1141" t="s">
        <v>1801</v>
      </c>
      <c r="I1141" t="s">
        <v>1807</v>
      </c>
      <c r="J1141" s="2">
        <v>44803</v>
      </c>
      <c r="K1141">
        <f t="shared" ca="1" si="34"/>
        <v>3</v>
      </c>
      <c r="L1141">
        <f t="shared" ca="1" si="35"/>
        <v>3</v>
      </c>
      <c r="M1141" t="s">
        <v>1810</v>
      </c>
      <c r="N1141">
        <v>4</v>
      </c>
      <c r="O1141" t="s">
        <v>1815</v>
      </c>
      <c r="P1141" t="s">
        <v>1833</v>
      </c>
    </row>
    <row r="1142" spans="1:16" x14ac:dyDescent="0.3">
      <c r="A1142" t="s">
        <v>1153</v>
      </c>
      <c r="B1142" t="s">
        <v>1770</v>
      </c>
      <c r="C1142">
        <v>35</v>
      </c>
      <c r="D1142" t="s">
        <v>1783</v>
      </c>
      <c r="E1142" t="s">
        <v>1790</v>
      </c>
      <c r="F1142" t="s">
        <v>1794</v>
      </c>
      <c r="G1142" s="5">
        <v>83564</v>
      </c>
      <c r="H1142" t="s">
        <v>1801</v>
      </c>
      <c r="I1142" t="s">
        <v>1806</v>
      </c>
      <c r="J1142" s="2">
        <v>45869</v>
      </c>
      <c r="K1142">
        <f t="shared" ca="1" si="34"/>
        <v>0</v>
      </c>
      <c r="L1142">
        <f t="shared" ca="1" si="35"/>
        <v>4</v>
      </c>
      <c r="M1142" t="s">
        <v>1810</v>
      </c>
      <c r="N1142">
        <v>2</v>
      </c>
      <c r="O1142" t="s">
        <v>1815</v>
      </c>
      <c r="P1142" t="s">
        <v>1833</v>
      </c>
    </row>
    <row r="1143" spans="1:16" x14ac:dyDescent="0.3">
      <c r="A1143" t="s">
        <v>1154</v>
      </c>
      <c r="B1143" t="s">
        <v>1747</v>
      </c>
      <c r="C1143">
        <v>24</v>
      </c>
      <c r="D1143" t="s">
        <v>1783</v>
      </c>
      <c r="E1143" t="s">
        <v>1792</v>
      </c>
      <c r="F1143" t="s">
        <v>1794</v>
      </c>
      <c r="G1143" s="5">
        <v>107394</v>
      </c>
      <c r="H1143" t="s">
        <v>1803</v>
      </c>
      <c r="I1143" t="s">
        <v>1806</v>
      </c>
      <c r="J1143" s="2">
        <v>44363</v>
      </c>
      <c r="K1143">
        <f t="shared" ca="1" si="34"/>
        <v>4</v>
      </c>
      <c r="L1143">
        <f t="shared" ca="1" si="35"/>
        <v>5</v>
      </c>
      <c r="M1143" t="s">
        <v>1810</v>
      </c>
      <c r="N1143">
        <v>1</v>
      </c>
      <c r="O1143" t="s">
        <v>1811</v>
      </c>
      <c r="P1143" t="s">
        <v>1832</v>
      </c>
    </row>
    <row r="1144" spans="1:16" x14ac:dyDescent="0.3">
      <c r="A1144" t="s">
        <v>1155</v>
      </c>
      <c r="B1144" t="s">
        <v>1780</v>
      </c>
      <c r="C1144">
        <v>54</v>
      </c>
      <c r="D1144" t="s">
        <v>1783</v>
      </c>
      <c r="E1144" t="s">
        <v>1792</v>
      </c>
      <c r="F1144" t="s">
        <v>1800</v>
      </c>
      <c r="G1144" s="5">
        <v>75477</v>
      </c>
      <c r="H1144" t="s">
        <v>1801</v>
      </c>
      <c r="I1144" t="s">
        <v>1808</v>
      </c>
      <c r="J1144" s="2">
        <v>45762</v>
      </c>
      <c r="K1144">
        <f t="shared" ca="1" si="34"/>
        <v>0</v>
      </c>
      <c r="L1144">
        <f t="shared" ca="1" si="35"/>
        <v>7</v>
      </c>
      <c r="M1144" t="s">
        <v>1810</v>
      </c>
      <c r="N1144">
        <v>1</v>
      </c>
      <c r="O1144" t="s">
        <v>1817</v>
      </c>
      <c r="P1144" t="s">
        <v>1834</v>
      </c>
    </row>
    <row r="1145" spans="1:16" x14ac:dyDescent="0.3">
      <c r="A1145" t="s">
        <v>1156</v>
      </c>
      <c r="B1145" t="s">
        <v>1746</v>
      </c>
      <c r="C1145">
        <v>52</v>
      </c>
      <c r="D1145" t="s">
        <v>1785</v>
      </c>
      <c r="E1145" t="s">
        <v>1790</v>
      </c>
      <c r="F1145" t="s">
        <v>1799</v>
      </c>
      <c r="G1145" s="5">
        <v>74175</v>
      </c>
      <c r="H1145" t="s">
        <v>1801</v>
      </c>
      <c r="I1145" t="s">
        <v>1807</v>
      </c>
      <c r="J1145" s="2">
        <v>43035</v>
      </c>
      <c r="K1145">
        <f t="shared" ca="1" si="34"/>
        <v>8</v>
      </c>
      <c r="L1145">
        <f t="shared" ca="1" si="35"/>
        <v>1</v>
      </c>
      <c r="M1145" t="s">
        <v>1810</v>
      </c>
      <c r="N1145">
        <v>5</v>
      </c>
      <c r="O1145" t="s">
        <v>1813</v>
      </c>
      <c r="P1145" t="s">
        <v>1834</v>
      </c>
    </row>
    <row r="1146" spans="1:16" x14ac:dyDescent="0.3">
      <c r="A1146" t="s">
        <v>1157</v>
      </c>
      <c r="B1146" t="s">
        <v>1738</v>
      </c>
      <c r="C1146">
        <v>46</v>
      </c>
      <c r="D1146" t="s">
        <v>1785</v>
      </c>
      <c r="E1146" t="s">
        <v>1789</v>
      </c>
      <c r="F1146" t="s">
        <v>1798</v>
      </c>
      <c r="G1146" s="5">
        <v>36605</v>
      </c>
      <c r="H1146" t="s">
        <v>1803</v>
      </c>
      <c r="I1146" t="s">
        <v>1807</v>
      </c>
      <c r="J1146" s="2">
        <v>43521</v>
      </c>
      <c r="K1146">
        <f t="shared" ca="1" si="34"/>
        <v>6</v>
      </c>
      <c r="L1146">
        <f t="shared" ca="1" si="35"/>
        <v>9</v>
      </c>
      <c r="M1146" t="s">
        <v>1809</v>
      </c>
      <c r="N1146">
        <v>3</v>
      </c>
      <c r="O1146" t="s">
        <v>1813</v>
      </c>
      <c r="P1146" t="s">
        <v>1834</v>
      </c>
    </row>
    <row r="1147" spans="1:16" x14ac:dyDescent="0.3">
      <c r="A1147" t="s">
        <v>1158</v>
      </c>
      <c r="B1147" t="s">
        <v>1747</v>
      </c>
      <c r="C1147">
        <v>51</v>
      </c>
      <c r="D1147" t="s">
        <v>1783</v>
      </c>
      <c r="E1147" t="s">
        <v>1788</v>
      </c>
      <c r="F1147" t="s">
        <v>1796</v>
      </c>
      <c r="G1147" s="5">
        <v>62884</v>
      </c>
      <c r="H1147" t="s">
        <v>1803</v>
      </c>
      <c r="I1147" t="s">
        <v>1808</v>
      </c>
      <c r="J1147" s="2">
        <v>45663</v>
      </c>
      <c r="K1147">
        <f t="shared" ca="1" si="34"/>
        <v>0</v>
      </c>
      <c r="L1147">
        <f t="shared" ca="1" si="35"/>
        <v>11</v>
      </c>
      <c r="M1147" t="s">
        <v>1810</v>
      </c>
      <c r="N1147">
        <v>3</v>
      </c>
      <c r="O1147" t="s">
        <v>1814</v>
      </c>
      <c r="P1147" t="s">
        <v>1834</v>
      </c>
    </row>
    <row r="1148" spans="1:16" x14ac:dyDescent="0.3">
      <c r="A1148" t="s">
        <v>1159</v>
      </c>
      <c r="B1148" t="s">
        <v>1736</v>
      </c>
      <c r="C1148">
        <v>28</v>
      </c>
      <c r="D1148" t="s">
        <v>1783</v>
      </c>
      <c r="E1148" t="s">
        <v>1788</v>
      </c>
      <c r="F1148" t="s">
        <v>1798</v>
      </c>
      <c r="G1148" s="5">
        <v>21400</v>
      </c>
      <c r="H1148" t="s">
        <v>1804</v>
      </c>
      <c r="I1148" t="s">
        <v>1806</v>
      </c>
      <c r="J1148" s="2">
        <v>43923</v>
      </c>
      <c r="K1148">
        <f t="shared" ca="1" si="34"/>
        <v>5</v>
      </c>
      <c r="L1148">
        <f t="shared" ca="1" si="35"/>
        <v>8</v>
      </c>
      <c r="M1148" t="s">
        <v>1810</v>
      </c>
      <c r="N1148">
        <v>3</v>
      </c>
      <c r="O1148" t="s">
        <v>1816</v>
      </c>
      <c r="P1148" t="s">
        <v>1833</v>
      </c>
    </row>
    <row r="1149" spans="1:16" x14ac:dyDescent="0.3">
      <c r="A1149" t="s">
        <v>1160</v>
      </c>
      <c r="B1149" t="s">
        <v>1760</v>
      </c>
      <c r="C1149">
        <v>39</v>
      </c>
      <c r="D1149" t="s">
        <v>1784</v>
      </c>
      <c r="E1149" t="s">
        <v>1790</v>
      </c>
      <c r="F1149" t="s">
        <v>1796</v>
      </c>
      <c r="G1149" s="5">
        <v>106247</v>
      </c>
      <c r="H1149" t="s">
        <v>1802</v>
      </c>
      <c r="I1149" t="s">
        <v>1806</v>
      </c>
      <c r="J1149" s="2">
        <v>45736</v>
      </c>
      <c r="K1149">
        <f t="shared" ca="1" si="34"/>
        <v>0</v>
      </c>
      <c r="L1149">
        <f t="shared" ca="1" si="35"/>
        <v>8</v>
      </c>
      <c r="M1149" t="s">
        <v>1809</v>
      </c>
      <c r="N1149">
        <v>2</v>
      </c>
      <c r="O1149" t="s">
        <v>1814</v>
      </c>
      <c r="P1149" t="s">
        <v>1831</v>
      </c>
    </row>
    <row r="1150" spans="1:16" x14ac:dyDescent="0.3">
      <c r="A1150" t="s">
        <v>1161</v>
      </c>
      <c r="B1150" t="s">
        <v>1754</v>
      </c>
      <c r="C1150">
        <v>34</v>
      </c>
      <c r="D1150" t="s">
        <v>1783</v>
      </c>
      <c r="E1150" t="s">
        <v>1786</v>
      </c>
      <c r="F1150" t="s">
        <v>1796</v>
      </c>
      <c r="G1150" s="5">
        <v>94445</v>
      </c>
      <c r="H1150" t="s">
        <v>1802</v>
      </c>
      <c r="I1150" t="s">
        <v>1806</v>
      </c>
      <c r="J1150" s="2">
        <v>42487</v>
      </c>
      <c r="K1150">
        <f t="shared" ca="1" si="34"/>
        <v>9</v>
      </c>
      <c r="L1150">
        <f t="shared" ca="1" si="35"/>
        <v>7</v>
      </c>
      <c r="M1150" t="s">
        <v>1810</v>
      </c>
      <c r="N1150">
        <v>3</v>
      </c>
      <c r="O1150" t="s">
        <v>1811</v>
      </c>
      <c r="P1150" t="s">
        <v>1833</v>
      </c>
    </row>
    <row r="1151" spans="1:16" x14ac:dyDescent="0.3">
      <c r="A1151" t="s">
        <v>1162</v>
      </c>
      <c r="B1151" t="s">
        <v>1773</v>
      </c>
      <c r="C1151">
        <v>30</v>
      </c>
      <c r="D1151" t="s">
        <v>1784</v>
      </c>
      <c r="E1151" t="s">
        <v>1791</v>
      </c>
      <c r="F1151" t="s">
        <v>1799</v>
      </c>
      <c r="G1151" s="5">
        <v>94957</v>
      </c>
      <c r="H1151" t="s">
        <v>1805</v>
      </c>
      <c r="I1151" t="s">
        <v>1808</v>
      </c>
      <c r="J1151" s="2">
        <v>44581</v>
      </c>
      <c r="K1151">
        <f t="shared" ca="1" si="34"/>
        <v>3</v>
      </c>
      <c r="L1151">
        <f t="shared" ca="1" si="35"/>
        <v>10</v>
      </c>
      <c r="M1151" t="s">
        <v>1810</v>
      </c>
      <c r="N1151">
        <v>4</v>
      </c>
      <c r="O1151" t="s">
        <v>1812</v>
      </c>
      <c r="P1151" t="s">
        <v>1833</v>
      </c>
    </row>
    <row r="1152" spans="1:16" x14ac:dyDescent="0.3">
      <c r="A1152" t="s">
        <v>1163</v>
      </c>
      <c r="B1152" t="s">
        <v>1751</v>
      </c>
      <c r="C1152">
        <v>53</v>
      </c>
      <c r="D1152" t="s">
        <v>1784</v>
      </c>
      <c r="E1152" t="s">
        <v>1791</v>
      </c>
      <c r="F1152" t="s">
        <v>1800</v>
      </c>
      <c r="G1152" s="5">
        <v>81438</v>
      </c>
      <c r="H1152" t="s">
        <v>1801</v>
      </c>
      <c r="I1152" t="s">
        <v>1806</v>
      </c>
      <c r="J1152" s="2">
        <v>42703</v>
      </c>
      <c r="K1152">
        <f t="shared" ca="1" si="34"/>
        <v>9</v>
      </c>
      <c r="L1152">
        <f t="shared" ca="1" si="35"/>
        <v>0</v>
      </c>
      <c r="M1152" t="s">
        <v>1810</v>
      </c>
      <c r="N1152">
        <v>2</v>
      </c>
      <c r="O1152" t="s">
        <v>1814</v>
      </c>
      <c r="P1152" t="s">
        <v>1834</v>
      </c>
    </row>
    <row r="1153" spans="1:16" x14ac:dyDescent="0.3">
      <c r="A1153" t="s">
        <v>1164</v>
      </c>
      <c r="B1153" t="s">
        <v>1732</v>
      </c>
      <c r="C1153">
        <v>29</v>
      </c>
      <c r="D1153" t="s">
        <v>1784</v>
      </c>
      <c r="E1153" t="s">
        <v>1793</v>
      </c>
      <c r="F1153" t="s">
        <v>1798</v>
      </c>
      <c r="G1153" s="5">
        <v>103196</v>
      </c>
      <c r="H1153" t="s">
        <v>1804</v>
      </c>
      <c r="I1153" t="s">
        <v>1808</v>
      </c>
      <c r="J1153" s="2">
        <v>44319</v>
      </c>
      <c r="K1153">
        <f t="shared" ca="1" si="34"/>
        <v>4</v>
      </c>
      <c r="L1153">
        <f t="shared" ca="1" si="35"/>
        <v>7</v>
      </c>
      <c r="M1153" t="s">
        <v>1809</v>
      </c>
      <c r="N1153">
        <v>5</v>
      </c>
      <c r="O1153" t="s">
        <v>1815</v>
      </c>
      <c r="P1153" t="s">
        <v>1833</v>
      </c>
    </row>
    <row r="1154" spans="1:16" x14ac:dyDescent="0.3">
      <c r="A1154" t="s">
        <v>1165</v>
      </c>
      <c r="B1154" t="s">
        <v>1762</v>
      </c>
      <c r="C1154">
        <v>22</v>
      </c>
      <c r="D1154" t="s">
        <v>1784</v>
      </c>
      <c r="E1154" t="s">
        <v>1793</v>
      </c>
      <c r="F1154" t="s">
        <v>1795</v>
      </c>
      <c r="G1154" s="5">
        <v>61190</v>
      </c>
      <c r="H1154" t="s">
        <v>1801</v>
      </c>
      <c r="I1154" t="s">
        <v>1808</v>
      </c>
      <c r="J1154" s="2">
        <v>44704</v>
      </c>
      <c r="K1154">
        <f t="shared" ca="1" si="34"/>
        <v>3</v>
      </c>
      <c r="L1154">
        <f t="shared" ca="1" si="35"/>
        <v>6</v>
      </c>
      <c r="M1154" t="s">
        <v>1809</v>
      </c>
      <c r="N1154">
        <v>1</v>
      </c>
      <c r="O1154" t="s">
        <v>1812</v>
      </c>
      <c r="P1154" t="s">
        <v>1832</v>
      </c>
    </row>
    <row r="1155" spans="1:16" x14ac:dyDescent="0.3">
      <c r="A1155" t="s">
        <v>1166</v>
      </c>
      <c r="B1155" t="s">
        <v>1759</v>
      </c>
      <c r="C1155">
        <v>35</v>
      </c>
      <c r="D1155" t="s">
        <v>1783</v>
      </c>
      <c r="E1155" t="s">
        <v>1788</v>
      </c>
      <c r="F1155" t="s">
        <v>1798</v>
      </c>
      <c r="G1155" s="5">
        <v>114919</v>
      </c>
      <c r="H1155" t="s">
        <v>1802</v>
      </c>
      <c r="I1155" t="s">
        <v>1807</v>
      </c>
      <c r="J1155" s="2">
        <v>45262</v>
      </c>
      <c r="K1155">
        <f t="shared" ref="K1155:K1218" ca="1" si="36">YEAR(TODAY()) - YEAR(J1155)</f>
        <v>2</v>
      </c>
      <c r="L1155">
        <f t="shared" ref="L1155:L1218" ca="1" si="37">DATEDIF(J1155,TODAY(),"YM")</f>
        <v>0</v>
      </c>
      <c r="M1155" t="s">
        <v>1810</v>
      </c>
      <c r="N1155">
        <v>2</v>
      </c>
      <c r="O1155" t="s">
        <v>1818</v>
      </c>
      <c r="P1155" t="s">
        <v>1833</v>
      </c>
    </row>
    <row r="1156" spans="1:16" x14ac:dyDescent="0.3">
      <c r="A1156" t="s">
        <v>1167</v>
      </c>
      <c r="B1156" t="s">
        <v>1715</v>
      </c>
      <c r="C1156">
        <v>55</v>
      </c>
      <c r="D1156" t="s">
        <v>1784</v>
      </c>
      <c r="E1156" t="s">
        <v>1793</v>
      </c>
      <c r="F1156" t="s">
        <v>1798</v>
      </c>
      <c r="G1156" s="5">
        <v>115400</v>
      </c>
      <c r="H1156" t="s">
        <v>1801</v>
      </c>
      <c r="I1156" t="s">
        <v>1807</v>
      </c>
      <c r="J1156" s="2">
        <v>44578</v>
      </c>
      <c r="K1156">
        <f t="shared" ca="1" si="36"/>
        <v>3</v>
      </c>
      <c r="L1156">
        <f t="shared" ca="1" si="37"/>
        <v>10</v>
      </c>
      <c r="M1156" t="s">
        <v>1810</v>
      </c>
      <c r="N1156">
        <v>1</v>
      </c>
      <c r="O1156" t="s">
        <v>1815</v>
      </c>
      <c r="P1156" t="s">
        <v>1834</v>
      </c>
    </row>
    <row r="1157" spans="1:16" x14ac:dyDescent="0.3">
      <c r="A1157" t="s">
        <v>1168</v>
      </c>
      <c r="B1157" t="s">
        <v>1732</v>
      </c>
      <c r="C1157">
        <v>57</v>
      </c>
      <c r="D1157" t="s">
        <v>1785</v>
      </c>
      <c r="E1157" t="s">
        <v>1790</v>
      </c>
      <c r="F1157" t="s">
        <v>1797</v>
      </c>
      <c r="G1157" s="5">
        <v>78852</v>
      </c>
      <c r="H1157" t="s">
        <v>1805</v>
      </c>
      <c r="I1157" t="s">
        <v>1807</v>
      </c>
      <c r="J1157" s="2">
        <v>43744</v>
      </c>
      <c r="K1157">
        <f t="shared" ca="1" si="36"/>
        <v>6</v>
      </c>
      <c r="L1157">
        <f t="shared" ca="1" si="37"/>
        <v>2</v>
      </c>
      <c r="M1157" t="s">
        <v>1809</v>
      </c>
      <c r="N1157">
        <v>2</v>
      </c>
      <c r="O1157" t="s">
        <v>1812</v>
      </c>
      <c r="P1157" t="s">
        <v>1834</v>
      </c>
    </row>
    <row r="1158" spans="1:16" x14ac:dyDescent="0.3">
      <c r="A1158" t="s">
        <v>1169</v>
      </c>
      <c r="B1158" t="s">
        <v>1718</v>
      </c>
      <c r="C1158">
        <v>25</v>
      </c>
      <c r="D1158" t="s">
        <v>1784</v>
      </c>
      <c r="E1158" t="s">
        <v>1786</v>
      </c>
      <c r="F1158" t="s">
        <v>1795</v>
      </c>
      <c r="G1158" s="5">
        <v>31090</v>
      </c>
      <c r="H1158" t="s">
        <v>1805</v>
      </c>
      <c r="I1158" t="s">
        <v>1807</v>
      </c>
      <c r="J1158" s="2">
        <v>44888</v>
      </c>
      <c r="K1158">
        <f t="shared" ca="1" si="36"/>
        <v>3</v>
      </c>
      <c r="L1158">
        <f t="shared" ca="1" si="37"/>
        <v>0</v>
      </c>
      <c r="M1158" t="s">
        <v>1810</v>
      </c>
      <c r="N1158">
        <v>3</v>
      </c>
      <c r="O1158" t="s">
        <v>1818</v>
      </c>
      <c r="P1158" t="s">
        <v>1832</v>
      </c>
    </row>
    <row r="1159" spans="1:16" x14ac:dyDescent="0.3">
      <c r="A1159" t="s">
        <v>1170</v>
      </c>
      <c r="B1159" t="s">
        <v>1770</v>
      </c>
      <c r="C1159">
        <v>27</v>
      </c>
      <c r="D1159" t="s">
        <v>1785</v>
      </c>
      <c r="E1159" t="s">
        <v>1790</v>
      </c>
      <c r="F1159" t="s">
        <v>1794</v>
      </c>
      <c r="G1159" s="5">
        <v>119894</v>
      </c>
      <c r="H1159" t="s">
        <v>1802</v>
      </c>
      <c r="I1159" t="s">
        <v>1806</v>
      </c>
      <c r="J1159" s="2">
        <v>45738</v>
      </c>
      <c r="K1159">
        <f t="shared" ca="1" si="36"/>
        <v>0</v>
      </c>
      <c r="L1159">
        <f t="shared" ca="1" si="37"/>
        <v>8</v>
      </c>
      <c r="M1159" t="s">
        <v>1810</v>
      </c>
      <c r="N1159">
        <v>1</v>
      </c>
      <c r="O1159" t="s">
        <v>1814</v>
      </c>
      <c r="P1159" t="s">
        <v>1833</v>
      </c>
    </row>
    <row r="1160" spans="1:16" x14ac:dyDescent="0.3">
      <c r="A1160" t="s">
        <v>1171</v>
      </c>
      <c r="B1160" t="s">
        <v>1744</v>
      </c>
      <c r="C1160">
        <v>37</v>
      </c>
      <c r="D1160" t="s">
        <v>1784</v>
      </c>
      <c r="E1160" t="s">
        <v>1791</v>
      </c>
      <c r="F1160" t="s">
        <v>1795</v>
      </c>
      <c r="G1160" s="5">
        <v>61075</v>
      </c>
      <c r="H1160" t="s">
        <v>1803</v>
      </c>
      <c r="I1160" t="s">
        <v>1806</v>
      </c>
      <c r="J1160" s="2">
        <v>43600</v>
      </c>
      <c r="K1160">
        <f t="shared" ca="1" si="36"/>
        <v>6</v>
      </c>
      <c r="L1160">
        <f t="shared" ca="1" si="37"/>
        <v>6</v>
      </c>
      <c r="M1160" t="s">
        <v>1810</v>
      </c>
      <c r="N1160">
        <v>3</v>
      </c>
      <c r="O1160" t="s">
        <v>1815</v>
      </c>
      <c r="P1160" t="s">
        <v>1831</v>
      </c>
    </row>
    <row r="1161" spans="1:16" x14ac:dyDescent="0.3">
      <c r="A1161" t="s">
        <v>1172</v>
      </c>
      <c r="B1161" t="s">
        <v>1775</v>
      </c>
      <c r="C1161">
        <v>55</v>
      </c>
      <c r="D1161" t="s">
        <v>1785</v>
      </c>
      <c r="E1161" t="s">
        <v>1788</v>
      </c>
      <c r="F1161" t="s">
        <v>1800</v>
      </c>
      <c r="G1161" s="5">
        <v>100040</v>
      </c>
      <c r="H1161" t="s">
        <v>1801</v>
      </c>
      <c r="I1161" t="s">
        <v>1807</v>
      </c>
      <c r="J1161" s="2">
        <v>44435</v>
      </c>
      <c r="K1161">
        <f t="shared" ca="1" si="36"/>
        <v>4</v>
      </c>
      <c r="L1161">
        <f t="shared" ca="1" si="37"/>
        <v>3</v>
      </c>
      <c r="M1161" t="s">
        <v>1809</v>
      </c>
      <c r="N1161">
        <v>3</v>
      </c>
      <c r="O1161" t="s">
        <v>1812</v>
      </c>
      <c r="P1161" t="s">
        <v>1834</v>
      </c>
    </row>
    <row r="1162" spans="1:16" x14ac:dyDescent="0.3">
      <c r="A1162" t="s">
        <v>1173</v>
      </c>
      <c r="B1162" t="s">
        <v>1721</v>
      </c>
      <c r="C1162">
        <v>31</v>
      </c>
      <c r="D1162" t="s">
        <v>1783</v>
      </c>
      <c r="E1162" t="s">
        <v>1787</v>
      </c>
      <c r="F1162" t="s">
        <v>1796</v>
      </c>
      <c r="G1162" s="5">
        <v>106208</v>
      </c>
      <c r="H1162" t="s">
        <v>1801</v>
      </c>
      <c r="I1162" t="s">
        <v>1808</v>
      </c>
      <c r="J1162" s="2">
        <v>43840</v>
      </c>
      <c r="K1162">
        <f t="shared" ca="1" si="36"/>
        <v>5</v>
      </c>
      <c r="L1162">
        <f t="shared" ca="1" si="37"/>
        <v>11</v>
      </c>
      <c r="M1162" t="s">
        <v>1809</v>
      </c>
      <c r="N1162">
        <v>2</v>
      </c>
      <c r="O1162" t="s">
        <v>1813</v>
      </c>
      <c r="P1162" t="s">
        <v>1833</v>
      </c>
    </row>
    <row r="1163" spans="1:16" x14ac:dyDescent="0.3">
      <c r="A1163" t="s">
        <v>1174</v>
      </c>
      <c r="B1163" t="s">
        <v>1732</v>
      </c>
      <c r="C1163">
        <v>39</v>
      </c>
      <c r="D1163" t="s">
        <v>1785</v>
      </c>
      <c r="E1163" t="s">
        <v>1788</v>
      </c>
      <c r="F1163" t="s">
        <v>1799</v>
      </c>
      <c r="G1163" s="5">
        <v>59945</v>
      </c>
      <c r="H1163" t="s">
        <v>1805</v>
      </c>
      <c r="I1163" t="s">
        <v>1808</v>
      </c>
      <c r="J1163" s="2">
        <v>42859</v>
      </c>
      <c r="K1163">
        <f t="shared" ca="1" si="36"/>
        <v>8</v>
      </c>
      <c r="L1163">
        <f t="shared" ca="1" si="37"/>
        <v>7</v>
      </c>
      <c r="M1163" t="s">
        <v>1810</v>
      </c>
      <c r="N1163">
        <v>5</v>
      </c>
      <c r="O1163" t="s">
        <v>1815</v>
      </c>
      <c r="P1163" t="s">
        <v>1831</v>
      </c>
    </row>
    <row r="1164" spans="1:16" x14ac:dyDescent="0.3">
      <c r="A1164" t="s">
        <v>1175</v>
      </c>
      <c r="B1164" t="s">
        <v>1760</v>
      </c>
      <c r="C1164">
        <v>29</v>
      </c>
      <c r="D1164" t="s">
        <v>1784</v>
      </c>
      <c r="E1164" t="s">
        <v>1791</v>
      </c>
      <c r="F1164" t="s">
        <v>1799</v>
      </c>
      <c r="G1164" s="5">
        <v>43153</v>
      </c>
      <c r="H1164" t="s">
        <v>1803</v>
      </c>
      <c r="I1164" t="s">
        <v>1807</v>
      </c>
      <c r="J1164" s="2">
        <v>45929</v>
      </c>
      <c r="K1164">
        <f t="shared" ca="1" si="36"/>
        <v>0</v>
      </c>
      <c r="L1164">
        <f t="shared" ca="1" si="37"/>
        <v>2</v>
      </c>
      <c r="M1164" t="s">
        <v>1809</v>
      </c>
      <c r="N1164">
        <v>5</v>
      </c>
      <c r="O1164" t="s">
        <v>1816</v>
      </c>
      <c r="P1164" t="s">
        <v>1833</v>
      </c>
    </row>
    <row r="1165" spans="1:16" x14ac:dyDescent="0.3">
      <c r="A1165" t="s">
        <v>1176</v>
      </c>
      <c r="B1165" t="s">
        <v>1753</v>
      </c>
      <c r="C1165">
        <v>50</v>
      </c>
      <c r="D1165" t="s">
        <v>1785</v>
      </c>
      <c r="E1165" t="s">
        <v>1787</v>
      </c>
      <c r="F1165" t="s">
        <v>1796</v>
      </c>
      <c r="G1165" s="5">
        <v>113219</v>
      </c>
      <c r="H1165" t="s">
        <v>1802</v>
      </c>
      <c r="I1165" t="s">
        <v>1808</v>
      </c>
      <c r="J1165" s="2">
        <v>44371</v>
      </c>
      <c r="K1165">
        <f t="shared" ca="1" si="36"/>
        <v>4</v>
      </c>
      <c r="L1165">
        <f t="shared" ca="1" si="37"/>
        <v>5</v>
      </c>
      <c r="M1165" t="s">
        <v>1810</v>
      </c>
      <c r="N1165">
        <v>3</v>
      </c>
      <c r="O1165" t="s">
        <v>1816</v>
      </c>
      <c r="P1165" t="s">
        <v>1834</v>
      </c>
    </row>
    <row r="1166" spans="1:16" x14ac:dyDescent="0.3">
      <c r="A1166" t="s">
        <v>1177</v>
      </c>
      <c r="B1166" t="s">
        <v>1766</v>
      </c>
      <c r="C1166">
        <v>42</v>
      </c>
      <c r="D1166" t="s">
        <v>1785</v>
      </c>
      <c r="E1166" t="s">
        <v>1789</v>
      </c>
      <c r="F1166" t="s">
        <v>1796</v>
      </c>
      <c r="G1166" s="5">
        <v>76944</v>
      </c>
      <c r="H1166" t="s">
        <v>1803</v>
      </c>
      <c r="I1166" t="s">
        <v>1806</v>
      </c>
      <c r="J1166" s="2">
        <v>44049</v>
      </c>
      <c r="K1166">
        <f t="shared" ca="1" si="36"/>
        <v>5</v>
      </c>
      <c r="L1166">
        <f t="shared" ca="1" si="37"/>
        <v>4</v>
      </c>
      <c r="M1166" t="s">
        <v>1810</v>
      </c>
      <c r="N1166">
        <v>1</v>
      </c>
      <c r="O1166" t="s">
        <v>1811</v>
      </c>
      <c r="P1166" t="s">
        <v>1831</v>
      </c>
    </row>
    <row r="1167" spans="1:16" x14ac:dyDescent="0.3">
      <c r="A1167" t="s">
        <v>1178</v>
      </c>
      <c r="B1167" t="s">
        <v>1768</v>
      </c>
      <c r="C1167">
        <v>42</v>
      </c>
      <c r="D1167" t="s">
        <v>1785</v>
      </c>
      <c r="E1167" t="s">
        <v>1791</v>
      </c>
      <c r="F1167" t="s">
        <v>1799</v>
      </c>
      <c r="G1167" s="5">
        <v>77885</v>
      </c>
      <c r="H1167" t="s">
        <v>1804</v>
      </c>
      <c r="I1167" t="s">
        <v>1807</v>
      </c>
      <c r="J1167" s="2">
        <v>45790</v>
      </c>
      <c r="K1167">
        <f t="shared" ca="1" si="36"/>
        <v>0</v>
      </c>
      <c r="L1167">
        <f t="shared" ca="1" si="37"/>
        <v>6</v>
      </c>
      <c r="M1167" t="s">
        <v>1809</v>
      </c>
      <c r="N1167">
        <v>2</v>
      </c>
      <c r="O1167" t="s">
        <v>1814</v>
      </c>
      <c r="P1167" t="s">
        <v>1831</v>
      </c>
    </row>
    <row r="1168" spans="1:16" x14ac:dyDescent="0.3">
      <c r="A1168" t="s">
        <v>1179</v>
      </c>
      <c r="B1168" t="s">
        <v>1725</v>
      </c>
      <c r="C1168">
        <v>43</v>
      </c>
      <c r="D1168" t="s">
        <v>1783</v>
      </c>
      <c r="E1168" t="s">
        <v>1789</v>
      </c>
      <c r="F1168" t="s">
        <v>1799</v>
      </c>
      <c r="G1168" s="5">
        <v>74033</v>
      </c>
      <c r="H1168" t="s">
        <v>1803</v>
      </c>
      <c r="I1168" t="s">
        <v>1808</v>
      </c>
      <c r="J1168" s="2">
        <v>44723</v>
      </c>
      <c r="K1168">
        <f t="shared" ca="1" si="36"/>
        <v>3</v>
      </c>
      <c r="L1168">
        <f t="shared" ca="1" si="37"/>
        <v>5</v>
      </c>
      <c r="M1168" t="s">
        <v>1809</v>
      </c>
      <c r="N1168">
        <v>2</v>
      </c>
      <c r="O1168" t="s">
        <v>1812</v>
      </c>
      <c r="P1168" t="s">
        <v>1831</v>
      </c>
    </row>
    <row r="1169" spans="1:16" x14ac:dyDescent="0.3">
      <c r="A1169" t="s">
        <v>1180</v>
      </c>
      <c r="B1169" t="s">
        <v>1767</v>
      </c>
      <c r="C1169">
        <v>24</v>
      </c>
      <c r="D1169" t="s">
        <v>1783</v>
      </c>
      <c r="E1169" t="s">
        <v>1791</v>
      </c>
      <c r="F1169" t="s">
        <v>1794</v>
      </c>
      <c r="G1169" s="5">
        <v>60661</v>
      </c>
      <c r="H1169" t="s">
        <v>1803</v>
      </c>
      <c r="I1169" t="s">
        <v>1806</v>
      </c>
      <c r="J1169" s="2">
        <v>44866</v>
      </c>
      <c r="K1169">
        <f t="shared" ca="1" si="36"/>
        <v>3</v>
      </c>
      <c r="L1169">
        <f t="shared" ca="1" si="37"/>
        <v>1</v>
      </c>
      <c r="M1169" t="s">
        <v>1810</v>
      </c>
      <c r="N1169">
        <v>1</v>
      </c>
      <c r="O1169" t="s">
        <v>1811</v>
      </c>
      <c r="P1169" t="s">
        <v>1832</v>
      </c>
    </row>
    <row r="1170" spans="1:16" x14ac:dyDescent="0.3">
      <c r="A1170" t="s">
        <v>1181</v>
      </c>
      <c r="B1170" t="s">
        <v>1721</v>
      </c>
      <c r="C1170">
        <v>37</v>
      </c>
      <c r="D1170" t="s">
        <v>1785</v>
      </c>
      <c r="E1170" t="s">
        <v>1787</v>
      </c>
      <c r="F1170" t="s">
        <v>1797</v>
      </c>
      <c r="G1170" s="5">
        <v>25774</v>
      </c>
      <c r="H1170" t="s">
        <v>1801</v>
      </c>
      <c r="I1170" t="s">
        <v>1806</v>
      </c>
      <c r="J1170" s="2">
        <v>43841</v>
      </c>
      <c r="K1170">
        <f t="shared" ca="1" si="36"/>
        <v>5</v>
      </c>
      <c r="L1170">
        <f t="shared" ca="1" si="37"/>
        <v>10</v>
      </c>
      <c r="M1170" t="s">
        <v>1810</v>
      </c>
      <c r="N1170">
        <v>5</v>
      </c>
      <c r="O1170" t="s">
        <v>1817</v>
      </c>
      <c r="P1170" t="s">
        <v>1831</v>
      </c>
    </row>
    <row r="1171" spans="1:16" x14ac:dyDescent="0.3">
      <c r="A1171" t="s">
        <v>1182</v>
      </c>
      <c r="B1171" t="s">
        <v>1737</v>
      </c>
      <c r="C1171">
        <v>27</v>
      </c>
      <c r="D1171" t="s">
        <v>1784</v>
      </c>
      <c r="E1171" t="s">
        <v>1791</v>
      </c>
      <c r="F1171" t="s">
        <v>1797</v>
      </c>
      <c r="G1171" s="5">
        <v>116281</v>
      </c>
      <c r="H1171" t="s">
        <v>1804</v>
      </c>
      <c r="I1171" t="s">
        <v>1806</v>
      </c>
      <c r="J1171" s="2">
        <v>44132</v>
      </c>
      <c r="K1171">
        <f t="shared" ca="1" si="36"/>
        <v>5</v>
      </c>
      <c r="L1171">
        <f t="shared" ca="1" si="37"/>
        <v>1</v>
      </c>
      <c r="M1171" t="s">
        <v>1809</v>
      </c>
      <c r="N1171">
        <v>2</v>
      </c>
      <c r="O1171" t="s">
        <v>1814</v>
      </c>
      <c r="P1171" t="s">
        <v>1833</v>
      </c>
    </row>
    <row r="1172" spans="1:16" x14ac:dyDescent="0.3">
      <c r="A1172" t="s">
        <v>1183</v>
      </c>
      <c r="B1172" t="s">
        <v>1729</v>
      </c>
      <c r="C1172">
        <v>55</v>
      </c>
      <c r="D1172" t="s">
        <v>1783</v>
      </c>
      <c r="E1172" t="s">
        <v>1790</v>
      </c>
      <c r="F1172" t="s">
        <v>1796</v>
      </c>
      <c r="G1172" s="5">
        <v>50142</v>
      </c>
      <c r="H1172" t="s">
        <v>1805</v>
      </c>
      <c r="I1172" t="s">
        <v>1806</v>
      </c>
      <c r="J1172" s="2">
        <v>45562</v>
      </c>
      <c r="K1172">
        <f t="shared" ca="1" si="36"/>
        <v>1</v>
      </c>
      <c r="L1172">
        <f t="shared" ca="1" si="37"/>
        <v>2</v>
      </c>
      <c r="M1172" t="s">
        <v>1810</v>
      </c>
      <c r="N1172">
        <v>5</v>
      </c>
      <c r="O1172" t="s">
        <v>1814</v>
      </c>
      <c r="P1172" t="s">
        <v>1834</v>
      </c>
    </row>
    <row r="1173" spans="1:16" x14ac:dyDescent="0.3">
      <c r="A1173" t="s">
        <v>1184</v>
      </c>
      <c r="B1173" t="s">
        <v>1752</v>
      </c>
      <c r="C1173">
        <v>24</v>
      </c>
      <c r="D1173" t="s">
        <v>1785</v>
      </c>
      <c r="E1173" t="s">
        <v>1789</v>
      </c>
      <c r="F1173" t="s">
        <v>1799</v>
      </c>
      <c r="G1173" s="5">
        <v>65347</v>
      </c>
      <c r="H1173" t="s">
        <v>1803</v>
      </c>
      <c r="I1173" t="s">
        <v>1806</v>
      </c>
      <c r="J1173" s="2">
        <v>43317</v>
      </c>
      <c r="K1173">
        <f t="shared" ca="1" si="36"/>
        <v>7</v>
      </c>
      <c r="L1173">
        <f t="shared" ca="1" si="37"/>
        <v>4</v>
      </c>
      <c r="M1173" t="s">
        <v>1809</v>
      </c>
      <c r="N1173">
        <v>3</v>
      </c>
      <c r="O1173" t="s">
        <v>1812</v>
      </c>
      <c r="P1173" t="s">
        <v>1832</v>
      </c>
    </row>
    <row r="1174" spans="1:16" x14ac:dyDescent="0.3">
      <c r="A1174" t="s">
        <v>1185</v>
      </c>
      <c r="B1174" t="s">
        <v>1743</v>
      </c>
      <c r="C1174">
        <v>43</v>
      </c>
      <c r="D1174" t="s">
        <v>1784</v>
      </c>
      <c r="E1174" t="s">
        <v>1786</v>
      </c>
      <c r="F1174" t="s">
        <v>1794</v>
      </c>
      <c r="G1174" s="5">
        <v>106823</v>
      </c>
      <c r="H1174" t="s">
        <v>1804</v>
      </c>
      <c r="I1174" t="s">
        <v>1808</v>
      </c>
      <c r="J1174" s="2">
        <v>44910</v>
      </c>
      <c r="K1174">
        <f t="shared" ca="1" si="36"/>
        <v>3</v>
      </c>
      <c r="L1174">
        <f t="shared" ca="1" si="37"/>
        <v>11</v>
      </c>
      <c r="M1174" t="s">
        <v>1809</v>
      </c>
      <c r="N1174">
        <v>2</v>
      </c>
      <c r="O1174" t="s">
        <v>1813</v>
      </c>
      <c r="P1174" t="s">
        <v>1831</v>
      </c>
    </row>
    <row r="1175" spans="1:16" x14ac:dyDescent="0.3">
      <c r="A1175" t="s">
        <v>1186</v>
      </c>
      <c r="B1175" t="s">
        <v>1723</v>
      </c>
      <c r="C1175">
        <v>45</v>
      </c>
      <c r="D1175" t="s">
        <v>1784</v>
      </c>
      <c r="E1175" t="s">
        <v>1792</v>
      </c>
      <c r="F1175" t="s">
        <v>1797</v>
      </c>
      <c r="G1175" s="5">
        <v>87258</v>
      </c>
      <c r="H1175" t="s">
        <v>1805</v>
      </c>
      <c r="I1175" t="s">
        <v>1808</v>
      </c>
      <c r="J1175" s="2">
        <v>42504</v>
      </c>
      <c r="K1175">
        <f t="shared" ca="1" si="36"/>
        <v>9</v>
      </c>
      <c r="L1175">
        <f t="shared" ca="1" si="37"/>
        <v>6</v>
      </c>
      <c r="M1175" t="s">
        <v>1810</v>
      </c>
      <c r="N1175">
        <v>1</v>
      </c>
      <c r="O1175" t="s">
        <v>1817</v>
      </c>
      <c r="P1175" t="s">
        <v>1831</v>
      </c>
    </row>
    <row r="1176" spans="1:16" x14ac:dyDescent="0.3">
      <c r="A1176" t="s">
        <v>1187</v>
      </c>
      <c r="B1176" t="s">
        <v>1748</v>
      </c>
      <c r="C1176">
        <v>38</v>
      </c>
      <c r="D1176" t="s">
        <v>1785</v>
      </c>
      <c r="E1176" t="s">
        <v>1789</v>
      </c>
      <c r="F1176" t="s">
        <v>1797</v>
      </c>
      <c r="G1176" s="5">
        <v>101148</v>
      </c>
      <c r="H1176" t="s">
        <v>1801</v>
      </c>
      <c r="I1176" t="s">
        <v>1806</v>
      </c>
      <c r="J1176" s="2">
        <v>42815</v>
      </c>
      <c r="K1176">
        <f t="shared" ca="1" si="36"/>
        <v>8</v>
      </c>
      <c r="L1176">
        <f t="shared" ca="1" si="37"/>
        <v>8</v>
      </c>
      <c r="M1176" t="s">
        <v>1809</v>
      </c>
      <c r="N1176">
        <v>5</v>
      </c>
      <c r="O1176" t="s">
        <v>1816</v>
      </c>
      <c r="P1176" t="s">
        <v>1831</v>
      </c>
    </row>
    <row r="1177" spans="1:16" x14ac:dyDescent="0.3">
      <c r="A1177" t="s">
        <v>1188</v>
      </c>
      <c r="B1177" t="s">
        <v>1727</v>
      </c>
      <c r="C1177">
        <v>25</v>
      </c>
      <c r="D1177" t="s">
        <v>1785</v>
      </c>
      <c r="E1177" t="s">
        <v>1790</v>
      </c>
      <c r="F1177" t="s">
        <v>1794</v>
      </c>
      <c r="G1177" s="5">
        <v>97958</v>
      </c>
      <c r="H1177" t="s">
        <v>1802</v>
      </c>
      <c r="I1177" t="s">
        <v>1807</v>
      </c>
      <c r="J1177" s="2">
        <v>45580</v>
      </c>
      <c r="K1177">
        <f t="shared" ca="1" si="36"/>
        <v>1</v>
      </c>
      <c r="L1177">
        <f t="shared" ca="1" si="37"/>
        <v>1</v>
      </c>
      <c r="M1177" t="s">
        <v>1810</v>
      </c>
      <c r="N1177">
        <v>3</v>
      </c>
      <c r="O1177" t="s">
        <v>1812</v>
      </c>
      <c r="P1177" t="s">
        <v>1832</v>
      </c>
    </row>
    <row r="1178" spans="1:16" x14ac:dyDescent="0.3">
      <c r="A1178" t="s">
        <v>1189</v>
      </c>
      <c r="B1178" t="s">
        <v>1747</v>
      </c>
      <c r="C1178">
        <v>29</v>
      </c>
      <c r="D1178" t="s">
        <v>1785</v>
      </c>
      <c r="E1178" t="s">
        <v>1789</v>
      </c>
      <c r="F1178" t="s">
        <v>1798</v>
      </c>
      <c r="G1178" s="5">
        <v>27571</v>
      </c>
      <c r="H1178" t="s">
        <v>1805</v>
      </c>
      <c r="I1178" t="s">
        <v>1808</v>
      </c>
      <c r="J1178" s="2">
        <v>44297</v>
      </c>
      <c r="K1178">
        <f t="shared" ca="1" si="36"/>
        <v>4</v>
      </c>
      <c r="L1178">
        <f t="shared" ca="1" si="37"/>
        <v>7</v>
      </c>
      <c r="M1178" t="s">
        <v>1810</v>
      </c>
      <c r="N1178">
        <v>1</v>
      </c>
      <c r="O1178" t="s">
        <v>1811</v>
      </c>
      <c r="P1178" t="s">
        <v>1833</v>
      </c>
    </row>
    <row r="1179" spans="1:16" x14ac:dyDescent="0.3">
      <c r="A1179" t="s">
        <v>1190</v>
      </c>
      <c r="B1179" t="s">
        <v>1715</v>
      </c>
      <c r="C1179">
        <v>20</v>
      </c>
      <c r="D1179" t="s">
        <v>1785</v>
      </c>
      <c r="E1179" t="s">
        <v>1787</v>
      </c>
      <c r="F1179" t="s">
        <v>1797</v>
      </c>
      <c r="G1179" s="5">
        <v>20473</v>
      </c>
      <c r="H1179" t="s">
        <v>1802</v>
      </c>
      <c r="I1179" t="s">
        <v>1808</v>
      </c>
      <c r="J1179" s="2">
        <v>44187</v>
      </c>
      <c r="K1179">
        <f t="shared" ca="1" si="36"/>
        <v>5</v>
      </c>
      <c r="L1179">
        <f t="shared" ca="1" si="37"/>
        <v>11</v>
      </c>
      <c r="M1179" t="s">
        <v>1809</v>
      </c>
      <c r="N1179">
        <v>3</v>
      </c>
      <c r="O1179" t="s">
        <v>1815</v>
      </c>
      <c r="P1179" t="s">
        <v>1832</v>
      </c>
    </row>
    <row r="1180" spans="1:16" x14ac:dyDescent="0.3">
      <c r="A1180" t="s">
        <v>1191</v>
      </c>
      <c r="B1180" t="s">
        <v>1760</v>
      </c>
      <c r="C1180">
        <v>40</v>
      </c>
      <c r="D1180" t="s">
        <v>1785</v>
      </c>
      <c r="E1180" t="s">
        <v>1790</v>
      </c>
      <c r="F1180" t="s">
        <v>1794</v>
      </c>
      <c r="G1180" s="5">
        <v>103670</v>
      </c>
      <c r="H1180" t="s">
        <v>1802</v>
      </c>
      <c r="I1180" t="s">
        <v>1806</v>
      </c>
      <c r="J1180" s="2">
        <v>43890</v>
      </c>
      <c r="K1180">
        <f t="shared" ca="1" si="36"/>
        <v>5</v>
      </c>
      <c r="L1180">
        <f t="shared" ca="1" si="37"/>
        <v>9</v>
      </c>
      <c r="M1180" t="s">
        <v>1809</v>
      </c>
      <c r="N1180">
        <v>2</v>
      </c>
      <c r="O1180" t="s">
        <v>1816</v>
      </c>
      <c r="P1180" t="s">
        <v>1831</v>
      </c>
    </row>
    <row r="1181" spans="1:16" x14ac:dyDescent="0.3">
      <c r="A1181" t="s">
        <v>1192</v>
      </c>
      <c r="B1181" t="s">
        <v>1762</v>
      </c>
      <c r="C1181">
        <v>31</v>
      </c>
      <c r="D1181" t="s">
        <v>1783</v>
      </c>
      <c r="E1181" t="s">
        <v>1792</v>
      </c>
      <c r="F1181" t="s">
        <v>1795</v>
      </c>
      <c r="G1181" s="5">
        <v>87916</v>
      </c>
      <c r="H1181" t="s">
        <v>1801</v>
      </c>
      <c r="I1181" t="s">
        <v>1807</v>
      </c>
      <c r="J1181" s="2">
        <v>44650</v>
      </c>
      <c r="K1181">
        <f t="shared" ca="1" si="36"/>
        <v>3</v>
      </c>
      <c r="L1181">
        <f t="shared" ca="1" si="37"/>
        <v>8</v>
      </c>
      <c r="M1181" t="s">
        <v>1810</v>
      </c>
      <c r="N1181">
        <v>1</v>
      </c>
      <c r="O1181" t="s">
        <v>1817</v>
      </c>
      <c r="P1181" t="s">
        <v>1833</v>
      </c>
    </row>
    <row r="1182" spans="1:16" x14ac:dyDescent="0.3">
      <c r="A1182" t="s">
        <v>1193</v>
      </c>
      <c r="B1182" t="s">
        <v>1722</v>
      </c>
      <c r="C1182">
        <v>33</v>
      </c>
      <c r="D1182" t="s">
        <v>1783</v>
      </c>
      <c r="E1182" t="s">
        <v>1788</v>
      </c>
      <c r="F1182" t="s">
        <v>1800</v>
      </c>
      <c r="G1182" s="5">
        <v>39402</v>
      </c>
      <c r="H1182" t="s">
        <v>1804</v>
      </c>
      <c r="I1182" t="s">
        <v>1807</v>
      </c>
      <c r="J1182" s="2">
        <v>43327</v>
      </c>
      <c r="K1182">
        <f t="shared" ca="1" si="36"/>
        <v>7</v>
      </c>
      <c r="L1182">
        <f t="shared" ca="1" si="37"/>
        <v>3</v>
      </c>
      <c r="M1182" t="s">
        <v>1810</v>
      </c>
      <c r="N1182">
        <v>1</v>
      </c>
      <c r="O1182" t="s">
        <v>1816</v>
      </c>
      <c r="P1182" t="s">
        <v>1833</v>
      </c>
    </row>
    <row r="1183" spans="1:16" x14ac:dyDescent="0.3">
      <c r="A1183" t="s">
        <v>1194</v>
      </c>
      <c r="B1183" t="s">
        <v>1726</v>
      </c>
      <c r="C1183">
        <v>44</v>
      </c>
      <c r="D1183" t="s">
        <v>1783</v>
      </c>
      <c r="E1183" t="s">
        <v>1790</v>
      </c>
      <c r="F1183" t="s">
        <v>1799</v>
      </c>
      <c r="G1183" s="5">
        <v>115510</v>
      </c>
      <c r="H1183" t="s">
        <v>1802</v>
      </c>
      <c r="I1183" t="s">
        <v>1808</v>
      </c>
      <c r="J1183" s="2">
        <v>42639</v>
      </c>
      <c r="K1183">
        <f t="shared" ca="1" si="36"/>
        <v>9</v>
      </c>
      <c r="L1183">
        <f t="shared" ca="1" si="37"/>
        <v>2</v>
      </c>
      <c r="M1183" t="s">
        <v>1810</v>
      </c>
      <c r="N1183">
        <v>4</v>
      </c>
      <c r="O1183" t="s">
        <v>1811</v>
      </c>
      <c r="P1183" t="s">
        <v>1831</v>
      </c>
    </row>
    <row r="1184" spans="1:16" x14ac:dyDescent="0.3">
      <c r="A1184" t="s">
        <v>1195</v>
      </c>
      <c r="B1184" t="s">
        <v>1732</v>
      </c>
      <c r="C1184">
        <v>44</v>
      </c>
      <c r="D1184" t="s">
        <v>1785</v>
      </c>
      <c r="E1184" t="s">
        <v>1793</v>
      </c>
      <c r="F1184" t="s">
        <v>1798</v>
      </c>
      <c r="G1184" s="5">
        <v>30170</v>
      </c>
      <c r="H1184" t="s">
        <v>1805</v>
      </c>
      <c r="I1184" t="s">
        <v>1806</v>
      </c>
      <c r="J1184" s="2">
        <v>45405</v>
      </c>
      <c r="K1184">
        <f t="shared" ca="1" si="36"/>
        <v>1</v>
      </c>
      <c r="L1184">
        <f t="shared" ca="1" si="37"/>
        <v>7</v>
      </c>
      <c r="M1184" t="s">
        <v>1809</v>
      </c>
      <c r="N1184">
        <v>2</v>
      </c>
      <c r="O1184" t="s">
        <v>1815</v>
      </c>
      <c r="P1184" t="s">
        <v>1831</v>
      </c>
    </row>
    <row r="1185" spans="1:16" x14ac:dyDescent="0.3">
      <c r="A1185" t="s">
        <v>1196</v>
      </c>
      <c r="B1185" t="s">
        <v>1718</v>
      </c>
      <c r="C1185">
        <v>58</v>
      </c>
      <c r="D1185" t="s">
        <v>1784</v>
      </c>
      <c r="E1185" t="s">
        <v>1789</v>
      </c>
      <c r="F1185" t="s">
        <v>1798</v>
      </c>
      <c r="G1185" s="5">
        <v>72411</v>
      </c>
      <c r="H1185" t="s">
        <v>1802</v>
      </c>
      <c r="I1185" t="s">
        <v>1807</v>
      </c>
      <c r="J1185" s="2">
        <v>45713</v>
      </c>
      <c r="K1185">
        <f t="shared" ca="1" si="36"/>
        <v>0</v>
      </c>
      <c r="L1185">
        <f t="shared" ca="1" si="37"/>
        <v>9</v>
      </c>
      <c r="M1185" t="s">
        <v>1810</v>
      </c>
      <c r="N1185">
        <v>4</v>
      </c>
      <c r="O1185" t="s">
        <v>1814</v>
      </c>
      <c r="P1185" t="s">
        <v>1834</v>
      </c>
    </row>
    <row r="1186" spans="1:16" x14ac:dyDescent="0.3">
      <c r="A1186" t="s">
        <v>1197</v>
      </c>
      <c r="B1186" t="s">
        <v>1764</v>
      </c>
      <c r="C1186">
        <v>49</v>
      </c>
      <c r="D1186" t="s">
        <v>1783</v>
      </c>
      <c r="E1186" t="s">
        <v>1792</v>
      </c>
      <c r="F1186" t="s">
        <v>1799</v>
      </c>
      <c r="G1186" s="5">
        <v>67811</v>
      </c>
      <c r="H1186" t="s">
        <v>1803</v>
      </c>
      <c r="I1186" t="s">
        <v>1808</v>
      </c>
      <c r="J1186" s="2">
        <v>45950</v>
      </c>
      <c r="K1186">
        <f t="shared" ca="1" si="36"/>
        <v>0</v>
      </c>
      <c r="L1186">
        <f t="shared" ca="1" si="37"/>
        <v>1</v>
      </c>
      <c r="M1186" t="s">
        <v>1809</v>
      </c>
      <c r="N1186">
        <v>3</v>
      </c>
      <c r="O1186" t="s">
        <v>1817</v>
      </c>
      <c r="P1186" t="s">
        <v>1834</v>
      </c>
    </row>
    <row r="1187" spans="1:16" x14ac:dyDescent="0.3">
      <c r="A1187" t="s">
        <v>1198</v>
      </c>
      <c r="B1187" t="s">
        <v>1725</v>
      </c>
      <c r="C1187">
        <v>24</v>
      </c>
      <c r="D1187" t="s">
        <v>1784</v>
      </c>
      <c r="E1187" t="s">
        <v>1788</v>
      </c>
      <c r="F1187" t="s">
        <v>1794</v>
      </c>
      <c r="G1187" s="5">
        <v>48062</v>
      </c>
      <c r="H1187" t="s">
        <v>1801</v>
      </c>
      <c r="I1187" t="s">
        <v>1806</v>
      </c>
      <c r="J1187" s="2">
        <v>45074</v>
      </c>
      <c r="K1187">
        <f t="shared" ca="1" si="36"/>
        <v>2</v>
      </c>
      <c r="L1187">
        <f t="shared" ca="1" si="37"/>
        <v>6</v>
      </c>
      <c r="M1187" t="s">
        <v>1810</v>
      </c>
      <c r="N1187">
        <v>4</v>
      </c>
      <c r="O1187" t="s">
        <v>1818</v>
      </c>
      <c r="P1187" t="s">
        <v>1832</v>
      </c>
    </row>
    <row r="1188" spans="1:16" x14ac:dyDescent="0.3">
      <c r="A1188" t="s">
        <v>1199</v>
      </c>
      <c r="B1188" t="s">
        <v>1780</v>
      </c>
      <c r="C1188">
        <v>40</v>
      </c>
      <c r="D1188" t="s">
        <v>1783</v>
      </c>
      <c r="E1188" t="s">
        <v>1791</v>
      </c>
      <c r="F1188" t="s">
        <v>1798</v>
      </c>
      <c r="G1188" s="5">
        <v>50636</v>
      </c>
      <c r="H1188" t="s">
        <v>1805</v>
      </c>
      <c r="I1188" t="s">
        <v>1807</v>
      </c>
      <c r="J1188" s="2">
        <v>42962</v>
      </c>
      <c r="K1188">
        <f t="shared" ca="1" si="36"/>
        <v>8</v>
      </c>
      <c r="L1188">
        <f t="shared" ca="1" si="37"/>
        <v>3</v>
      </c>
      <c r="M1188" t="s">
        <v>1809</v>
      </c>
      <c r="N1188">
        <v>2</v>
      </c>
      <c r="O1188" t="s">
        <v>1812</v>
      </c>
      <c r="P1188" t="s">
        <v>1831</v>
      </c>
    </row>
    <row r="1189" spans="1:16" x14ac:dyDescent="0.3">
      <c r="A1189" t="s">
        <v>1200</v>
      </c>
      <c r="B1189" t="s">
        <v>1714</v>
      </c>
      <c r="C1189">
        <v>58</v>
      </c>
      <c r="D1189" t="s">
        <v>1783</v>
      </c>
      <c r="E1189" t="s">
        <v>1788</v>
      </c>
      <c r="F1189" t="s">
        <v>1795</v>
      </c>
      <c r="G1189" s="5">
        <v>66719</v>
      </c>
      <c r="H1189" t="s">
        <v>1803</v>
      </c>
      <c r="I1189" t="s">
        <v>1807</v>
      </c>
      <c r="J1189" s="2">
        <v>44155</v>
      </c>
      <c r="K1189">
        <f t="shared" ca="1" si="36"/>
        <v>5</v>
      </c>
      <c r="L1189">
        <f t="shared" ca="1" si="37"/>
        <v>0</v>
      </c>
      <c r="M1189" t="s">
        <v>1809</v>
      </c>
      <c r="N1189">
        <v>2</v>
      </c>
      <c r="O1189" t="s">
        <v>1816</v>
      </c>
      <c r="P1189" t="s">
        <v>1834</v>
      </c>
    </row>
    <row r="1190" spans="1:16" x14ac:dyDescent="0.3">
      <c r="A1190" t="s">
        <v>1201</v>
      </c>
      <c r="B1190" t="s">
        <v>1738</v>
      </c>
      <c r="C1190">
        <v>27</v>
      </c>
      <c r="D1190" t="s">
        <v>1783</v>
      </c>
      <c r="E1190" t="s">
        <v>1792</v>
      </c>
      <c r="F1190" t="s">
        <v>1798</v>
      </c>
      <c r="G1190" s="5">
        <v>83215</v>
      </c>
      <c r="H1190" t="s">
        <v>1804</v>
      </c>
      <c r="I1190" t="s">
        <v>1808</v>
      </c>
      <c r="J1190" s="2">
        <v>44999</v>
      </c>
      <c r="K1190">
        <f t="shared" ca="1" si="36"/>
        <v>2</v>
      </c>
      <c r="L1190">
        <f t="shared" ca="1" si="37"/>
        <v>8</v>
      </c>
      <c r="M1190" t="s">
        <v>1810</v>
      </c>
      <c r="N1190">
        <v>3</v>
      </c>
      <c r="O1190" t="s">
        <v>1817</v>
      </c>
      <c r="P1190" t="s">
        <v>1833</v>
      </c>
    </row>
    <row r="1191" spans="1:16" x14ac:dyDescent="0.3">
      <c r="A1191" t="s">
        <v>1202</v>
      </c>
      <c r="B1191" t="s">
        <v>1720</v>
      </c>
      <c r="C1191">
        <v>21</v>
      </c>
      <c r="D1191" t="s">
        <v>1784</v>
      </c>
      <c r="E1191" t="s">
        <v>1792</v>
      </c>
      <c r="F1191" t="s">
        <v>1797</v>
      </c>
      <c r="G1191" s="5">
        <v>79669</v>
      </c>
      <c r="H1191" t="s">
        <v>1802</v>
      </c>
      <c r="I1191" t="s">
        <v>1808</v>
      </c>
      <c r="J1191" s="2">
        <v>42628</v>
      </c>
      <c r="K1191">
        <f t="shared" ca="1" si="36"/>
        <v>9</v>
      </c>
      <c r="L1191">
        <f t="shared" ca="1" si="37"/>
        <v>2</v>
      </c>
      <c r="M1191" t="s">
        <v>1810</v>
      </c>
      <c r="N1191">
        <v>5</v>
      </c>
      <c r="O1191" t="s">
        <v>1816</v>
      </c>
      <c r="P1191" t="s">
        <v>1832</v>
      </c>
    </row>
    <row r="1192" spans="1:16" x14ac:dyDescent="0.3">
      <c r="A1192" t="s">
        <v>1203</v>
      </c>
      <c r="B1192" t="s">
        <v>1761</v>
      </c>
      <c r="C1192">
        <v>20</v>
      </c>
      <c r="D1192" t="s">
        <v>1784</v>
      </c>
      <c r="E1192" t="s">
        <v>1786</v>
      </c>
      <c r="F1192" t="s">
        <v>1800</v>
      </c>
      <c r="G1192" s="5">
        <v>30074</v>
      </c>
      <c r="H1192" t="s">
        <v>1801</v>
      </c>
      <c r="I1192" t="s">
        <v>1807</v>
      </c>
      <c r="J1192" s="2">
        <v>44386</v>
      </c>
      <c r="K1192">
        <f t="shared" ca="1" si="36"/>
        <v>4</v>
      </c>
      <c r="L1192">
        <f t="shared" ca="1" si="37"/>
        <v>5</v>
      </c>
      <c r="M1192" t="s">
        <v>1810</v>
      </c>
      <c r="N1192">
        <v>4</v>
      </c>
      <c r="O1192" t="s">
        <v>1812</v>
      </c>
      <c r="P1192" t="s">
        <v>1832</v>
      </c>
    </row>
    <row r="1193" spans="1:16" x14ac:dyDescent="0.3">
      <c r="A1193" t="s">
        <v>1204</v>
      </c>
      <c r="B1193" t="s">
        <v>1751</v>
      </c>
      <c r="C1193">
        <v>58</v>
      </c>
      <c r="D1193" t="s">
        <v>1785</v>
      </c>
      <c r="E1193" t="s">
        <v>1792</v>
      </c>
      <c r="F1193" t="s">
        <v>1800</v>
      </c>
      <c r="G1193" s="5">
        <v>58819</v>
      </c>
      <c r="H1193" t="s">
        <v>1803</v>
      </c>
      <c r="I1193" t="s">
        <v>1808</v>
      </c>
      <c r="J1193" s="2">
        <v>42963</v>
      </c>
      <c r="K1193">
        <f t="shared" ca="1" si="36"/>
        <v>8</v>
      </c>
      <c r="L1193">
        <f t="shared" ca="1" si="37"/>
        <v>3</v>
      </c>
      <c r="M1193" t="s">
        <v>1810</v>
      </c>
      <c r="N1193">
        <v>5</v>
      </c>
      <c r="O1193" t="s">
        <v>1817</v>
      </c>
      <c r="P1193" t="s">
        <v>1834</v>
      </c>
    </row>
    <row r="1194" spans="1:16" x14ac:dyDescent="0.3">
      <c r="A1194" t="s">
        <v>1205</v>
      </c>
      <c r="B1194" t="s">
        <v>1760</v>
      </c>
      <c r="C1194">
        <v>26</v>
      </c>
      <c r="D1194" t="s">
        <v>1784</v>
      </c>
      <c r="E1194" t="s">
        <v>1790</v>
      </c>
      <c r="F1194" t="s">
        <v>1799</v>
      </c>
      <c r="G1194" s="5">
        <v>116136</v>
      </c>
      <c r="H1194" t="s">
        <v>1805</v>
      </c>
      <c r="I1194" t="s">
        <v>1807</v>
      </c>
      <c r="J1194" s="2">
        <v>42953</v>
      </c>
      <c r="K1194">
        <f t="shared" ca="1" si="36"/>
        <v>8</v>
      </c>
      <c r="L1194">
        <f t="shared" ca="1" si="37"/>
        <v>4</v>
      </c>
      <c r="M1194" t="s">
        <v>1809</v>
      </c>
      <c r="N1194">
        <v>5</v>
      </c>
      <c r="O1194" t="s">
        <v>1816</v>
      </c>
      <c r="P1194" t="s">
        <v>1833</v>
      </c>
    </row>
    <row r="1195" spans="1:16" x14ac:dyDescent="0.3">
      <c r="A1195" t="s">
        <v>1206</v>
      </c>
      <c r="B1195" t="s">
        <v>1776</v>
      </c>
      <c r="C1195">
        <v>25</v>
      </c>
      <c r="D1195" t="s">
        <v>1785</v>
      </c>
      <c r="E1195" t="s">
        <v>1793</v>
      </c>
      <c r="F1195" t="s">
        <v>1800</v>
      </c>
      <c r="G1195" s="5">
        <v>112013</v>
      </c>
      <c r="H1195" t="s">
        <v>1804</v>
      </c>
      <c r="I1195" t="s">
        <v>1806</v>
      </c>
      <c r="J1195" s="2">
        <v>42869</v>
      </c>
      <c r="K1195">
        <f t="shared" ca="1" si="36"/>
        <v>8</v>
      </c>
      <c r="L1195">
        <f t="shared" ca="1" si="37"/>
        <v>6</v>
      </c>
      <c r="M1195" t="s">
        <v>1809</v>
      </c>
      <c r="N1195">
        <v>2</v>
      </c>
      <c r="O1195" t="s">
        <v>1814</v>
      </c>
      <c r="P1195" t="s">
        <v>1832</v>
      </c>
    </row>
    <row r="1196" spans="1:16" x14ac:dyDescent="0.3">
      <c r="A1196" t="s">
        <v>1207</v>
      </c>
      <c r="B1196" t="s">
        <v>1749</v>
      </c>
      <c r="C1196">
        <v>39</v>
      </c>
      <c r="D1196" t="s">
        <v>1784</v>
      </c>
      <c r="E1196" t="s">
        <v>1790</v>
      </c>
      <c r="F1196" t="s">
        <v>1795</v>
      </c>
      <c r="G1196" s="5">
        <v>105602</v>
      </c>
      <c r="H1196" t="s">
        <v>1805</v>
      </c>
      <c r="I1196" t="s">
        <v>1806</v>
      </c>
      <c r="J1196" s="2">
        <v>44802</v>
      </c>
      <c r="K1196">
        <f t="shared" ca="1" si="36"/>
        <v>3</v>
      </c>
      <c r="L1196">
        <f t="shared" ca="1" si="37"/>
        <v>3</v>
      </c>
      <c r="M1196" t="s">
        <v>1810</v>
      </c>
      <c r="N1196">
        <v>2</v>
      </c>
      <c r="O1196" t="s">
        <v>1817</v>
      </c>
      <c r="P1196" t="s">
        <v>1831</v>
      </c>
    </row>
    <row r="1197" spans="1:16" x14ac:dyDescent="0.3">
      <c r="A1197" t="s">
        <v>1208</v>
      </c>
      <c r="B1197" t="s">
        <v>1754</v>
      </c>
      <c r="C1197">
        <v>29</v>
      </c>
      <c r="D1197" t="s">
        <v>1785</v>
      </c>
      <c r="E1197" t="s">
        <v>1792</v>
      </c>
      <c r="F1197" t="s">
        <v>1799</v>
      </c>
      <c r="G1197" s="5">
        <v>116033</v>
      </c>
      <c r="H1197" t="s">
        <v>1803</v>
      </c>
      <c r="I1197" t="s">
        <v>1806</v>
      </c>
      <c r="J1197" s="2">
        <v>42634</v>
      </c>
      <c r="K1197">
        <f t="shared" ca="1" si="36"/>
        <v>9</v>
      </c>
      <c r="L1197">
        <f t="shared" ca="1" si="37"/>
        <v>2</v>
      </c>
      <c r="M1197" t="s">
        <v>1809</v>
      </c>
      <c r="N1197">
        <v>2</v>
      </c>
      <c r="O1197" t="s">
        <v>1818</v>
      </c>
      <c r="P1197" t="s">
        <v>1833</v>
      </c>
    </row>
    <row r="1198" spans="1:16" x14ac:dyDescent="0.3">
      <c r="A1198" t="s">
        <v>1209</v>
      </c>
      <c r="B1198" t="s">
        <v>1749</v>
      </c>
      <c r="C1198">
        <v>22</v>
      </c>
      <c r="D1198" t="s">
        <v>1783</v>
      </c>
      <c r="E1198" t="s">
        <v>1791</v>
      </c>
      <c r="F1198" t="s">
        <v>1796</v>
      </c>
      <c r="G1198" s="5">
        <v>70004</v>
      </c>
      <c r="H1198" t="s">
        <v>1801</v>
      </c>
      <c r="I1198" t="s">
        <v>1806</v>
      </c>
      <c r="J1198" s="2">
        <v>44407</v>
      </c>
      <c r="K1198">
        <f t="shared" ca="1" si="36"/>
        <v>4</v>
      </c>
      <c r="L1198">
        <f t="shared" ca="1" si="37"/>
        <v>4</v>
      </c>
      <c r="M1198" t="s">
        <v>1810</v>
      </c>
      <c r="N1198">
        <v>3</v>
      </c>
      <c r="O1198" t="s">
        <v>1815</v>
      </c>
      <c r="P1198" t="s">
        <v>1832</v>
      </c>
    </row>
    <row r="1199" spans="1:16" x14ac:dyDescent="0.3">
      <c r="A1199" t="s">
        <v>1210</v>
      </c>
      <c r="B1199" t="s">
        <v>1770</v>
      </c>
      <c r="C1199">
        <v>48</v>
      </c>
      <c r="D1199" t="s">
        <v>1783</v>
      </c>
      <c r="E1199" t="s">
        <v>1790</v>
      </c>
      <c r="F1199" t="s">
        <v>1796</v>
      </c>
      <c r="G1199" s="5">
        <v>99436</v>
      </c>
      <c r="H1199" t="s">
        <v>1805</v>
      </c>
      <c r="I1199" t="s">
        <v>1808</v>
      </c>
      <c r="J1199" s="2">
        <v>42920</v>
      </c>
      <c r="K1199">
        <f t="shared" ca="1" si="36"/>
        <v>8</v>
      </c>
      <c r="L1199">
        <f t="shared" ca="1" si="37"/>
        <v>5</v>
      </c>
      <c r="M1199" t="s">
        <v>1810</v>
      </c>
      <c r="N1199">
        <v>5</v>
      </c>
      <c r="O1199" t="s">
        <v>1817</v>
      </c>
      <c r="P1199" t="s">
        <v>1834</v>
      </c>
    </row>
    <row r="1200" spans="1:16" x14ac:dyDescent="0.3">
      <c r="A1200" t="s">
        <v>1211</v>
      </c>
      <c r="B1200" t="s">
        <v>1722</v>
      </c>
      <c r="C1200">
        <v>36</v>
      </c>
      <c r="D1200" t="s">
        <v>1784</v>
      </c>
      <c r="E1200" t="s">
        <v>1790</v>
      </c>
      <c r="F1200" t="s">
        <v>1795</v>
      </c>
      <c r="G1200" s="5">
        <v>119188</v>
      </c>
      <c r="H1200" t="s">
        <v>1803</v>
      </c>
      <c r="I1200" t="s">
        <v>1806</v>
      </c>
      <c r="J1200" s="2">
        <v>42833</v>
      </c>
      <c r="K1200">
        <f t="shared" ca="1" si="36"/>
        <v>8</v>
      </c>
      <c r="L1200">
        <f t="shared" ca="1" si="37"/>
        <v>8</v>
      </c>
      <c r="M1200" t="s">
        <v>1810</v>
      </c>
      <c r="N1200">
        <v>5</v>
      </c>
      <c r="O1200" t="s">
        <v>1814</v>
      </c>
      <c r="P1200" t="s">
        <v>1831</v>
      </c>
    </row>
    <row r="1201" spans="1:16" x14ac:dyDescent="0.3">
      <c r="A1201" t="s">
        <v>1212</v>
      </c>
      <c r="B1201" t="s">
        <v>1765</v>
      </c>
      <c r="C1201">
        <v>43</v>
      </c>
      <c r="D1201" t="s">
        <v>1784</v>
      </c>
      <c r="E1201" t="s">
        <v>1792</v>
      </c>
      <c r="F1201" t="s">
        <v>1798</v>
      </c>
      <c r="G1201" s="5">
        <v>89213</v>
      </c>
      <c r="H1201" t="s">
        <v>1801</v>
      </c>
      <c r="I1201" t="s">
        <v>1807</v>
      </c>
      <c r="J1201" s="2">
        <v>44311</v>
      </c>
      <c r="K1201">
        <f t="shared" ca="1" si="36"/>
        <v>4</v>
      </c>
      <c r="L1201">
        <f t="shared" ca="1" si="37"/>
        <v>7</v>
      </c>
      <c r="M1201" t="s">
        <v>1809</v>
      </c>
      <c r="N1201">
        <v>1</v>
      </c>
      <c r="O1201" t="s">
        <v>1814</v>
      </c>
      <c r="P1201" t="s">
        <v>1831</v>
      </c>
    </row>
    <row r="1202" spans="1:16" x14ac:dyDescent="0.3">
      <c r="A1202" t="s">
        <v>1213</v>
      </c>
      <c r="B1202" t="s">
        <v>1751</v>
      </c>
      <c r="C1202">
        <v>42</v>
      </c>
      <c r="D1202" t="s">
        <v>1784</v>
      </c>
      <c r="E1202" t="s">
        <v>1790</v>
      </c>
      <c r="F1202" t="s">
        <v>1795</v>
      </c>
      <c r="G1202" s="5">
        <v>75168</v>
      </c>
      <c r="H1202" t="s">
        <v>1801</v>
      </c>
      <c r="I1202" t="s">
        <v>1806</v>
      </c>
      <c r="J1202" s="2">
        <v>43185</v>
      </c>
      <c r="K1202">
        <f t="shared" ca="1" si="36"/>
        <v>7</v>
      </c>
      <c r="L1202">
        <f t="shared" ca="1" si="37"/>
        <v>8</v>
      </c>
      <c r="M1202" t="s">
        <v>1810</v>
      </c>
      <c r="N1202">
        <v>5</v>
      </c>
      <c r="O1202" t="s">
        <v>1815</v>
      </c>
      <c r="P1202" t="s">
        <v>1831</v>
      </c>
    </row>
    <row r="1203" spans="1:16" x14ac:dyDescent="0.3">
      <c r="A1203" t="s">
        <v>1214</v>
      </c>
      <c r="B1203" t="s">
        <v>1751</v>
      </c>
      <c r="C1203">
        <v>34</v>
      </c>
      <c r="D1203" t="s">
        <v>1783</v>
      </c>
      <c r="E1203" t="s">
        <v>1786</v>
      </c>
      <c r="F1203" t="s">
        <v>1794</v>
      </c>
      <c r="G1203" s="5">
        <v>114129</v>
      </c>
      <c r="H1203" t="s">
        <v>1804</v>
      </c>
      <c r="I1203" t="s">
        <v>1806</v>
      </c>
      <c r="J1203" s="2">
        <v>44899</v>
      </c>
      <c r="K1203">
        <f t="shared" ca="1" si="36"/>
        <v>3</v>
      </c>
      <c r="L1203">
        <f t="shared" ca="1" si="37"/>
        <v>0</v>
      </c>
      <c r="M1203" t="s">
        <v>1809</v>
      </c>
      <c r="N1203">
        <v>5</v>
      </c>
      <c r="O1203" t="s">
        <v>1818</v>
      </c>
      <c r="P1203" t="s">
        <v>1833</v>
      </c>
    </row>
    <row r="1204" spans="1:16" x14ac:dyDescent="0.3">
      <c r="A1204" t="s">
        <v>1215</v>
      </c>
      <c r="B1204" t="s">
        <v>1739</v>
      </c>
      <c r="C1204">
        <v>54</v>
      </c>
      <c r="D1204" t="s">
        <v>1783</v>
      </c>
      <c r="E1204" t="s">
        <v>1791</v>
      </c>
      <c r="F1204" t="s">
        <v>1798</v>
      </c>
      <c r="G1204" s="5">
        <v>67082</v>
      </c>
      <c r="H1204" t="s">
        <v>1801</v>
      </c>
      <c r="I1204" t="s">
        <v>1806</v>
      </c>
      <c r="J1204" s="2">
        <v>43116</v>
      </c>
      <c r="K1204">
        <f t="shared" ca="1" si="36"/>
        <v>7</v>
      </c>
      <c r="L1204">
        <f t="shared" ca="1" si="37"/>
        <v>10</v>
      </c>
      <c r="M1204" t="s">
        <v>1809</v>
      </c>
      <c r="N1204">
        <v>2</v>
      </c>
      <c r="O1204" t="s">
        <v>1811</v>
      </c>
      <c r="P1204" t="s">
        <v>1834</v>
      </c>
    </row>
    <row r="1205" spans="1:16" x14ac:dyDescent="0.3">
      <c r="A1205" t="s">
        <v>1216</v>
      </c>
      <c r="B1205" t="s">
        <v>1762</v>
      </c>
      <c r="C1205">
        <v>23</v>
      </c>
      <c r="D1205" t="s">
        <v>1784</v>
      </c>
      <c r="E1205" t="s">
        <v>1788</v>
      </c>
      <c r="F1205" t="s">
        <v>1795</v>
      </c>
      <c r="G1205" s="5">
        <v>69088</v>
      </c>
      <c r="H1205" t="s">
        <v>1803</v>
      </c>
      <c r="I1205" t="s">
        <v>1808</v>
      </c>
      <c r="J1205" s="2">
        <v>44354</v>
      </c>
      <c r="K1205">
        <f t="shared" ca="1" si="36"/>
        <v>4</v>
      </c>
      <c r="L1205">
        <f t="shared" ca="1" si="37"/>
        <v>6</v>
      </c>
      <c r="M1205" t="s">
        <v>1810</v>
      </c>
      <c r="N1205">
        <v>2</v>
      </c>
      <c r="O1205" t="s">
        <v>1814</v>
      </c>
      <c r="P1205" t="s">
        <v>1832</v>
      </c>
    </row>
    <row r="1206" spans="1:16" x14ac:dyDescent="0.3">
      <c r="A1206" t="s">
        <v>1217</v>
      </c>
      <c r="B1206" t="s">
        <v>1714</v>
      </c>
      <c r="C1206">
        <v>36</v>
      </c>
      <c r="D1206" t="s">
        <v>1785</v>
      </c>
      <c r="E1206" t="s">
        <v>1788</v>
      </c>
      <c r="F1206" t="s">
        <v>1794</v>
      </c>
      <c r="G1206" s="5">
        <v>45361</v>
      </c>
      <c r="H1206" t="s">
        <v>1805</v>
      </c>
      <c r="I1206" t="s">
        <v>1806</v>
      </c>
      <c r="J1206" s="2">
        <v>42711</v>
      </c>
      <c r="K1206">
        <f t="shared" ca="1" si="36"/>
        <v>9</v>
      </c>
      <c r="L1206">
        <f t="shared" ca="1" si="37"/>
        <v>0</v>
      </c>
      <c r="M1206" t="s">
        <v>1809</v>
      </c>
      <c r="N1206">
        <v>4</v>
      </c>
      <c r="O1206" t="s">
        <v>1816</v>
      </c>
      <c r="P1206" t="s">
        <v>1831</v>
      </c>
    </row>
    <row r="1207" spans="1:16" x14ac:dyDescent="0.3">
      <c r="A1207" t="s">
        <v>1218</v>
      </c>
      <c r="B1207" t="s">
        <v>1781</v>
      </c>
      <c r="C1207">
        <v>30</v>
      </c>
      <c r="D1207" t="s">
        <v>1783</v>
      </c>
      <c r="E1207" t="s">
        <v>1787</v>
      </c>
      <c r="F1207" t="s">
        <v>1794</v>
      </c>
      <c r="G1207" s="5">
        <v>38898</v>
      </c>
      <c r="H1207" t="s">
        <v>1803</v>
      </c>
      <c r="I1207" t="s">
        <v>1808</v>
      </c>
      <c r="J1207" s="2">
        <v>44860</v>
      </c>
      <c r="K1207">
        <f t="shared" ca="1" si="36"/>
        <v>3</v>
      </c>
      <c r="L1207">
        <f t="shared" ca="1" si="37"/>
        <v>1</v>
      </c>
      <c r="M1207" t="s">
        <v>1809</v>
      </c>
      <c r="N1207">
        <v>2</v>
      </c>
      <c r="O1207" t="s">
        <v>1817</v>
      </c>
      <c r="P1207" t="s">
        <v>1833</v>
      </c>
    </row>
    <row r="1208" spans="1:16" x14ac:dyDescent="0.3">
      <c r="A1208" t="s">
        <v>1219</v>
      </c>
      <c r="B1208" t="s">
        <v>1769</v>
      </c>
      <c r="C1208">
        <v>37</v>
      </c>
      <c r="D1208" t="s">
        <v>1783</v>
      </c>
      <c r="E1208" t="s">
        <v>1787</v>
      </c>
      <c r="F1208" t="s">
        <v>1794</v>
      </c>
      <c r="G1208" s="5">
        <v>34183</v>
      </c>
      <c r="H1208" t="s">
        <v>1805</v>
      </c>
      <c r="I1208" t="s">
        <v>1806</v>
      </c>
      <c r="J1208" s="2">
        <v>43059</v>
      </c>
      <c r="K1208">
        <f t="shared" ca="1" si="36"/>
        <v>8</v>
      </c>
      <c r="L1208">
        <f t="shared" ca="1" si="37"/>
        <v>0</v>
      </c>
      <c r="M1208" t="s">
        <v>1809</v>
      </c>
      <c r="N1208">
        <v>4</v>
      </c>
      <c r="O1208" t="s">
        <v>1816</v>
      </c>
      <c r="P1208" t="s">
        <v>1831</v>
      </c>
    </row>
    <row r="1209" spans="1:16" x14ac:dyDescent="0.3">
      <c r="A1209" t="s">
        <v>1220</v>
      </c>
      <c r="B1209" t="s">
        <v>1725</v>
      </c>
      <c r="C1209">
        <v>40</v>
      </c>
      <c r="D1209" t="s">
        <v>1783</v>
      </c>
      <c r="E1209" t="s">
        <v>1793</v>
      </c>
      <c r="F1209" t="s">
        <v>1796</v>
      </c>
      <c r="G1209" s="5">
        <v>86238</v>
      </c>
      <c r="H1209" t="s">
        <v>1805</v>
      </c>
      <c r="I1209" t="s">
        <v>1807</v>
      </c>
      <c r="J1209" s="2">
        <v>45598</v>
      </c>
      <c r="K1209">
        <f t="shared" ca="1" si="36"/>
        <v>1</v>
      </c>
      <c r="L1209">
        <f t="shared" ca="1" si="37"/>
        <v>1</v>
      </c>
      <c r="M1209" t="s">
        <v>1810</v>
      </c>
      <c r="N1209">
        <v>2</v>
      </c>
      <c r="O1209" t="s">
        <v>1812</v>
      </c>
      <c r="P1209" t="s">
        <v>1831</v>
      </c>
    </row>
    <row r="1210" spans="1:16" x14ac:dyDescent="0.3">
      <c r="A1210" t="s">
        <v>1221</v>
      </c>
      <c r="B1210" t="s">
        <v>1725</v>
      </c>
      <c r="C1210">
        <v>27</v>
      </c>
      <c r="D1210" t="s">
        <v>1785</v>
      </c>
      <c r="E1210" t="s">
        <v>1790</v>
      </c>
      <c r="F1210" t="s">
        <v>1797</v>
      </c>
      <c r="G1210" s="5">
        <v>38142</v>
      </c>
      <c r="H1210" t="s">
        <v>1804</v>
      </c>
      <c r="I1210" t="s">
        <v>1808</v>
      </c>
      <c r="J1210" s="2">
        <v>42605</v>
      </c>
      <c r="K1210">
        <f t="shared" ca="1" si="36"/>
        <v>9</v>
      </c>
      <c r="L1210">
        <f t="shared" ca="1" si="37"/>
        <v>3</v>
      </c>
      <c r="M1210" t="s">
        <v>1810</v>
      </c>
      <c r="N1210">
        <v>3</v>
      </c>
      <c r="O1210" t="s">
        <v>1813</v>
      </c>
      <c r="P1210" t="s">
        <v>1833</v>
      </c>
    </row>
    <row r="1211" spans="1:16" x14ac:dyDescent="0.3">
      <c r="A1211" t="s">
        <v>1222</v>
      </c>
      <c r="B1211" t="s">
        <v>1774</v>
      </c>
      <c r="C1211">
        <v>57</v>
      </c>
      <c r="D1211" t="s">
        <v>1783</v>
      </c>
      <c r="E1211" t="s">
        <v>1790</v>
      </c>
      <c r="F1211" t="s">
        <v>1796</v>
      </c>
      <c r="G1211" s="5">
        <v>117412</v>
      </c>
      <c r="H1211" t="s">
        <v>1802</v>
      </c>
      <c r="I1211" t="s">
        <v>1806</v>
      </c>
      <c r="J1211" s="2">
        <v>42860</v>
      </c>
      <c r="K1211">
        <f t="shared" ca="1" si="36"/>
        <v>8</v>
      </c>
      <c r="L1211">
        <f t="shared" ca="1" si="37"/>
        <v>7</v>
      </c>
      <c r="M1211" t="s">
        <v>1809</v>
      </c>
      <c r="N1211">
        <v>5</v>
      </c>
      <c r="O1211" t="s">
        <v>1817</v>
      </c>
      <c r="P1211" t="s">
        <v>1834</v>
      </c>
    </row>
    <row r="1212" spans="1:16" x14ac:dyDescent="0.3">
      <c r="A1212" t="s">
        <v>1223</v>
      </c>
      <c r="B1212" t="s">
        <v>1742</v>
      </c>
      <c r="C1212">
        <v>51</v>
      </c>
      <c r="D1212" t="s">
        <v>1785</v>
      </c>
      <c r="E1212" t="s">
        <v>1787</v>
      </c>
      <c r="F1212" t="s">
        <v>1797</v>
      </c>
      <c r="G1212" s="5">
        <v>73269</v>
      </c>
      <c r="H1212" t="s">
        <v>1801</v>
      </c>
      <c r="I1212" t="s">
        <v>1808</v>
      </c>
      <c r="J1212" s="2">
        <v>45888</v>
      </c>
      <c r="K1212">
        <f t="shared" ca="1" si="36"/>
        <v>0</v>
      </c>
      <c r="L1212">
        <f t="shared" ca="1" si="37"/>
        <v>3</v>
      </c>
      <c r="M1212" t="s">
        <v>1810</v>
      </c>
      <c r="N1212">
        <v>3</v>
      </c>
      <c r="O1212" t="s">
        <v>1817</v>
      </c>
      <c r="P1212" t="s">
        <v>1834</v>
      </c>
    </row>
    <row r="1213" spans="1:16" x14ac:dyDescent="0.3">
      <c r="A1213" t="s">
        <v>1224</v>
      </c>
      <c r="B1213" t="s">
        <v>1746</v>
      </c>
      <c r="C1213">
        <v>36</v>
      </c>
      <c r="D1213" t="s">
        <v>1784</v>
      </c>
      <c r="E1213" t="s">
        <v>1793</v>
      </c>
      <c r="F1213" t="s">
        <v>1797</v>
      </c>
      <c r="G1213" s="5">
        <v>19694</v>
      </c>
      <c r="H1213" t="s">
        <v>1803</v>
      </c>
      <c r="I1213" t="s">
        <v>1807</v>
      </c>
      <c r="J1213" s="2">
        <v>44837</v>
      </c>
      <c r="K1213">
        <f t="shared" ca="1" si="36"/>
        <v>3</v>
      </c>
      <c r="L1213">
        <f t="shared" ca="1" si="37"/>
        <v>2</v>
      </c>
      <c r="M1213" t="s">
        <v>1810</v>
      </c>
      <c r="N1213">
        <v>2</v>
      </c>
      <c r="O1213" t="s">
        <v>1811</v>
      </c>
      <c r="P1213" t="s">
        <v>1831</v>
      </c>
    </row>
    <row r="1214" spans="1:16" x14ac:dyDescent="0.3">
      <c r="A1214" t="s">
        <v>1225</v>
      </c>
      <c r="B1214" t="s">
        <v>1767</v>
      </c>
      <c r="C1214">
        <v>51</v>
      </c>
      <c r="D1214" t="s">
        <v>1785</v>
      </c>
      <c r="E1214" t="s">
        <v>1787</v>
      </c>
      <c r="F1214" t="s">
        <v>1795</v>
      </c>
      <c r="G1214" s="5">
        <v>97511</v>
      </c>
      <c r="H1214" t="s">
        <v>1803</v>
      </c>
      <c r="I1214" t="s">
        <v>1807</v>
      </c>
      <c r="J1214" s="2">
        <v>44902</v>
      </c>
      <c r="K1214">
        <f t="shared" ca="1" si="36"/>
        <v>3</v>
      </c>
      <c r="L1214">
        <f t="shared" ca="1" si="37"/>
        <v>0</v>
      </c>
      <c r="M1214" t="s">
        <v>1809</v>
      </c>
      <c r="N1214">
        <v>5</v>
      </c>
      <c r="O1214" t="s">
        <v>1813</v>
      </c>
      <c r="P1214" t="s">
        <v>1834</v>
      </c>
    </row>
    <row r="1215" spans="1:16" x14ac:dyDescent="0.3">
      <c r="A1215" t="s">
        <v>1226</v>
      </c>
      <c r="B1215" t="s">
        <v>1736</v>
      </c>
      <c r="C1215">
        <v>27</v>
      </c>
      <c r="D1215" t="s">
        <v>1783</v>
      </c>
      <c r="E1215" t="s">
        <v>1789</v>
      </c>
      <c r="F1215" t="s">
        <v>1794</v>
      </c>
      <c r="G1215" s="5">
        <v>94037</v>
      </c>
      <c r="H1215" t="s">
        <v>1805</v>
      </c>
      <c r="I1215" t="s">
        <v>1808</v>
      </c>
      <c r="J1215" s="2">
        <v>45777</v>
      </c>
      <c r="K1215">
        <f t="shared" ca="1" si="36"/>
        <v>0</v>
      </c>
      <c r="L1215">
        <f t="shared" ca="1" si="37"/>
        <v>7</v>
      </c>
      <c r="M1215" t="s">
        <v>1810</v>
      </c>
      <c r="N1215">
        <v>1</v>
      </c>
      <c r="O1215" t="s">
        <v>1817</v>
      </c>
      <c r="P1215" t="s">
        <v>1833</v>
      </c>
    </row>
    <row r="1216" spans="1:16" x14ac:dyDescent="0.3">
      <c r="A1216" t="s">
        <v>1227</v>
      </c>
      <c r="B1216" t="s">
        <v>1755</v>
      </c>
      <c r="C1216">
        <v>49</v>
      </c>
      <c r="D1216" t="s">
        <v>1785</v>
      </c>
      <c r="E1216" t="s">
        <v>1792</v>
      </c>
      <c r="F1216" t="s">
        <v>1799</v>
      </c>
      <c r="G1216" s="5">
        <v>70257</v>
      </c>
      <c r="H1216" t="s">
        <v>1803</v>
      </c>
      <c r="I1216" t="s">
        <v>1806</v>
      </c>
      <c r="J1216" s="2">
        <v>42543</v>
      </c>
      <c r="K1216">
        <f t="shared" ca="1" si="36"/>
        <v>9</v>
      </c>
      <c r="L1216">
        <f t="shared" ca="1" si="37"/>
        <v>5</v>
      </c>
      <c r="M1216" t="s">
        <v>1809</v>
      </c>
      <c r="N1216">
        <v>5</v>
      </c>
      <c r="O1216" t="s">
        <v>1816</v>
      </c>
      <c r="P1216" t="s">
        <v>1834</v>
      </c>
    </row>
    <row r="1217" spans="1:16" x14ac:dyDescent="0.3">
      <c r="A1217" t="s">
        <v>1228</v>
      </c>
      <c r="B1217" t="s">
        <v>1733</v>
      </c>
      <c r="C1217">
        <v>41</v>
      </c>
      <c r="D1217" t="s">
        <v>1783</v>
      </c>
      <c r="E1217" t="s">
        <v>1788</v>
      </c>
      <c r="F1217" t="s">
        <v>1799</v>
      </c>
      <c r="G1217" s="5">
        <v>72020</v>
      </c>
      <c r="H1217" t="s">
        <v>1801</v>
      </c>
      <c r="I1217" t="s">
        <v>1806</v>
      </c>
      <c r="J1217" s="2">
        <v>44308</v>
      </c>
      <c r="K1217">
        <f t="shared" ca="1" si="36"/>
        <v>4</v>
      </c>
      <c r="L1217">
        <f t="shared" ca="1" si="37"/>
        <v>7</v>
      </c>
      <c r="M1217" t="s">
        <v>1810</v>
      </c>
      <c r="N1217">
        <v>3</v>
      </c>
      <c r="O1217" t="s">
        <v>1817</v>
      </c>
      <c r="P1217" t="s">
        <v>1831</v>
      </c>
    </row>
    <row r="1218" spans="1:16" x14ac:dyDescent="0.3">
      <c r="A1218" t="s">
        <v>1229</v>
      </c>
      <c r="B1218" t="s">
        <v>1722</v>
      </c>
      <c r="C1218">
        <v>37</v>
      </c>
      <c r="D1218" t="s">
        <v>1784</v>
      </c>
      <c r="E1218" t="s">
        <v>1792</v>
      </c>
      <c r="F1218" t="s">
        <v>1800</v>
      </c>
      <c r="G1218" s="5">
        <v>60534</v>
      </c>
      <c r="H1218" t="s">
        <v>1804</v>
      </c>
      <c r="I1218" t="s">
        <v>1807</v>
      </c>
      <c r="J1218" s="2">
        <v>43295</v>
      </c>
      <c r="K1218">
        <f t="shared" ca="1" si="36"/>
        <v>7</v>
      </c>
      <c r="L1218">
        <f t="shared" ca="1" si="37"/>
        <v>4</v>
      </c>
      <c r="M1218" t="s">
        <v>1810</v>
      </c>
      <c r="N1218">
        <v>4</v>
      </c>
      <c r="O1218" t="s">
        <v>1817</v>
      </c>
      <c r="P1218" t="s">
        <v>1831</v>
      </c>
    </row>
    <row r="1219" spans="1:16" x14ac:dyDescent="0.3">
      <c r="A1219" t="s">
        <v>1230</v>
      </c>
      <c r="B1219" t="s">
        <v>1751</v>
      </c>
      <c r="C1219">
        <v>51</v>
      </c>
      <c r="D1219" t="s">
        <v>1783</v>
      </c>
      <c r="E1219" t="s">
        <v>1789</v>
      </c>
      <c r="F1219" t="s">
        <v>1795</v>
      </c>
      <c r="G1219" s="5">
        <v>64111</v>
      </c>
      <c r="H1219" t="s">
        <v>1805</v>
      </c>
      <c r="I1219" t="s">
        <v>1806</v>
      </c>
      <c r="J1219" s="2">
        <v>45735</v>
      </c>
      <c r="K1219">
        <f t="shared" ref="K1219:K1282" ca="1" si="38">YEAR(TODAY()) - YEAR(J1219)</f>
        <v>0</v>
      </c>
      <c r="L1219">
        <f t="shared" ref="L1219:L1282" ca="1" si="39">DATEDIF(J1219,TODAY(),"YM")</f>
        <v>8</v>
      </c>
      <c r="M1219" t="s">
        <v>1809</v>
      </c>
      <c r="N1219">
        <v>3</v>
      </c>
      <c r="O1219" t="s">
        <v>1814</v>
      </c>
      <c r="P1219" t="s">
        <v>1834</v>
      </c>
    </row>
    <row r="1220" spans="1:16" x14ac:dyDescent="0.3">
      <c r="A1220" t="s">
        <v>1231</v>
      </c>
      <c r="B1220" t="s">
        <v>1745</v>
      </c>
      <c r="C1220">
        <v>25</v>
      </c>
      <c r="D1220" t="s">
        <v>1785</v>
      </c>
      <c r="E1220" t="s">
        <v>1787</v>
      </c>
      <c r="F1220" t="s">
        <v>1795</v>
      </c>
      <c r="G1220" s="5">
        <v>59015</v>
      </c>
      <c r="H1220" t="s">
        <v>1803</v>
      </c>
      <c r="I1220" t="s">
        <v>1806</v>
      </c>
      <c r="J1220" s="2">
        <v>43200</v>
      </c>
      <c r="K1220">
        <f t="shared" ca="1" si="38"/>
        <v>7</v>
      </c>
      <c r="L1220">
        <f t="shared" ca="1" si="39"/>
        <v>8</v>
      </c>
      <c r="M1220" t="s">
        <v>1810</v>
      </c>
      <c r="N1220">
        <v>2</v>
      </c>
      <c r="O1220" t="s">
        <v>1814</v>
      </c>
      <c r="P1220" t="s">
        <v>1832</v>
      </c>
    </row>
    <row r="1221" spans="1:16" x14ac:dyDescent="0.3">
      <c r="A1221" t="s">
        <v>1232</v>
      </c>
      <c r="B1221" t="s">
        <v>1737</v>
      </c>
      <c r="C1221">
        <v>41</v>
      </c>
      <c r="D1221" t="s">
        <v>1784</v>
      </c>
      <c r="E1221" t="s">
        <v>1789</v>
      </c>
      <c r="F1221" t="s">
        <v>1798</v>
      </c>
      <c r="G1221" s="5">
        <v>116929</v>
      </c>
      <c r="H1221" t="s">
        <v>1802</v>
      </c>
      <c r="I1221" t="s">
        <v>1808</v>
      </c>
      <c r="J1221" s="2">
        <v>42503</v>
      </c>
      <c r="K1221">
        <f t="shared" ca="1" si="38"/>
        <v>9</v>
      </c>
      <c r="L1221">
        <f t="shared" ca="1" si="39"/>
        <v>6</v>
      </c>
      <c r="M1221" t="s">
        <v>1809</v>
      </c>
      <c r="N1221">
        <v>2</v>
      </c>
      <c r="O1221" t="s">
        <v>1814</v>
      </c>
      <c r="P1221" t="s">
        <v>1831</v>
      </c>
    </row>
    <row r="1222" spans="1:16" x14ac:dyDescent="0.3">
      <c r="A1222" t="s">
        <v>1233</v>
      </c>
      <c r="B1222" t="s">
        <v>1719</v>
      </c>
      <c r="C1222">
        <v>55</v>
      </c>
      <c r="D1222" t="s">
        <v>1784</v>
      </c>
      <c r="E1222" t="s">
        <v>1791</v>
      </c>
      <c r="F1222" t="s">
        <v>1795</v>
      </c>
      <c r="G1222" s="5">
        <v>70162</v>
      </c>
      <c r="H1222" t="s">
        <v>1801</v>
      </c>
      <c r="I1222" t="s">
        <v>1807</v>
      </c>
      <c r="J1222" s="2">
        <v>42820</v>
      </c>
      <c r="K1222">
        <f t="shared" ca="1" si="38"/>
        <v>8</v>
      </c>
      <c r="L1222">
        <f t="shared" ca="1" si="39"/>
        <v>8</v>
      </c>
      <c r="M1222" t="s">
        <v>1809</v>
      </c>
      <c r="N1222">
        <v>5</v>
      </c>
      <c r="O1222" t="s">
        <v>1811</v>
      </c>
      <c r="P1222" t="s">
        <v>1834</v>
      </c>
    </row>
    <row r="1223" spans="1:16" x14ac:dyDescent="0.3">
      <c r="A1223" t="s">
        <v>1234</v>
      </c>
      <c r="B1223" t="s">
        <v>1734</v>
      </c>
      <c r="C1223">
        <v>41</v>
      </c>
      <c r="D1223" t="s">
        <v>1785</v>
      </c>
      <c r="E1223" t="s">
        <v>1789</v>
      </c>
      <c r="F1223" t="s">
        <v>1798</v>
      </c>
      <c r="G1223" s="5">
        <v>70003</v>
      </c>
      <c r="H1223" t="s">
        <v>1803</v>
      </c>
      <c r="I1223" t="s">
        <v>1807</v>
      </c>
      <c r="J1223" s="2">
        <v>45899</v>
      </c>
      <c r="K1223">
        <f t="shared" ca="1" si="38"/>
        <v>0</v>
      </c>
      <c r="L1223">
        <f t="shared" ca="1" si="39"/>
        <v>3</v>
      </c>
      <c r="M1223" t="s">
        <v>1810</v>
      </c>
      <c r="N1223">
        <v>5</v>
      </c>
      <c r="O1223" t="s">
        <v>1813</v>
      </c>
      <c r="P1223" t="s">
        <v>1831</v>
      </c>
    </row>
    <row r="1224" spans="1:16" x14ac:dyDescent="0.3">
      <c r="A1224" t="s">
        <v>1235</v>
      </c>
      <c r="B1224" t="s">
        <v>1722</v>
      </c>
      <c r="C1224">
        <v>48</v>
      </c>
      <c r="D1224" t="s">
        <v>1783</v>
      </c>
      <c r="E1224" t="s">
        <v>1786</v>
      </c>
      <c r="F1224" t="s">
        <v>1798</v>
      </c>
      <c r="G1224" s="5">
        <v>89825</v>
      </c>
      <c r="H1224" t="s">
        <v>1804</v>
      </c>
      <c r="I1224" t="s">
        <v>1807</v>
      </c>
      <c r="J1224" s="2">
        <v>44463</v>
      </c>
      <c r="K1224">
        <f t="shared" ca="1" si="38"/>
        <v>4</v>
      </c>
      <c r="L1224">
        <f t="shared" ca="1" si="39"/>
        <v>2</v>
      </c>
      <c r="M1224" t="s">
        <v>1809</v>
      </c>
      <c r="N1224">
        <v>2</v>
      </c>
      <c r="O1224" t="s">
        <v>1815</v>
      </c>
      <c r="P1224" t="s">
        <v>1834</v>
      </c>
    </row>
    <row r="1225" spans="1:16" x14ac:dyDescent="0.3">
      <c r="A1225" t="s">
        <v>1236</v>
      </c>
      <c r="B1225" t="s">
        <v>1743</v>
      </c>
      <c r="C1225">
        <v>33</v>
      </c>
      <c r="D1225" t="s">
        <v>1783</v>
      </c>
      <c r="E1225" t="s">
        <v>1792</v>
      </c>
      <c r="F1225" t="s">
        <v>1798</v>
      </c>
      <c r="G1225" s="5">
        <v>56901</v>
      </c>
      <c r="H1225" t="s">
        <v>1801</v>
      </c>
      <c r="I1225" t="s">
        <v>1806</v>
      </c>
      <c r="J1225" s="2">
        <v>44417</v>
      </c>
      <c r="K1225">
        <f t="shared" ca="1" si="38"/>
        <v>4</v>
      </c>
      <c r="L1225">
        <f t="shared" ca="1" si="39"/>
        <v>4</v>
      </c>
      <c r="M1225" t="s">
        <v>1810</v>
      </c>
      <c r="N1225">
        <v>4</v>
      </c>
      <c r="O1225" t="s">
        <v>1815</v>
      </c>
      <c r="P1225" t="s">
        <v>1833</v>
      </c>
    </row>
    <row r="1226" spans="1:16" x14ac:dyDescent="0.3">
      <c r="A1226" t="s">
        <v>1237</v>
      </c>
      <c r="B1226" t="s">
        <v>1782</v>
      </c>
      <c r="C1226">
        <v>53</v>
      </c>
      <c r="D1226" t="s">
        <v>1785</v>
      </c>
      <c r="E1226" t="s">
        <v>1787</v>
      </c>
      <c r="F1226" t="s">
        <v>1795</v>
      </c>
      <c r="G1226" s="5">
        <v>100215</v>
      </c>
      <c r="H1226" t="s">
        <v>1803</v>
      </c>
      <c r="I1226" t="s">
        <v>1806</v>
      </c>
      <c r="J1226" s="2">
        <v>43509</v>
      </c>
      <c r="K1226">
        <f t="shared" ca="1" si="38"/>
        <v>6</v>
      </c>
      <c r="L1226">
        <f t="shared" ca="1" si="39"/>
        <v>9</v>
      </c>
      <c r="M1226" t="s">
        <v>1810</v>
      </c>
      <c r="N1226">
        <v>3</v>
      </c>
      <c r="O1226" t="s">
        <v>1811</v>
      </c>
      <c r="P1226" t="s">
        <v>1834</v>
      </c>
    </row>
    <row r="1227" spans="1:16" x14ac:dyDescent="0.3">
      <c r="A1227" t="s">
        <v>1238</v>
      </c>
      <c r="B1227" t="s">
        <v>1775</v>
      </c>
      <c r="C1227">
        <v>35</v>
      </c>
      <c r="D1227" t="s">
        <v>1784</v>
      </c>
      <c r="E1227" t="s">
        <v>1789</v>
      </c>
      <c r="F1227" t="s">
        <v>1794</v>
      </c>
      <c r="G1227" s="5">
        <v>28097</v>
      </c>
      <c r="H1227" t="s">
        <v>1802</v>
      </c>
      <c r="I1227" t="s">
        <v>1808</v>
      </c>
      <c r="J1227" s="2">
        <v>45960</v>
      </c>
      <c r="K1227">
        <f t="shared" ca="1" si="38"/>
        <v>0</v>
      </c>
      <c r="L1227">
        <f t="shared" ca="1" si="39"/>
        <v>1</v>
      </c>
      <c r="M1227" t="s">
        <v>1809</v>
      </c>
      <c r="N1227">
        <v>5</v>
      </c>
      <c r="O1227" t="s">
        <v>1816</v>
      </c>
      <c r="P1227" t="s">
        <v>1833</v>
      </c>
    </row>
    <row r="1228" spans="1:16" x14ac:dyDescent="0.3">
      <c r="A1228" t="s">
        <v>1239</v>
      </c>
      <c r="B1228" t="s">
        <v>1765</v>
      </c>
      <c r="C1228">
        <v>52</v>
      </c>
      <c r="D1228" t="s">
        <v>1785</v>
      </c>
      <c r="E1228" t="s">
        <v>1790</v>
      </c>
      <c r="F1228" t="s">
        <v>1796</v>
      </c>
      <c r="G1228" s="5">
        <v>88170</v>
      </c>
      <c r="H1228" t="s">
        <v>1801</v>
      </c>
      <c r="I1228" t="s">
        <v>1806</v>
      </c>
      <c r="J1228" s="2">
        <v>43371</v>
      </c>
      <c r="K1228">
        <f t="shared" ca="1" si="38"/>
        <v>7</v>
      </c>
      <c r="L1228">
        <f t="shared" ca="1" si="39"/>
        <v>2</v>
      </c>
      <c r="M1228" t="s">
        <v>1810</v>
      </c>
      <c r="N1228">
        <v>5</v>
      </c>
      <c r="O1228" t="s">
        <v>1815</v>
      </c>
      <c r="P1228" t="s">
        <v>1834</v>
      </c>
    </row>
    <row r="1229" spans="1:16" x14ac:dyDescent="0.3">
      <c r="A1229" t="s">
        <v>1240</v>
      </c>
      <c r="B1229" t="s">
        <v>1737</v>
      </c>
      <c r="C1229">
        <v>56</v>
      </c>
      <c r="D1229" t="s">
        <v>1783</v>
      </c>
      <c r="E1229" t="s">
        <v>1790</v>
      </c>
      <c r="F1229" t="s">
        <v>1800</v>
      </c>
      <c r="G1229" s="5">
        <v>99108</v>
      </c>
      <c r="H1229" t="s">
        <v>1803</v>
      </c>
      <c r="I1229" t="s">
        <v>1806</v>
      </c>
      <c r="J1229" s="2">
        <v>44224</v>
      </c>
      <c r="K1229">
        <f t="shared" ca="1" si="38"/>
        <v>4</v>
      </c>
      <c r="L1229">
        <f t="shared" ca="1" si="39"/>
        <v>10</v>
      </c>
      <c r="M1229" t="s">
        <v>1809</v>
      </c>
      <c r="N1229">
        <v>2</v>
      </c>
      <c r="O1229" t="s">
        <v>1818</v>
      </c>
      <c r="P1229" t="s">
        <v>1834</v>
      </c>
    </row>
    <row r="1230" spans="1:16" x14ac:dyDescent="0.3">
      <c r="A1230" t="s">
        <v>1241</v>
      </c>
      <c r="B1230" t="s">
        <v>1748</v>
      </c>
      <c r="C1230">
        <v>55</v>
      </c>
      <c r="D1230" t="s">
        <v>1785</v>
      </c>
      <c r="E1230" t="s">
        <v>1792</v>
      </c>
      <c r="F1230" t="s">
        <v>1800</v>
      </c>
      <c r="G1230" s="5">
        <v>63561</v>
      </c>
      <c r="H1230" t="s">
        <v>1802</v>
      </c>
      <c r="I1230" t="s">
        <v>1807</v>
      </c>
      <c r="J1230" s="2">
        <v>45231</v>
      </c>
      <c r="K1230">
        <f t="shared" ca="1" si="38"/>
        <v>2</v>
      </c>
      <c r="L1230">
        <f t="shared" ca="1" si="39"/>
        <v>1</v>
      </c>
      <c r="M1230" t="s">
        <v>1810</v>
      </c>
      <c r="N1230">
        <v>1</v>
      </c>
      <c r="O1230" t="s">
        <v>1814</v>
      </c>
      <c r="P1230" t="s">
        <v>1834</v>
      </c>
    </row>
    <row r="1231" spans="1:16" x14ac:dyDescent="0.3">
      <c r="A1231" t="s">
        <v>1242</v>
      </c>
      <c r="B1231" t="s">
        <v>1715</v>
      </c>
      <c r="C1231">
        <v>21</v>
      </c>
      <c r="D1231" t="s">
        <v>1785</v>
      </c>
      <c r="E1231" t="s">
        <v>1790</v>
      </c>
      <c r="F1231" t="s">
        <v>1794</v>
      </c>
      <c r="G1231" s="5">
        <v>74469</v>
      </c>
      <c r="H1231" t="s">
        <v>1802</v>
      </c>
      <c r="I1231" t="s">
        <v>1808</v>
      </c>
      <c r="J1231" s="2">
        <v>43319</v>
      </c>
      <c r="K1231">
        <f t="shared" ca="1" si="38"/>
        <v>7</v>
      </c>
      <c r="L1231">
        <f t="shared" ca="1" si="39"/>
        <v>4</v>
      </c>
      <c r="M1231" t="s">
        <v>1810</v>
      </c>
      <c r="N1231">
        <v>3</v>
      </c>
      <c r="O1231" t="s">
        <v>1814</v>
      </c>
      <c r="P1231" t="s">
        <v>1832</v>
      </c>
    </row>
    <row r="1232" spans="1:16" x14ac:dyDescent="0.3">
      <c r="A1232" t="s">
        <v>1243</v>
      </c>
      <c r="B1232" t="s">
        <v>1722</v>
      </c>
      <c r="C1232">
        <v>56</v>
      </c>
      <c r="D1232" t="s">
        <v>1785</v>
      </c>
      <c r="E1232" t="s">
        <v>1787</v>
      </c>
      <c r="F1232" t="s">
        <v>1799</v>
      </c>
      <c r="G1232" s="5">
        <v>36904</v>
      </c>
      <c r="H1232" t="s">
        <v>1805</v>
      </c>
      <c r="I1232" t="s">
        <v>1806</v>
      </c>
      <c r="J1232" s="2">
        <v>44841</v>
      </c>
      <c r="K1232">
        <f t="shared" ca="1" si="38"/>
        <v>3</v>
      </c>
      <c r="L1232">
        <f t="shared" ca="1" si="39"/>
        <v>2</v>
      </c>
      <c r="M1232" t="s">
        <v>1810</v>
      </c>
      <c r="N1232">
        <v>1</v>
      </c>
      <c r="O1232" t="s">
        <v>1818</v>
      </c>
      <c r="P1232" t="s">
        <v>1834</v>
      </c>
    </row>
    <row r="1233" spans="1:16" x14ac:dyDescent="0.3">
      <c r="A1233" t="s">
        <v>1244</v>
      </c>
      <c r="B1233" t="s">
        <v>1753</v>
      </c>
      <c r="C1233">
        <v>27</v>
      </c>
      <c r="D1233" t="s">
        <v>1783</v>
      </c>
      <c r="E1233" t="s">
        <v>1793</v>
      </c>
      <c r="F1233" t="s">
        <v>1800</v>
      </c>
      <c r="G1233" s="5">
        <v>87438</v>
      </c>
      <c r="H1233" t="s">
        <v>1802</v>
      </c>
      <c r="I1233" t="s">
        <v>1806</v>
      </c>
      <c r="J1233" s="2">
        <v>43235</v>
      </c>
      <c r="K1233">
        <f t="shared" ca="1" si="38"/>
        <v>7</v>
      </c>
      <c r="L1233">
        <f t="shared" ca="1" si="39"/>
        <v>6</v>
      </c>
      <c r="M1233" t="s">
        <v>1809</v>
      </c>
      <c r="N1233">
        <v>5</v>
      </c>
      <c r="O1233" t="s">
        <v>1816</v>
      </c>
      <c r="P1233" t="s">
        <v>1833</v>
      </c>
    </row>
    <row r="1234" spans="1:16" x14ac:dyDescent="0.3">
      <c r="A1234" t="s">
        <v>1245</v>
      </c>
      <c r="B1234" t="s">
        <v>1761</v>
      </c>
      <c r="C1234">
        <v>51</v>
      </c>
      <c r="D1234" t="s">
        <v>1785</v>
      </c>
      <c r="E1234" t="s">
        <v>1793</v>
      </c>
      <c r="F1234" t="s">
        <v>1797</v>
      </c>
      <c r="G1234" s="5">
        <v>61488</v>
      </c>
      <c r="H1234" t="s">
        <v>1801</v>
      </c>
      <c r="I1234" t="s">
        <v>1808</v>
      </c>
      <c r="J1234" s="2">
        <v>44789</v>
      </c>
      <c r="K1234">
        <f t="shared" ca="1" si="38"/>
        <v>3</v>
      </c>
      <c r="L1234">
        <f t="shared" ca="1" si="39"/>
        <v>3</v>
      </c>
      <c r="M1234" t="s">
        <v>1810</v>
      </c>
      <c r="N1234">
        <v>4</v>
      </c>
      <c r="O1234" t="s">
        <v>1811</v>
      </c>
      <c r="P1234" t="s">
        <v>1834</v>
      </c>
    </row>
    <row r="1235" spans="1:16" x14ac:dyDescent="0.3">
      <c r="A1235" t="s">
        <v>1246</v>
      </c>
      <c r="B1235" t="s">
        <v>1721</v>
      </c>
      <c r="C1235">
        <v>41</v>
      </c>
      <c r="D1235" t="s">
        <v>1783</v>
      </c>
      <c r="E1235" t="s">
        <v>1793</v>
      </c>
      <c r="F1235" t="s">
        <v>1796</v>
      </c>
      <c r="G1235" s="5">
        <v>58789</v>
      </c>
      <c r="H1235" t="s">
        <v>1802</v>
      </c>
      <c r="I1235" t="s">
        <v>1806</v>
      </c>
      <c r="J1235" s="2">
        <v>44200</v>
      </c>
      <c r="K1235">
        <f t="shared" ca="1" si="38"/>
        <v>4</v>
      </c>
      <c r="L1235">
        <f t="shared" ca="1" si="39"/>
        <v>11</v>
      </c>
      <c r="M1235" t="s">
        <v>1810</v>
      </c>
      <c r="N1235">
        <v>4</v>
      </c>
      <c r="O1235" t="s">
        <v>1813</v>
      </c>
      <c r="P1235" t="s">
        <v>1831</v>
      </c>
    </row>
    <row r="1236" spans="1:16" x14ac:dyDescent="0.3">
      <c r="A1236" t="s">
        <v>1247</v>
      </c>
      <c r="B1236" t="s">
        <v>1738</v>
      </c>
      <c r="C1236">
        <v>45</v>
      </c>
      <c r="D1236" t="s">
        <v>1783</v>
      </c>
      <c r="E1236" t="s">
        <v>1786</v>
      </c>
      <c r="F1236" t="s">
        <v>1794</v>
      </c>
      <c r="G1236" s="5">
        <v>64032</v>
      </c>
      <c r="H1236" t="s">
        <v>1801</v>
      </c>
      <c r="I1236" t="s">
        <v>1808</v>
      </c>
      <c r="J1236" s="2">
        <v>44288</v>
      </c>
      <c r="K1236">
        <f t="shared" ca="1" si="38"/>
        <v>4</v>
      </c>
      <c r="L1236">
        <f t="shared" ca="1" si="39"/>
        <v>8</v>
      </c>
      <c r="M1236" t="s">
        <v>1809</v>
      </c>
      <c r="N1236">
        <v>5</v>
      </c>
      <c r="O1236" t="s">
        <v>1814</v>
      </c>
      <c r="P1236" t="s">
        <v>1831</v>
      </c>
    </row>
    <row r="1237" spans="1:16" x14ac:dyDescent="0.3">
      <c r="A1237" t="s">
        <v>1248</v>
      </c>
      <c r="B1237" t="s">
        <v>1735</v>
      </c>
      <c r="C1237">
        <v>23</v>
      </c>
      <c r="D1237" t="s">
        <v>1785</v>
      </c>
      <c r="E1237" t="s">
        <v>1792</v>
      </c>
      <c r="F1237" t="s">
        <v>1796</v>
      </c>
      <c r="G1237" s="5">
        <v>107484</v>
      </c>
      <c r="H1237" t="s">
        <v>1801</v>
      </c>
      <c r="I1237" t="s">
        <v>1807</v>
      </c>
      <c r="J1237" s="2">
        <v>42445</v>
      </c>
      <c r="K1237">
        <f t="shared" ca="1" si="38"/>
        <v>9</v>
      </c>
      <c r="L1237">
        <f t="shared" ca="1" si="39"/>
        <v>8</v>
      </c>
      <c r="M1237" t="s">
        <v>1809</v>
      </c>
      <c r="N1237">
        <v>1</v>
      </c>
      <c r="O1237" t="s">
        <v>1817</v>
      </c>
      <c r="P1237" t="s">
        <v>1832</v>
      </c>
    </row>
    <row r="1238" spans="1:16" x14ac:dyDescent="0.3">
      <c r="A1238" t="s">
        <v>1249</v>
      </c>
      <c r="B1238" t="s">
        <v>1754</v>
      </c>
      <c r="C1238">
        <v>21</v>
      </c>
      <c r="D1238" t="s">
        <v>1785</v>
      </c>
      <c r="E1238" t="s">
        <v>1789</v>
      </c>
      <c r="F1238" t="s">
        <v>1798</v>
      </c>
      <c r="G1238" s="5">
        <v>27094</v>
      </c>
      <c r="H1238" t="s">
        <v>1802</v>
      </c>
      <c r="I1238" t="s">
        <v>1806</v>
      </c>
      <c r="J1238" s="2">
        <v>44981</v>
      </c>
      <c r="K1238">
        <f t="shared" ca="1" si="38"/>
        <v>2</v>
      </c>
      <c r="L1238">
        <f t="shared" ca="1" si="39"/>
        <v>9</v>
      </c>
      <c r="M1238" t="s">
        <v>1810</v>
      </c>
      <c r="N1238">
        <v>2</v>
      </c>
      <c r="O1238" t="s">
        <v>1815</v>
      </c>
      <c r="P1238" t="s">
        <v>1832</v>
      </c>
    </row>
    <row r="1239" spans="1:16" x14ac:dyDescent="0.3">
      <c r="A1239" t="s">
        <v>1250</v>
      </c>
      <c r="B1239" t="s">
        <v>1724</v>
      </c>
      <c r="C1239">
        <v>29</v>
      </c>
      <c r="D1239" t="s">
        <v>1785</v>
      </c>
      <c r="E1239" t="s">
        <v>1789</v>
      </c>
      <c r="F1239" t="s">
        <v>1798</v>
      </c>
      <c r="G1239" s="5">
        <v>93233</v>
      </c>
      <c r="H1239" t="s">
        <v>1803</v>
      </c>
      <c r="I1239" t="s">
        <v>1806</v>
      </c>
      <c r="J1239" s="2">
        <v>45903</v>
      </c>
      <c r="K1239">
        <f t="shared" ca="1" si="38"/>
        <v>0</v>
      </c>
      <c r="L1239">
        <f t="shared" ca="1" si="39"/>
        <v>3</v>
      </c>
      <c r="M1239" t="s">
        <v>1809</v>
      </c>
      <c r="N1239">
        <v>5</v>
      </c>
      <c r="O1239" t="s">
        <v>1816</v>
      </c>
      <c r="P1239" t="s">
        <v>1833</v>
      </c>
    </row>
    <row r="1240" spans="1:16" x14ac:dyDescent="0.3">
      <c r="A1240" t="s">
        <v>1251</v>
      </c>
      <c r="B1240" t="s">
        <v>1726</v>
      </c>
      <c r="C1240">
        <v>22</v>
      </c>
      <c r="D1240" t="s">
        <v>1785</v>
      </c>
      <c r="E1240" t="s">
        <v>1793</v>
      </c>
      <c r="F1240" t="s">
        <v>1796</v>
      </c>
      <c r="G1240" s="5">
        <v>58850</v>
      </c>
      <c r="H1240" t="s">
        <v>1801</v>
      </c>
      <c r="I1240" t="s">
        <v>1808</v>
      </c>
      <c r="J1240" s="2">
        <v>45235</v>
      </c>
      <c r="K1240">
        <f t="shared" ca="1" si="38"/>
        <v>2</v>
      </c>
      <c r="L1240">
        <f t="shared" ca="1" si="39"/>
        <v>1</v>
      </c>
      <c r="M1240" t="s">
        <v>1809</v>
      </c>
      <c r="N1240">
        <v>5</v>
      </c>
      <c r="O1240" t="s">
        <v>1816</v>
      </c>
      <c r="P1240" t="s">
        <v>1832</v>
      </c>
    </row>
    <row r="1241" spans="1:16" x14ac:dyDescent="0.3">
      <c r="A1241" t="s">
        <v>1252</v>
      </c>
      <c r="B1241" t="s">
        <v>1718</v>
      </c>
      <c r="C1241">
        <v>32</v>
      </c>
      <c r="D1241" t="s">
        <v>1785</v>
      </c>
      <c r="E1241" t="s">
        <v>1791</v>
      </c>
      <c r="F1241" t="s">
        <v>1796</v>
      </c>
      <c r="G1241" s="5">
        <v>98372</v>
      </c>
      <c r="H1241" t="s">
        <v>1803</v>
      </c>
      <c r="I1241" t="s">
        <v>1806</v>
      </c>
      <c r="J1241" s="2">
        <v>44682</v>
      </c>
      <c r="K1241">
        <f t="shared" ca="1" si="38"/>
        <v>3</v>
      </c>
      <c r="L1241">
        <f t="shared" ca="1" si="39"/>
        <v>7</v>
      </c>
      <c r="M1241" t="s">
        <v>1810</v>
      </c>
      <c r="N1241">
        <v>4</v>
      </c>
      <c r="O1241" t="s">
        <v>1813</v>
      </c>
      <c r="P1241" t="s">
        <v>1833</v>
      </c>
    </row>
    <row r="1242" spans="1:16" x14ac:dyDescent="0.3">
      <c r="A1242" t="s">
        <v>1253</v>
      </c>
      <c r="B1242" t="s">
        <v>1764</v>
      </c>
      <c r="C1242">
        <v>41</v>
      </c>
      <c r="D1242" t="s">
        <v>1783</v>
      </c>
      <c r="E1242" t="s">
        <v>1789</v>
      </c>
      <c r="F1242" t="s">
        <v>1798</v>
      </c>
      <c r="G1242" s="5">
        <v>36531</v>
      </c>
      <c r="H1242" t="s">
        <v>1803</v>
      </c>
      <c r="I1242" t="s">
        <v>1807</v>
      </c>
      <c r="J1242" s="2">
        <v>45690</v>
      </c>
      <c r="K1242">
        <f t="shared" ca="1" si="38"/>
        <v>0</v>
      </c>
      <c r="L1242">
        <f t="shared" ca="1" si="39"/>
        <v>10</v>
      </c>
      <c r="M1242" t="s">
        <v>1810</v>
      </c>
      <c r="N1242">
        <v>1</v>
      </c>
      <c r="O1242" t="s">
        <v>1817</v>
      </c>
      <c r="P1242" t="s">
        <v>1831</v>
      </c>
    </row>
    <row r="1243" spans="1:16" x14ac:dyDescent="0.3">
      <c r="A1243" t="s">
        <v>1254</v>
      </c>
      <c r="B1243" t="s">
        <v>1768</v>
      </c>
      <c r="C1243">
        <v>57</v>
      </c>
      <c r="D1243" t="s">
        <v>1783</v>
      </c>
      <c r="E1243" t="s">
        <v>1793</v>
      </c>
      <c r="F1243" t="s">
        <v>1794</v>
      </c>
      <c r="G1243" s="5">
        <v>104967</v>
      </c>
      <c r="H1243" t="s">
        <v>1804</v>
      </c>
      <c r="I1243" t="s">
        <v>1806</v>
      </c>
      <c r="J1243" s="2">
        <v>44744</v>
      </c>
      <c r="K1243">
        <f t="shared" ca="1" si="38"/>
        <v>3</v>
      </c>
      <c r="L1243">
        <f t="shared" ca="1" si="39"/>
        <v>5</v>
      </c>
      <c r="M1243" t="s">
        <v>1810</v>
      </c>
      <c r="N1243">
        <v>5</v>
      </c>
      <c r="O1243" t="s">
        <v>1815</v>
      </c>
      <c r="P1243" t="s">
        <v>1834</v>
      </c>
    </row>
    <row r="1244" spans="1:16" x14ac:dyDescent="0.3">
      <c r="A1244" t="s">
        <v>1255</v>
      </c>
      <c r="B1244" t="s">
        <v>1766</v>
      </c>
      <c r="C1244">
        <v>28</v>
      </c>
      <c r="D1244" t="s">
        <v>1784</v>
      </c>
      <c r="E1244" t="s">
        <v>1786</v>
      </c>
      <c r="F1244" t="s">
        <v>1794</v>
      </c>
      <c r="G1244" s="5">
        <v>56398</v>
      </c>
      <c r="H1244" t="s">
        <v>1803</v>
      </c>
      <c r="I1244" t="s">
        <v>1808</v>
      </c>
      <c r="J1244" s="2">
        <v>44220</v>
      </c>
      <c r="K1244">
        <f t="shared" ca="1" si="38"/>
        <v>4</v>
      </c>
      <c r="L1244">
        <f t="shared" ca="1" si="39"/>
        <v>10</v>
      </c>
      <c r="M1244" t="s">
        <v>1810</v>
      </c>
      <c r="N1244">
        <v>1</v>
      </c>
      <c r="O1244" t="s">
        <v>1812</v>
      </c>
      <c r="P1244" t="s">
        <v>1833</v>
      </c>
    </row>
    <row r="1245" spans="1:16" x14ac:dyDescent="0.3">
      <c r="A1245" t="s">
        <v>1256</v>
      </c>
      <c r="B1245" t="s">
        <v>1768</v>
      </c>
      <c r="C1245">
        <v>26</v>
      </c>
      <c r="D1245" t="s">
        <v>1784</v>
      </c>
      <c r="E1245" t="s">
        <v>1790</v>
      </c>
      <c r="F1245" t="s">
        <v>1800</v>
      </c>
      <c r="G1245" s="5">
        <v>97909</v>
      </c>
      <c r="H1245" t="s">
        <v>1804</v>
      </c>
      <c r="I1245" t="s">
        <v>1808</v>
      </c>
      <c r="J1245" s="2">
        <v>45658</v>
      </c>
      <c r="K1245">
        <f t="shared" ca="1" si="38"/>
        <v>0</v>
      </c>
      <c r="L1245">
        <f t="shared" ca="1" si="39"/>
        <v>11</v>
      </c>
      <c r="M1245" t="s">
        <v>1810</v>
      </c>
      <c r="N1245">
        <v>1</v>
      </c>
      <c r="O1245" t="s">
        <v>1818</v>
      </c>
      <c r="P1245" t="s">
        <v>1833</v>
      </c>
    </row>
    <row r="1246" spans="1:16" x14ac:dyDescent="0.3">
      <c r="A1246" t="s">
        <v>1257</v>
      </c>
      <c r="B1246" t="s">
        <v>1779</v>
      </c>
      <c r="C1246">
        <v>39</v>
      </c>
      <c r="D1246" t="s">
        <v>1785</v>
      </c>
      <c r="E1246" t="s">
        <v>1791</v>
      </c>
      <c r="F1246" t="s">
        <v>1796</v>
      </c>
      <c r="G1246" s="5">
        <v>102008</v>
      </c>
      <c r="H1246" t="s">
        <v>1801</v>
      </c>
      <c r="I1246" t="s">
        <v>1806</v>
      </c>
      <c r="J1246" s="2">
        <v>42552</v>
      </c>
      <c r="K1246">
        <f t="shared" ca="1" si="38"/>
        <v>9</v>
      </c>
      <c r="L1246">
        <f t="shared" ca="1" si="39"/>
        <v>5</v>
      </c>
      <c r="M1246" t="s">
        <v>1809</v>
      </c>
      <c r="N1246">
        <v>3</v>
      </c>
      <c r="O1246" t="s">
        <v>1811</v>
      </c>
      <c r="P1246" t="s">
        <v>1831</v>
      </c>
    </row>
    <row r="1247" spans="1:16" x14ac:dyDescent="0.3">
      <c r="A1247" t="s">
        <v>1258</v>
      </c>
      <c r="B1247" t="s">
        <v>1762</v>
      </c>
      <c r="C1247">
        <v>54</v>
      </c>
      <c r="D1247" t="s">
        <v>1783</v>
      </c>
      <c r="E1247" t="s">
        <v>1787</v>
      </c>
      <c r="F1247" t="s">
        <v>1795</v>
      </c>
      <c r="G1247" s="5">
        <v>114801</v>
      </c>
      <c r="H1247" t="s">
        <v>1805</v>
      </c>
      <c r="I1247" t="s">
        <v>1807</v>
      </c>
      <c r="J1247" s="2">
        <v>44521</v>
      </c>
      <c r="K1247">
        <f t="shared" ca="1" si="38"/>
        <v>4</v>
      </c>
      <c r="L1247">
        <f t="shared" ca="1" si="39"/>
        <v>0</v>
      </c>
      <c r="M1247" t="s">
        <v>1810</v>
      </c>
      <c r="N1247">
        <v>1</v>
      </c>
      <c r="O1247" t="s">
        <v>1815</v>
      </c>
      <c r="P1247" t="s">
        <v>1834</v>
      </c>
    </row>
    <row r="1248" spans="1:16" x14ac:dyDescent="0.3">
      <c r="A1248" t="s">
        <v>1259</v>
      </c>
      <c r="B1248" t="s">
        <v>1718</v>
      </c>
      <c r="C1248">
        <v>31</v>
      </c>
      <c r="D1248" t="s">
        <v>1783</v>
      </c>
      <c r="E1248" t="s">
        <v>1789</v>
      </c>
      <c r="F1248" t="s">
        <v>1794</v>
      </c>
      <c r="G1248" s="5">
        <v>27563</v>
      </c>
      <c r="H1248" t="s">
        <v>1802</v>
      </c>
      <c r="I1248" t="s">
        <v>1808</v>
      </c>
      <c r="J1248" s="2">
        <v>43284</v>
      </c>
      <c r="K1248">
        <f t="shared" ca="1" si="38"/>
        <v>7</v>
      </c>
      <c r="L1248">
        <f t="shared" ca="1" si="39"/>
        <v>5</v>
      </c>
      <c r="M1248" t="s">
        <v>1809</v>
      </c>
      <c r="N1248">
        <v>1</v>
      </c>
      <c r="O1248" t="s">
        <v>1811</v>
      </c>
      <c r="P1248" t="s">
        <v>1833</v>
      </c>
    </row>
    <row r="1249" spans="1:16" x14ac:dyDescent="0.3">
      <c r="A1249" t="s">
        <v>1260</v>
      </c>
      <c r="B1249" t="s">
        <v>1778</v>
      </c>
      <c r="C1249">
        <v>27</v>
      </c>
      <c r="D1249" t="s">
        <v>1784</v>
      </c>
      <c r="E1249" t="s">
        <v>1792</v>
      </c>
      <c r="F1249" t="s">
        <v>1794</v>
      </c>
      <c r="G1249" s="5">
        <v>49508</v>
      </c>
      <c r="H1249" t="s">
        <v>1804</v>
      </c>
      <c r="I1249" t="s">
        <v>1807</v>
      </c>
      <c r="J1249" s="2">
        <v>44035</v>
      </c>
      <c r="K1249">
        <f t="shared" ca="1" si="38"/>
        <v>5</v>
      </c>
      <c r="L1249">
        <f t="shared" ca="1" si="39"/>
        <v>4</v>
      </c>
      <c r="M1249" t="s">
        <v>1809</v>
      </c>
      <c r="N1249">
        <v>3</v>
      </c>
      <c r="O1249" t="s">
        <v>1811</v>
      </c>
      <c r="P1249" t="s">
        <v>1833</v>
      </c>
    </row>
    <row r="1250" spans="1:16" x14ac:dyDescent="0.3">
      <c r="A1250" t="s">
        <v>1261</v>
      </c>
      <c r="B1250" t="s">
        <v>1752</v>
      </c>
      <c r="C1250">
        <v>29</v>
      </c>
      <c r="D1250" t="s">
        <v>1785</v>
      </c>
      <c r="E1250" t="s">
        <v>1786</v>
      </c>
      <c r="F1250" t="s">
        <v>1794</v>
      </c>
      <c r="G1250" s="5">
        <v>99495</v>
      </c>
      <c r="H1250" t="s">
        <v>1804</v>
      </c>
      <c r="I1250" t="s">
        <v>1808</v>
      </c>
      <c r="J1250" s="2">
        <v>45224</v>
      </c>
      <c r="K1250">
        <f t="shared" ca="1" si="38"/>
        <v>2</v>
      </c>
      <c r="L1250">
        <f t="shared" ca="1" si="39"/>
        <v>1</v>
      </c>
      <c r="M1250" t="s">
        <v>1810</v>
      </c>
      <c r="N1250">
        <v>2</v>
      </c>
      <c r="O1250" t="s">
        <v>1814</v>
      </c>
      <c r="P1250" t="s">
        <v>1833</v>
      </c>
    </row>
    <row r="1251" spans="1:16" x14ac:dyDescent="0.3">
      <c r="A1251" t="s">
        <v>1262</v>
      </c>
      <c r="B1251" t="s">
        <v>1746</v>
      </c>
      <c r="C1251">
        <v>20</v>
      </c>
      <c r="D1251" t="s">
        <v>1784</v>
      </c>
      <c r="E1251" t="s">
        <v>1787</v>
      </c>
      <c r="F1251" t="s">
        <v>1796</v>
      </c>
      <c r="G1251" s="5">
        <v>67431</v>
      </c>
      <c r="H1251" t="s">
        <v>1802</v>
      </c>
      <c r="I1251" t="s">
        <v>1808</v>
      </c>
      <c r="J1251" s="2">
        <v>43476</v>
      </c>
      <c r="K1251">
        <f t="shared" ca="1" si="38"/>
        <v>6</v>
      </c>
      <c r="L1251">
        <f t="shared" ca="1" si="39"/>
        <v>10</v>
      </c>
      <c r="M1251" t="s">
        <v>1809</v>
      </c>
      <c r="N1251">
        <v>4</v>
      </c>
      <c r="O1251" t="s">
        <v>1818</v>
      </c>
      <c r="P1251" t="s">
        <v>1832</v>
      </c>
    </row>
    <row r="1252" spans="1:16" x14ac:dyDescent="0.3">
      <c r="A1252" t="s">
        <v>1263</v>
      </c>
      <c r="B1252" t="s">
        <v>1721</v>
      </c>
      <c r="C1252">
        <v>34</v>
      </c>
      <c r="D1252" t="s">
        <v>1783</v>
      </c>
      <c r="E1252" t="s">
        <v>1793</v>
      </c>
      <c r="F1252" t="s">
        <v>1798</v>
      </c>
      <c r="G1252" s="5">
        <v>33109</v>
      </c>
      <c r="H1252" t="s">
        <v>1803</v>
      </c>
      <c r="I1252" t="s">
        <v>1807</v>
      </c>
      <c r="J1252" s="2">
        <v>43189</v>
      </c>
      <c r="K1252">
        <f t="shared" ca="1" si="38"/>
        <v>7</v>
      </c>
      <c r="L1252">
        <f t="shared" ca="1" si="39"/>
        <v>8</v>
      </c>
      <c r="M1252" t="s">
        <v>1810</v>
      </c>
      <c r="N1252">
        <v>2</v>
      </c>
      <c r="O1252" t="s">
        <v>1814</v>
      </c>
      <c r="P1252" t="s">
        <v>1833</v>
      </c>
    </row>
    <row r="1253" spans="1:16" x14ac:dyDescent="0.3">
      <c r="A1253" t="s">
        <v>1264</v>
      </c>
      <c r="B1253" t="s">
        <v>1754</v>
      </c>
      <c r="C1253">
        <v>54</v>
      </c>
      <c r="D1253" t="s">
        <v>1784</v>
      </c>
      <c r="E1253" t="s">
        <v>1788</v>
      </c>
      <c r="F1253" t="s">
        <v>1796</v>
      </c>
      <c r="G1253" s="5">
        <v>92725</v>
      </c>
      <c r="H1253" t="s">
        <v>1801</v>
      </c>
      <c r="I1253" t="s">
        <v>1807</v>
      </c>
      <c r="J1253" s="2">
        <v>44055</v>
      </c>
      <c r="K1253">
        <f t="shared" ca="1" si="38"/>
        <v>5</v>
      </c>
      <c r="L1253">
        <f t="shared" ca="1" si="39"/>
        <v>3</v>
      </c>
      <c r="M1253" t="s">
        <v>1809</v>
      </c>
      <c r="N1253">
        <v>1</v>
      </c>
      <c r="O1253" t="s">
        <v>1812</v>
      </c>
      <c r="P1253" t="s">
        <v>1834</v>
      </c>
    </row>
    <row r="1254" spans="1:16" x14ac:dyDescent="0.3">
      <c r="A1254" t="s">
        <v>1265</v>
      </c>
      <c r="B1254" t="s">
        <v>1732</v>
      </c>
      <c r="C1254">
        <v>53</v>
      </c>
      <c r="D1254" t="s">
        <v>1783</v>
      </c>
      <c r="E1254" t="s">
        <v>1790</v>
      </c>
      <c r="F1254" t="s">
        <v>1797</v>
      </c>
      <c r="G1254" s="5">
        <v>80759</v>
      </c>
      <c r="H1254" t="s">
        <v>1801</v>
      </c>
      <c r="I1254" t="s">
        <v>1807</v>
      </c>
      <c r="J1254" s="2">
        <v>42593</v>
      </c>
      <c r="K1254">
        <f t="shared" ca="1" si="38"/>
        <v>9</v>
      </c>
      <c r="L1254">
        <f t="shared" ca="1" si="39"/>
        <v>3</v>
      </c>
      <c r="M1254" t="s">
        <v>1810</v>
      </c>
      <c r="N1254">
        <v>2</v>
      </c>
      <c r="O1254" t="s">
        <v>1813</v>
      </c>
      <c r="P1254" t="s">
        <v>1834</v>
      </c>
    </row>
    <row r="1255" spans="1:16" x14ac:dyDescent="0.3">
      <c r="A1255" t="s">
        <v>1266</v>
      </c>
      <c r="B1255" t="s">
        <v>1769</v>
      </c>
      <c r="C1255">
        <v>47</v>
      </c>
      <c r="D1255" t="s">
        <v>1785</v>
      </c>
      <c r="E1255" t="s">
        <v>1789</v>
      </c>
      <c r="F1255" t="s">
        <v>1794</v>
      </c>
      <c r="G1255" s="5">
        <v>75423</v>
      </c>
      <c r="H1255" t="s">
        <v>1802</v>
      </c>
      <c r="I1255" t="s">
        <v>1808</v>
      </c>
      <c r="J1255" s="2">
        <v>44883</v>
      </c>
      <c r="K1255">
        <f t="shared" ca="1" si="38"/>
        <v>3</v>
      </c>
      <c r="L1255">
        <f t="shared" ca="1" si="39"/>
        <v>0</v>
      </c>
      <c r="M1255" t="s">
        <v>1809</v>
      </c>
      <c r="N1255">
        <v>5</v>
      </c>
      <c r="O1255" t="s">
        <v>1815</v>
      </c>
      <c r="P1255" t="s">
        <v>1834</v>
      </c>
    </row>
    <row r="1256" spans="1:16" x14ac:dyDescent="0.3">
      <c r="A1256" t="s">
        <v>1267</v>
      </c>
      <c r="B1256" t="s">
        <v>1778</v>
      </c>
      <c r="C1256">
        <v>40</v>
      </c>
      <c r="D1256" t="s">
        <v>1783</v>
      </c>
      <c r="E1256" t="s">
        <v>1792</v>
      </c>
      <c r="F1256" t="s">
        <v>1796</v>
      </c>
      <c r="G1256" s="5">
        <v>38016</v>
      </c>
      <c r="H1256" t="s">
        <v>1804</v>
      </c>
      <c r="I1256" t="s">
        <v>1807</v>
      </c>
      <c r="J1256" s="2">
        <v>43872</v>
      </c>
      <c r="K1256">
        <f t="shared" ca="1" si="38"/>
        <v>5</v>
      </c>
      <c r="L1256">
        <f t="shared" ca="1" si="39"/>
        <v>9</v>
      </c>
      <c r="M1256" t="s">
        <v>1810</v>
      </c>
      <c r="N1256">
        <v>2</v>
      </c>
      <c r="O1256" t="s">
        <v>1818</v>
      </c>
      <c r="P1256" t="s">
        <v>1831</v>
      </c>
    </row>
    <row r="1257" spans="1:16" x14ac:dyDescent="0.3">
      <c r="A1257" t="s">
        <v>1268</v>
      </c>
      <c r="B1257" t="s">
        <v>1723</v>
      </c>
      <c r="C1257">
        <v>29</v>
      </c>
      <c r="D1257" t="s">
        <v>1784</v>
      </c>
      <c r="E1257" t="s">
        <v>1793</v>
      </c>
      <c r="F1257" t="s">
        <v>1798</v>
      </c>
      <c r="G1257" s="5">
        <v>47522</v>
      </c>
      <c r="H1257" t="s">
        <v>1802</v>
      </c>
      <c r="I1257" t="s">
        <v>1808</v>
      </c>
      <c r="J1257" s="2">
        <v>45133</v>
      </c>
      <c r="K1257">
        <f t="shared" ca="1" si="38"/>
        <v>2</v>
      </c>
      <c r="L1257">
        <f t="shared" ca="1" si="39"/>
        <v>4</v>
      </c>
      <c r="M1257" t="s">
        <v>1810</v>
      </c>
      <c r="N1257">
        <v>1</v>
      </c>
      <c r="O1257" t="s">
        <v>1812</v>
      </c>
      <c r="P1257" t="s">
        <v>1833</v>
      </c>
    </row>
    <row r="1258" spans="1:16" x14ac:dyDescent="0.3">
      <c r="A1258" t="s">
        <v>1269</v>
      </c>
      <c r="B1258" t="s">
        <v>1765</v>
      </c>
      <c r="C1258">
        <v>35</v>
      </c>
      <c r="D1258" t="s">
        <v>1785</v>
      </c>
      <c r="E1258" t="s">
        <v>1788</v>
      </c>
      <c r="F1258" t="s">
        <v>1798</v>
      </c>
      <c r="G1258" s="5">
        <v>90987</v>
      </c>
      <c r="H1258" t="s">
        <v>1802</v>
      </c>
      <c r="I1258" t="s">
        <v>1806</v>
      </c>
      <c r="J1258" s="2">
        <v>43738</v>
      </c>
      <c r="K1258">
        <f t="shared" ca="1" si="38"/>
        <v>6</v>
      </c>
      <c r="L1258">
        <f t="shared" ca="1" si="39"/>
        <v>2</v>
      </c>
      <c r="M1258" t="s">
        <v>1809</v>
      </c>
      <c r="N1258">
        <v>1</v>
      </c>
      <c r="O1258" t="s">
        <v>1813</v>
      </c>
      <c r="P1258" t="s">
        <v>1833</v>
      </c>
    </row>
    <row r="1259" spans="1:16" x14ac:dyDescent="0.3">
      <c r="A1259" t="s">
        <v>1270</v>
      </c>
      <c r="B1259" t="s">
        <v>1744</v>
      </c>
      <c r="C1259">
        <v>54</v>
      </c>
      <c r="D1259" t="s">
        <v>1783</v>
      </c>
      <c r="E1259" t="s">
        <v>1791</v>
      </c>
      <c r="F1259" t="s">
        <v>1796</v>
      </c>
      <c r="G1259" s="5">
        <v>112906</v>
      </c>
      <c r="H1259" t="s">
        <v>1804</v>
      </c>
      <c r="I1259" t="s">
        <v>1807</v>
      </c>
      <c r="J1259" s="2">
        <v>43025</v>
      </c>
      <c r="K1259">
        <f t="shared" ca="1" si="38"/>
        <v>8</v>
      </c>
      <c r="L1259">
        <f t="shared" ca="1" si="39"/>
        <v>1</v>
      </c>
      <c r="M1259" t="s">
        <v>1809</v>
      </c>
      <c r="N1259">
        <v>2</v>
      </c>
      <c r="O1259" t="s">
        <v>1818</v>
      </c>
      <c r="P1259" t="s">
        <v>1834</v>
      </c>
    </row>
    <row r="1260" spans="1:16" x14ac:dyDescent="0.3">
      <c r="A1260" t="s">
        <v>1271</v>
      </c>
      <c r="B1260" t="s">
        <v>1716</v>
      </c>
      <c r="C1260">
        <v>56</v>
      </c>
      <c r="D1260" t="s">
        <v>1783</v>
      </c>
      <c r="E1260" t="s">
        <v>1787</v>
      </c>
      <c r="F1260" t="s">
        <v>1795</v>
      </c>
      <c r="G1260" s="5">
        <v>118754</v>
      </c>
      <c r="H1260" t="s">
        <v>1801</v>
      </c>
      <c r="I1260" t="s">
        <v>1807</v>
      </c>
      <c r="J1260" s="2">
        <v>45559</v>
      </c>
      <c r="K1260">
        <f t="shared" ca="1" si="38"/>
        <v>1</v>
      </c>
      <c r="L1260">
        <f t="shared" ca="1" si="39"/>
        <v>2</v>
      </c>
      <c r="M1260" t="s">
        <v>1809</v>
      </c>
      <c r="N1260">
        <v>5</v>
      </c>
      <c r="O1260" t="s">
        <v>1813</v>
      </c>
      <c r="P1260" t="s">
        <v>1834</v>
      </c>
    </row>
    <row r="1261" spans="1:16" x14ac:dyDescent="0.3">
      <c r="A1261" t="s">
        <v>1272</v>
      </c>
      <c r="B1261" t="s">
        <v>1733</v>
      </c>
      <c r="C1261">
        <v>50</v>
      </c>
      <c r="D1261" t="s">
        <v>1785</v>
      </c>
      <c r="E1261" t="s">
        <v>1787</v>
      </c>
      <c r="F1261" t="s">
        <v>1794</v>
      </c>
      <c r="G1261" s="5">
        <v>55023</v>
      </c>
      <c r="H1261" t="s">
        <v>1805</v>
      </c>
      <c r="I1261" t="s">
        <v>1808</v>
      </c>
      <c r="J1261" s="2">
        <v>44279</v>
      </c>
      <c r="K1261">
        <f t="shared" ca="1" si="38"/>
        <v>4</v>
      </c>
      <c r="L1261">
        <f t="shared" ca="1" si="39"/>
        <v>8</v>
      </c>
      <c r="M1261" t="s">
        <v>1809</v>
      </c>
      <c r="N1261">
        <v>4</v>
      </c>
      <c r="O1261" t="s">
        <v>1814</v>
      </c>
      <c r="P1261" t="s">
        <v>1834</v>
      </c>
    </row>
    <row r="1262" spans="1:16" x14ac:dyDescent="0.3">
      <c r="A1262" t="s">
        <v>1273</v>
      </c>
      <c r="B1262" t="s">
        <v>1758</v>
      </c>
      <c r="C1262">
        <v>49</v>
      </c>
      <c r="D1262" t="s">
        <v>1784</v>
      </c>
      <c r="E1262" t="s">
        <v>1791</v>
      </c>
      <c r="F1262" t="s">
        <v>1795</v>
      </c>
      <c r="G1262" s="5">
        <v>77535</v>
      </c>
      <c r="H1262" t="s">
        <v>1804</v>
      </c>
      <c r="I1262" t="s">
        <v>1807</v>
      </c>
      <c r="J1262" s="2">
        <v>43029</v>
      </c>
      <c r="K1262">
        <f t="shared" ca="1" si="38"/>
        <v>8</v>
      </c>
      <c r="L1262">
        <f t="shared" ca="1" si="39"/>
        <v>1</v>
      </c>
      <c r="M1262" t="s">
        <v>1810</v>
      </c>
      <c r="N1262">
        <v>2</v>
      </c>
      <c r="O1262" t="s">
        <v>1811</v>
      </c>
      <c r="P1262" t="s">
        <v>1834</v>
      </c>
    </row>
    <row r="1263" spans="1:16" x14ac:dyDescent="0.3">
      <c r="A1263" t="s">
        <v>1274</v>
      </c>
      <c r="B1263" t="s">
        <v>1734</v>
      </c>
      <c r="C1263">
        <v>43</v>
      </c>
      <c r="D1263" t="s">
        <v>1785</v>
      </c>
      <c r="E1263" t="s">
        <v>1792</v>
      </c>
      <c r="F1263" t="s">
        <v>1799</v>
      </c>
      <c r="G1263" s="5">
        <v>74588</v>
      </c>
      <c r="H1263" t="s">
        <v>1804</v>
      </c>
      <c r="I1263" t="s">
        <v>1807</v>
      </c>
      <c r="J1263" s="2">
        <v>42612</v>
      </c>
      <c r="K1263">
        <f t="shared" ca="1" si="38"/>
        <v>9</v>
      </c>
      <c r="L1263">
        <f t="shared" ca="1" si="39"/>
        <v>3</v>
      </c>
      <c r="M1263" t="s">
        <v>1810</v>
      </c>
      <c r="N1263">
        <v>4</v>
      </c>
      <c r="O1263" t="s">
        <v>1815</v>
      </c>
      <c r="P1263" t="s">
        <v>1831</v>
      </c>
    </row>
    <row r="1264" spans="1:16" x14ac:dyDescent="0.3">
      <c r="A1264" t="s">
        <v>1275</v>
      </c>
      <c r="B1264" t="s">
        <v>1782</v>
      </c>
      <c r="C1264">
        <v>42</v>
      </c>
      <c r="D1264" t="s">
        <v>1783</v>
      </c>
      <c r="E1264" t="s">
        <v>1787</v>
      </c>
      <c r="F1264" t="s">
        <v>1800</v>
      </c>
      <c r="G1264" s="5">
        <v>73199</v>
      </c>
      <c r="H1264" t="s">
        <v>1803</v>
      </c>
      <c r="I1264" t="s">
        <v>1806</v>
      </c>
      <c r="J1264" s="2">
        <v>44290</v>
      </c>
      <c r="K1264">
        <f t="shared" ca="1" si="38"/>
        <v>4</v>
      </c>
      <c r="L1264">
        <f t="shared" ca="1" si="39"/>
        <v>8</v>
      </c>
      <c r="M1264" t="s">
        <v>1810</v>
      </c>
      <c r="N1264">
        <v>4</v>
      </c>
      <c r="O1264" t="s">
        <v>1812</v>
      </c>
      <c r="P1264" t="s">
        <v>1831</v>
      </c>
    </row>
    <row r="1265" spans="1:16" x14ac:dyDescent="0.3">
      <c r="A1265" t="s">
        <v>1276</v>
      </c>
      <c r="B1265" t="s">
        <v>1775</v>
      </c>
      <c r="C1265">
        <v>40</v>
      </c>
      <c r="D1265" t="s">
        <v>1785</v>
      </c>
      <c r="E1265" t="s">
        <v>1787</v>
      </c>
      <c r="F1265" t="s">
        <v>1794</v>
      </c>
      <c r="G1265" s="5">
        <v>35447</v>
      </c>
      <c r="H1265" t="s">
        <v>1805</v>
      </c>
      <c r="I1265" t="s">
        <v>1807</v>
      </c>
      <c r="J1265" s="2">
        <v>43445</v>
      </c>
      <c r="K1265">
        <f t="shared" ca="1" si="38"/>
        <v>7</v>
      </c>
      <c r="L1265">
        <f t="shared" ca="1" si="39"/>
        <v>11</v>
      </c>
      <c r="M1265" t="s">
        <v>1809</v>
      </c>
      <c r="N1265">
        <v>2</v>
      </c>
      <c r="O1265" t="s">
        <v>1815</v>
      </c>
      <c r="P1265" t="s">
        <v>1831</v>
      </c>
    </row>
    <row r="1266" spans="1:16" x14ac:dyDescent="0.3">
      <c r="A1266" t="s">
        <v>1277</v>
      </c>
      <c r="B1266" t="s">
        <v>1715</v>
      </c>
      <c r="C1266">
        <v>49</v>
      </c>
      <c r="D1266" t="s">
        <v>1785</v>
      </c>
      <c r="E1266" t="s">
        <v>1787</v>
      </c>
      <c r="F1266" t="s">
        <v>1794</v>
      </c>
      <c r="G1266" s="5">
        <v>67127</v>
      </c>
      <c r="H1266" t="s">
        <v>1804</v>
      </c>
      <c r="I1266" t="s">
        <v>1807</v>
      </c>
      <c r="J1266" s="2">
        <v>44047</v>
      </c>
      <c r="K1266">
        <f t="shared" ca="1" si="38"/>
        <v>5</v>
      </c>
      <c r="L1266">
        <f t="shared" ca="1" si="39"/>
        <v>4</v>
      </c>
      <c r="M1266" t="s">
        <v>1809</v>
      </c>
      <c r="N1266">
        <v>4</v>
      </c>
      <c r="O1266" t="s">
        <v>1813</v>
      </c>
      <c r="P1266" t="s">
        <v>1834</v>
      </c>
    </row>
    <row r="1267" spans="1:16" x14ac:dyDescent="0.3">
      <c r="A1267" t="s">
        <v>1278</v>
      </c>
      <c r="B1267" t="s">
        <v>1719</v>
      </c>
      <c r="C1267">
        <v>48</v>
      </c>
      <c r="D1267" t="s">
        <v>1784</v>
      </c>
      <c r="E1267" t="s">
        <v>1787</v>
      </c>
      <c r="F1267" t="s">
        <v>1798</v>
      </c>
      <c r="G1267" s="5">
        <v>24669</v>
      </c>
      <c r="H1267" t="s">
        <v>1802</v>
      </c>
      <c r="I1267" t="s">
        <v>1808</v>
      </c>
      <c r="J1267" s="2">
        <v>44697</v>
      </c>
      <c r="K1267">
        <f t="shared" ca="1" si="38"/>
        <v>3</v>
      </c>
      <c r="L1267">
        <f t="shared" ca="1" si="39"/>
        <v>6</v>
      </c>
      <c r="M1267" t="s">
        <v>1809</v>
      </c>
      <c r="N1267">
        <v>4</v>
      </c>
      <c r="O1267" t="s">
        <v>1811</v>
      </c>
      <c r="P1267" t="s">
        <v>1834</v>
      </c>
    </row>
    <row r="1268" spans="1:16" x14ac:dyDescent="0.3">
      <c r="A1268" t="s">
        <v>1279</v>
      </c>
      <c r="B1268" t="s">
        <v>1781</v>
      </c>
      <c r="C1268">
        <v>21</v>
      </c>
      <c r="D1268" t="s">
        <v>1785</v>
      </c>
      <c r="E1268" t="s">
        <v>1786</v>
      </c>
      <c r="F1268" t="s">
        <v>1795</v>
      </c>
      <c r="G1268" s="5">
        <v>68589</v>
      </c>
      <c r="H1268" t="s">
        <v>1802</v>
      </c>
      <c r="I1268" t="s">
        <v>1808</v>
      </c>
      <c r="J1268" s="2">
        <v>45493</v>
      </c>
      <c r="K1268">
        <f t="shared" ca="1" si="38"/>
        <v>1</v>
      </c>
      <c r="L1268">
        <f t="shared" ca="1" si="39"/>
        <v>4</v>
      </c>
      <c r="M1268" t="s">
        <v>1809</v>
      </c>
      <c r="N1268">
        <v>4</v>
      </c>
      <c r="O1268" t="s">
        <v>1815</v>
      </c>
      <c r="P1268" t="s">
        <v>1832</v>
      </c>
    </row>
    <row r="1269" spans="1:16" x14ac:dyDescent="0.3">
      <c r="A1269" t="s">
        <v>1280</v>
      </c>
      <c r="B1269" t="s">
        <v>1781</v>
      </c>
      <c r="C1269">
        <v>40</v>
      </c>
      <c r="D1269" t="s">
        <v>1784</v>
      </c>
      <c r="E1269" t="s">
        <v>1786</v>
      </c>
      <c r="F1269" t="s">
        <v>1798</v>
      </c>
      <c r="G1269" s="5">
        <v>114792</v>
      </c>
      <c r="H1269" t="s">
        <v>1803</v>
      </c>
      <c r="I1269" t="s">
        <v>1808</v>
      </c>
      <c r="J1269" s="2">
        <v>44938</v>
      </c>
      <c r="K1269">
        <f t="shared" ca="1" si="38"/>
        <v>2</v>
      </c>
      <c r="L1269">
        <f t="shared" ca="1" si="39"/>
        <v>10</v>
      </c>
      <c r="M1269" t="s">
        <v>1809</v>
      </c>
      <c r="N1269">
        <v>1</v>
      </c>
      <c r="O1269" t="s">
        <v>1813</v>
      </c>
      <c r="P1269" t="s">
        <v>1831</v>
      </c>
    </row>
    <row r="1270" spans="1:16" x14ac:dyDescent="0.3">
      <c r="A1270" t="s">
        <v>1281</v>
      </c>
      <c r="B1270" t="s">
        <v>1713</v>
      </c>
      <c r="C1270">
        <v>20</v>
      </c>
      <c r="D1270" t="s">
        <v>1783</v>
      </c>
      <c r="E1270" t="s">
        <v>1789</v>
      </c>
      <c r="F1270" t="s">
        <v>1796</v>
      </c>
      <c r="G1270" s="5">
        <v>29789</v>
      </c>
      <c r="H1270" t="s">
        <v>1804</v>
      </c>
      <c r="I1270" t="s">
        <v>1807</v>
      </c>
      <c r="J1270" s="2">
        <v>45483</v>
      </c>
      <c r="K1270">
        <f t="shared" ca="1" si="38"/>
        <v>1</v>
      </c>
      <c r="L1270">
        <f t="shared" ca="1" si="39"/>
        <v>5</v>
      </c>
      <c r="M1270" t="s">
        <v>1809</v>
      </c>
      <c r="N1270">
        <v>2</v>
      </c>
      <c r="O1270" t="s">
        <v>1814</v>
      </c>
      <c r="P1270" t="s">
        <v>1832</v>
      </c>
    </row>
    <row r="1271" spans="1:16" x14ac:dyDescent="0.3">
      <c r="A1271" t="s">
        <v>1282</v>
      </c>
      <c r="B1271" t="s">
        <v>1757</v>
      </c>
      <c r="C1271">
        <v>40</v>
      </c>
      <c r="D1271" t="s">
        <v>1785</v>
      </c>
      <c r="E1271" t="s">
        <v>1790</v>
      </c>
      <c r="F1271" t="s">
        <v>1796</v>
      </c>
      <c r="G1271" s="5">
        <v>80270</v>
      </c>
      <c r="H1271" t="s">
        <v>1802</v>
      </c>
      <c r="I1271" t="s">
        <v>1808</v>
      </c>
      <c r="J1271" s="2">
        <v>43680</v>
      </c>
      <c r="K1271">
        <f t="shared" ca="1" si="38"/>
        <v>6</v>
      </c>
      <c r="L1271">
        <f t="shared" ca="1" si="39"/>
        <v>4</v>
      </c>
      <c r="M1271" t="s">
        <v>1809</v>
      </c>
      <c r="N1271">
        <v>5</v>
      </c>
      <c r="O1271" t="s">
        <v>1816</v>
      </c>
      <c r="P1271" t="s">
        <v>1831</v>
      </c>
    </row>
    <row r="1272" spans="1:16" x14ac:dyDescent="0.3">
      <c r="A1272" t="s">
        <v>1283</v>
      </c>
      <c r="B1272" t="s">
        <v>1776</v>
      </c>
      <c r="C1272">
        <v>46</v>
      </c>
      <c r="D1272" t="s">
        <v>1783</v>
      </c>
      <c r="E1272" t="s">
        <v>1787</v>
      </c>
      <c r="F1272" t="s">
        <v>1795</v>
      </c>
      <c r="G1272" s="5">
        <v>38746</v>
      </c>
      <c r="H1272" t="s">
        <v>1805</v>
      </c>
      <c r="I1272" t="s">
        <v>1806</v>
      </c>
      <c r="J1272" s="2">
        <v>44361</v>
      </c>
      <c r="K1272">
        <f t="shared" ca="1" si="38"/>
        <v>4</v>
      </c>
      <c r="L1272">
        <f t="shared" ca="1" si="39"/>
        <v>5</v>
      </c>
      <c r="M1272" t="s">
        <v>1810</v>
      </c>
      <c r="N1272">
        <v>2</v>
      </c>
      <c r="O1272" t="s">
        <v>1813</v>
      </c>
      <c r="P1272" t="s">
        <v>1834</v>
      </c>
    </row>
    <row r="1273" spans="1:16" x14ac:dyDescent="0.3">
      <c r="A1273" t="s">
        <v>1284</v>
      </c>
      <c r="B1273" t="s">
        <v>1781</v>
      </c>
      <c r="C1273">
        <v>26</v>
      </c>
      <c r="D1273" t="s">
        <v>1783</v>
      </c>
      <c r="E1273" t="s">
        <v>1791</v>
      </c>
      <c r="F1273" t="s">
        <v>1800</v>
      </c>
      <c r="G1273" s="5">
        <v>67931</v>
      </c>
      <c r="H1273" t="s">
        <v>1803</v>
      </c>
      <c r="I1273" t="s">
        <v>1808</v>
      </c>
      <c r="J1273" s="2">
        <v>43136</v>
      </c>
      <c r="K1273">
        <f t="shared" ca="1" si="38"/>
        <v>7</v>
      </c>
      <c r="L1273">
        <f t="shared" ca="1" si="39"/>
        <v>10</v>
      </c>
      <c r="M1273" t="s">
        <v>1809</v>
      </c>
      <c r="N1273">
        <v>5</v>
      </c>
      <c r="O1273" t="s">
        <v>1817</v>
      </c>
      <c r="P1273" t="s">
        <v>1833</v>
      </c>
    </row>
    <row r="1274" spans="1:16" x14ac:dyDescent="0.3">
      <c r="A1274" t="s">
        <v>1285</v>
      </c>
      <c r="B1274" t="s">
        <v>1773</v>
      </c>
      <c r="C1274">
        <v>56</v>
      </c>
      <c r="D1274" t="s">
        <v>1783</v>
      </c>
      <c r="E1274" t="s">
        <v>1790</v>
      </c>
      <c r="F1274" t="s">
        <v>1800</v>
      </c>
      <c r="G1274" s="5">
        <v>20602</v>
      </c>
      <c r="H1274" t="s">
        <v>1805</v>
      </c>
      <c r="I1274" t="s">
        <v>1808</v>
      </c>
      <c r="J1274" s="2">
        <v>43829</v>
      </c>
      <c r="K1274">
        <f t="shared" ca="1" si="38"/>
        <v>6</v>
      </c>
      <c r="L1274">
        <f t="shared" ca="1" si="39"/>
        <v>11</v>
      </c>
      <c r="M1274" t="s">
        <v>1809</v>
      </c>
      <c r="N1274">
        <v>3</v>
      </c>
      <c r="O1274" t="s">
        <v>1813</v>
      </c>
      <c r="P1274" t="s">
        <v>1834</v>
      </c>
    </row>
    <row r="1275" spans="1:16" x14ac:dyDescent="0.3">
      <c r="A1275" t="s">
        <v>1286</v>
      </c>
      <c r="B1275" t="s">
        <v>1776</v>
      </c>
      <c r="C1275">
        <v>39</v>
      </c>
      <c r="D1275" t="s">
        <v>1785</v>
      </c>
      <c r="E1275" t="s">
        <v>1787</v>
      </c>
      <c r="F1275" t="s">
        <v>1797</v>
      </c>
      <c r="G1275" s="5">
        <v>37593</v>
      </c>
      <c r="H1275" t="s">
        <v>1802</v>
      </c>
      <c r="I1275" t="s">
        <v>1806</v>
      </c>
      <c r="J1275" s="2">
        <v>43751</v>
      </c>
      <c r="K1275">
        <f t="shared" ca="1" si="38"/>
        <v>6</v>
      </c>
      <c r="L1275">
        <f t="shared" ca="1" si="39"/>
        <v>1</v>
      </c>
      <c r="M1275" t="s">
        <v>1810</v>
      </c>
      <c r="N1275">
        <v>1</v>
      </c>
      <c r="O1275" t="s">
        <v>1817</v>
      </c>
      <c r="P1275" t="s">
        <v>1831</v>
      </c>
    </row>
    <row r="1276" spans="1:16" x14ac:dyDescent="0.3">
      <c r="A1276" t="s">
        <v>1287</v>
      </c>
      <c r="B1276" t="s">
        <v>1717</v>
      </c>
      <c r="C1276">
        <v>51</v>
      </c>
      <c r="D1276" t="s">
        <v>1783</v>
      </c>
      <c r="E1276" t="s">
        <v>1787</v>
      </c>
      <c r="F1276" t="s">
        <v>1796</v>
      </c>
      <c r="G1276" s="5">
        <v>40159</v>
      </c>
      <c r="H1276" t="s">
        <v>1804</v>
      </c>
      <c r="I1276" t="s">
        <v>1807</v>
      </c>
      <c r="J1276" s="2">
        <v>44540</v>
      </c>
      <c r="K1276">
        <f t="shared" ca="1" si="38"/>
        <v>4</v>
      </c>
      <c r="L1276">
        <f t="shared" ca="1" si="39"/>
        <v>0</v>
      </c>
      <c r="M1276" t="s">
        <v>1810</v>
      </c>
      <c r="N1276">
        <v>5</v>
      </c>
      <c r="O1276" t="s">
        <v>1818</v>
      </c>
      <c r="P1276" t="s">
        <v>1834</v>
      </c>
    </row>
    <row r="1277" spans="1:16" x14ac:dyDescent="0.3">
      <c r="A1277" t="s">
        <v>1288</v>
      </c>
      <c r="B1277" t="s">
        <v>1737</v>
      </c>
      <c r="C1277">
        <v>30</v>
      </c>
      <c r="D1277" t="s">
        <v>1783</v>
      </c>
      <c r="E1277" t="s">
        <v>1786</v>
      </c>
      <c r="F1277" t="s">
        <v>1796</v>
      </c>
      <c r="G1277" s="5">
        <v>109817</v>
      </c>
      <c r="H1277" t="s">
        <v>1804</v>
      </c>
      <c r="I1277" t="s">
        <v>1808</v>
      </c>
      <c r="J1277" s="2">
        <v>44211</v>
      </c>
      <c r="K1277">
        <f t="shared" ca="1" si="38"/>
        <v>4</v>
      </c>
      <c r="L1277">
        <f t="shared" ca="1" si="39"/>
        <v>10</v>
      </c>
      <c r="M1277" t="s">
        <v>1810</v>
      </c>
      <c r="N1277">
        <v>1</v>
      </c>
      <c r="O1277" t="s">
        <v>1814</v>
      </c>
      <c r="P1277" t="s">
        <v>1833</v>
      </c>
    </row>
    <row r="1278" spans="1:16" x14ac:dyDescent="0.3">
      <c r="A1278" t="s">
        <v>1289</v>
      </c>
      <c r="B1278" t="s">
        <v>1747</v>
      </c>
      <c r="C1278">
        <v>25</v>
      </c>
      <c r="D1278" t="s">
        <v>1784</v>
      </c>
      <c r="E1278" t="s">
        <v>1792</v>
      </c>
      <c r="F1278" t="s">
        <v>1799</v>
      </c>
      <c r="G1278" s="5">
        <v>35124</v>
      </c>
      <c r="H1278" t="s">
        <v>1805</v>
      </c>
      <c r="I1278" t="s">
        <v>1807</v>
      </c>
      <c r="J1278" s="2">
        <v>45447</v>
      </c>
      <c r="K1278">
        <f t="shared" ca="1" si="38"/>
        <v>1</v>
      </c>
      <c r="L1278">
        <f t="shared" ca="1" si="39"/>
        <v>6</v>
      </c>
      <c r="M1278" t="s">
        <v>1809</v>
      </c>
      <c r="N1278">
        <v>3</v>
      </c>
      <c r="O1278" t="s">
        <v>1811</v>
      </c>
      <c r="P1278" t="s">
        <v>1832</v>
      </c>
    </row>
    <row r="1279" spans="1:16" x14ac:dyDescent="0.3">
      <c r="A1279" t="s">
        <v>1290</v>
      </c>
      <c r="B1279" t="s">
        <v>1743</v>
      </c>
      <c r="C1279">
        <v>44</v>
      </c>
      <c r="D1279" t="s">
        <v>1784</v>
      </c>
      <c r="E1279" t="s">
        <v>1792</v>
      </c>
      <c r="F1279" t="s">
        <v>1794</v>
      </c>
      <c r="G1279" s="5">
        <v>109132</v>
      </c>
      <c r="H1279" t="s">
        <v>1804</v>
      </c>
      <c r="I1279" t="s">
        <v>1806</v>
      </c>
      <c r="J1279" s="2">
        <v>43974</v>
      </c>
      <c r="K1279">
        <f t="shared" ca="1" si="38"/>
        <v>5</v>
      </c>
      <c r="L1279">
        <f t="shared" ca="1" si="39"/>
        <v>6</v>
      </c>
      <c r="M1279" t="s">
        <v>1810</v>
      </c>
      <c r="N1279">
        <v>3</v>
      </c>
      <c r="O1279" t="s">
        <v>1811</v>
      </c>
      <c r="P1279" t="s">
        <v>1831</v>
      </c>
    </row>
    <row r="1280" spans="1:16" x14ac:dyDescent="0.3">
      <c r="A1280" t="s">
        <v>1291</v>
      </c>
      <c r="B1280" t="s">
        <v>1746</v>
      </c>
      <c r="C1280">
        <v>41</v>
      </c>
      <c r="D1280" t="s">
        <v>1783</v>
      </c>
      <c r="E1280" t="s">
        <v>1789</v>
      </c>
      <c r="F1280" t="s">
        <v>1796</v>
      </c>
      <c r="G1280" s="5">
        <v>112256</v>
      </c>
      <c r="H1280" t="s">
        <v>1805</v>
      </c>
      <c r="I1280" t="s">
        <v>1807</v>
      </c>
      <c r="J1280" s="2">
        <v>44440</v>
      </c>
      <c r="K1280">
        <f t="shared" ca="1" si="38"/>
        <v>4</v>
      </c>
      <c r="L1280">
        <f t="shared" ca="1" si="39"/>
        <v>3</v>
      </c>
      <c r="M1280" t="s">
        <v>1810</v>
      </c>
      <c r="N1280">
        <v>3</v>
      </c>
      <c r="O1280" t="s">
        <v>1813</v>
      </c>
      <c r="P1280" t="s">
        <v>1831</v>
      </c>
    </row>
    <row r="1281" spans="1:16" x14ac:dyDescent="0.3">
      <c r="A1281" t="s">
        <v>1292</v>
      </c>
      <c r="B1281" t="s">
        <v>1747</v>
      </c>
      <c r="C1281">
        <v>25</v>
      </c>
      <c r="D1281" t="s">
        <v>1785</v>
      </c>
      <c r="E1281" t="s">
        <v>1789</v>
      </c>
      <c r="F1281" t="s">
        <v>1797</v>
      </c>
      <c r="G1281" s="5">
        <v>84688</v>
      </c>
      <c r="H1281" t="s">
        <v>1801</v>
      </c>
      <c r="I1281" t="s">
        <v>1807</v>
      </c>
      <c r="J1281" s="2">
        <v>45740</v>
      </c>
      <c r="K1281">
        <f t="shared" ca="1" si="38"/>
        <v>0</v>
      </c>
      <c r="L1281">
        <f t="shared" ca="1" si="39"/>
        <v>8</v>
      </c>
      <c r="M1281" t="s">
        <v>1809</v>
      </c>
      <c r="N1281">
        <v>2</v>
      </c>
      <c r="O1281" t="s">
        <v>1813</v>
      </c>
      <c r="P1281" t="s">
        <v>1832</v>
      </c>
    </row>
    <row r="1282" spans="1:16" x14ac:dyDescent="0.3">
      <c r="A1282" t="s">
        <v>1293</v>
      </c>
      <c r="B1282" t="s">
        <v>1738</v>
      </c>
      <c r="C1282">
        <v>24</v>
      </c>
      <c r="D1282" t="s">
        <v>1783</v>
      </c>
      <c r="E1282" t="s">
        <v>1786</v>
      </c>
      <c r="F1282" t="s">
        <v>1799</v>
      </c>
      <c r="G1282" s="5">
        <v>29453</v>
      </c>
      <c r="H1282" t="s">
        <v>1801</v>
      </c>
      <c r="I1282" t="s">
        <v>1807</v>
      </c>
      <c r="J1282" s="2">
        <v>45399</v>
      </c>
      <c r="K1282">
        <f t="shared" ca="1" si="38"/>
        <v>1</v>
      </c>
      <c r="L1282">
        <f t="shared" ca="1" si="39"/>
        <v>7</v>
      </c>
      <c r="M1282" t="s">
        <v>1809</v>
      </c>
      <c r="N1282">
        <v>3</v>
      </c>
      <c r="O1282" t="s">
        <v>1813</v>
      </c>
      <c r="P1282" t="s">
        <v>1832</v>
      </c>
    </row>
    <row r="1283" spans="1:16" x14ac:dyDescent="0.3">
      <c r="A1283" t="s">
        <v>1294</v>
      </c>
      <c r="B1283" t="s">
        <v>1772</v>
      </c>
      <c r="C1283">
        <v>49</v>
      </c>
      <c r="D1283" t="s">
        <v>1785</v>
      </c>
      <c r="E1283" t="s">
        <v>1789</v>
      </c>
      <c r="F1283" t="s">
        <v>1797</v>
      </c>
      <c r="G1283" s="5">
        <v>105154</v>
      </c>
      <c r="H1283" t="s">
        <v>1805</v>
      </c>
      <c r="I1283" t="s">
        <v>1807</v>
      </c>
      <c r="J1283" s="2">
        <v>42668</v>
      </c>
      <c r="K1283">
        <f t="shared" ref="K1283:K1346" ca="1" si="40">YEAR(TODAY()) - YEAR(J1283)</f>
        <v>9</v>
      </c>
      <c r="L1283">
        <f t="shared" ref="L1283:L1346" ca="1" si="41">DATEDIF(J1283,TODAY(),"YM")</f>
        <v>1</v>
      </c>
      <c r="M1283" t="s">
        <v>1809</v>
      </c>
      <c r="N1283">
        <v>2</v>
      </c>
      <c r="O1283" t="s">
        <v>1813</v>
      </c>
      <c r="P1283" t="s">
        <v>1834</v>
      </c>
    </row>
    <row r="1284" spans="1:16" x14ac:dyDescent="0.3">
      <c r="A1284" t="s">
        <v>1295</v>
      </c>
      <c r="B1284" t="s">
        <v>1761</v>
      </c>
      <c r="C1284">
        <v>25</v>
      </c>
      <c r="D1284" t="s">
        <v>1783</v>
      </c>
      <c r="E1284" t="s">
        <v>1787</v>
      </c>
      <c r="F1284" t="s">
        <v>1798</v>
      </c>
      <c r="G1284" s="5">
        <v>107863</v>
      </c>
      <c r="H1284" t="s">
        <v>1802</v>
      </c>
      <c r="I1284" t="s">
        <v>1807</v>
      </c>
      <c r="J1284" s="2">
        <v>45374</v>
      </c>
      <c r="K1284">
        <f t="shared" ca="1" si="40"/>
        <v>1</v>
      </c>
      <c r="L1284">
        <f t="shared" ca="1" si="41"/>
        <v>8</v>
      </c>
      <c r="M1284" t="s">
        <v>1809</v>
      </c>
      <c r="N1284">
        <v>4</v>
      </c>
      <c r="O1284" t="s">
        <v>1817</v>
      </c>
      <c r="P1284" t="s">
        <v>1832</v>
      </c>
    </row>
    <row r="1285" spans="1:16" x14ac:dyDescent="0.3">
      <c r="A1285" t="s">
        <v>1296</v>
      </c>
      <c r="B1285" t="s">
        <v>1756</v>
      </c>
      <c r="C1285">
        <v>50</v>
      </c>
      <c r="D1285" t="s">
        <v>1783</v>
      </c>
      <c r="E1285" t="s">
        <v>1790</v>
      </c>
      <c r="F1285" t="s">
        <v>1794</v>
      </c>
      <c r="G1285" s="5">
        <v>97358</v>
      </c>
      <c r="H1285" t="s">
        <v>1802</v>
      </c>
      <c r="I1285" t="s">
        <v>1808</v>
      </c>
      <c r="J1285" s="2">
        <v>43617</v>
      </c>
      <c r="K1285">
        <f t="shared" ca="1" si="40"/>
        <v>6</v>
      </c>
      <c r="L1285">
        <f t="shared" ca="1" si="41"/>
        <v>6</v>
      </c>
      <c r="M1285" t="s">
        <v>1809</v>
      </c>
      <c r="N1285">
        <v>4</v>
      </c>
      <c r="O1285" t="s">
        <v>1816</v>
      </c>
      <c r="P1285" t="s">
        <v>1834</v>
      </c>
    </row>
    <row r="1286" spans="1:16" x14ac:dyDescent="0.3">
      <c r="A1286" t="s">
        <v>1297</v>
      </c>
      <c r="B1286" t="s">
        <v>1764</v>
      </c>
      <c r="C1286">
        <v>25</v>
      </c>
      <c r="D1286" t="s">
        <v>1783</v>
      </c>
      <c r="E1286" t="s">
        <v>1786</v>
      </c>
      <c r="F1286" t="s">
        <v>1798</v>
      </c>
      <c r="G1286" s="5">
        <v>52506</v>
      </c>
      <c r="H1286" t="s">
        <v>1805</v>
      </c>
      <c r="I1286" t="s">
        <v>1806</v>
      </c>
      <c r="J1286" s="2">
        <v>43213</v>
      </c>
      <c r="K1286">
        <f t="shared" ca="1" si="40"/>
        <v>7</v>
      </c>
      <c r="L1286">
        <f t="shared" ca="1" si="41"/>
        <v>7</v>
      </c>
      <c r="M1286" t="s">
        <v>1809</v>
      </c>
      <c r="N1286">
        <v>1</v>
      </c>
      <c r="O1286" t="s">
        <v>1815</v>
      </c>
      <c r="P1286" t="s">
        <v>1832</v>
      </c>
    </row>
    <row r="1287" spans="1:16" x14ac:dyDescent="0.3">
      <c r="A1287" t="s">
        <v>1298</v>
      </c>
      <c r="B1287" t="s">
        <v>1751</v>
      </c>
      <c r="C1287">
        <v>40</v>
      </c>
      <c r="D1287" t="s">
        <v>1783</v>
      </c>
      <c r="E1287" t="s">
        <v>1791</v>
      </c>
      <c r="F1287" t="s">
        <v>1794</v>
      </c>
      <c r="G1287" s="5">
        <v>69729</v>
      </c>
      <c r="H1287" t="s">
        <v>1805</v>
      </c>
      <c r="I1287" t="s">
        <v>1808</v>
      </c>
      <c r="J1287" s="2">
        <v>44901</v>
      </c>
      <c r="K1287">
        <f t="shared" ca="1" si="40"/>
        <v>3</v>
      </c>
      <c r="L1287">
        <f t="shared" ca="1" si="41"/>
        <v>0</v>
      </c>
      <c r="M1287" t="s">
        <v>1810</v>
      </c>
      <c r="N1287">
        <v>5</v>
      </c>
      <c r="O1287" t="s">
        <v>1814</v>
      </c>
      <c r="P1287" t="s">
        <v>1831</v>
      </c>
    </row>
    <row r="1288" spans="1:16" x14ac:dyDescent="0.3">
      <c r="A1288" t="s">
        <v>1299</v>
      </c>
      <c r="B1288" t="s">
        <v>1743</v>
      </c>
      <c r="C1288">
        <v>36</v>
      </c>
      <c r="D1288" t="s">
        <v>1784</v>
      </c>
      <c r="E1288" t="s">
        <v>1786</v>
      </c>
      <c r="F1288" t="s">
        <v>1797</v>
      </c>
      <c r="G1288" s="5">
        <v>87540</v>
      </c>
      <c r="H1288" t="s">
        <v>1804</v>
      </c>
      <c r="I1288" t="s">
        <v>1808</v>
      </c>
      <c r="J1288" s="2">
        <v>45527</v>
      </c>
      <c r="K1288">
        <f t="shared" ca="1" si="40"/>
        <v>1</v>
      </c>
      <c r="L1288">
        <f t="shared" ca="1" si="41"/>
        <v>3</v>
      </c>
      <c r="M1288" t="s">
        <v>1809</v>
      </c>
      <c r="N1288">
        <v>1</v>
      </c>
      <c r="O1288" t="s">
        <v>1818</v>
      </c>
      <c r="P1288" t="s">
        <v>1831</v>
      </c>
    </row>
    <row r="1289" spans="1:16" x14ac:dyDescent="0.3">
      <c r="A1289" t="s">
        <v>1300</v>
      </c>
      <c r="B1289" t="s">
        <v>1718</v>
      </c>
      <c r="C1289">
        <v>42</v>
      </c>
      <c r="D1289" t="s">
        <v>1785</v>
      </c>
      <c r="E1289" t="s">
        <v>1792</v>
      </c>
      <c r="F1289" t="s">
        <v>1799</v>
      </c>
      <c r="G1289" s="5">
        <v>99244</v>
      </c>
      <c r="H1289" t="s">
        <v>1803</v>
      </c>
      <c r="I1289" t="s">
        <v>1807</v>
      </c>
      <c r="J1289" s="2">
        <v>45198</v>
      </c>
      <c r="K1289">
        <f t="shared" ca="1" si="40"/>
        <v>2</v>
      </c>
      <c r="L1289">
        <f t="shared" ca="1" si="41"/>
        <v>2</v>
      </c>
      <c r="M1289" t="s">
        <v>1810</v>
      </c>
      <c r="N1289">
        <v>1</v>
      </c>
      <c r="O1289" t="s">
        <v>1813</v>
      </c>
      <c r="P1289" t="s">
        <v>1831</v>
      </c>
    </row>
    <row r="1290" spans="1:16" x14ac:dyDescent="0.3">
      <c r="A1290" t="s">
        <v>1301</v>
      </c>
      <c r="B1290" t="s">
        <v>1753</v>
      </c>
      <c r="C1290">
        <v>43</v>
      </c>
      <c r="D1290" t="s">
        <v>1785</v>
      </c>
      <c r="E1290" t="s">
        <v>1793</v>
      </c>
      <c r="F1290" t="s">
        <v>1796</v>
      </c>
      <c r="G1290" s="5">
        <v>92606</v>
      </c>
      <c r="H1290" t="s">
        <v>1804</v>
      </c>
      <c r="I1290" t="s">
        <v>1808</v>
      </c>
      <c r="J1290" s="2">
        <v>43904</v>
      </c>
      <c r="K1290">
        <f t="shared" ca="1" si="40"/>
        <v>5</v>
      </c>
      <c r="L1290">
        <f t="shared" ca="1" si="41"/>
        <v>8</v>
      </c>
      <c r="M1290" t="s">
        <v>1810</v>
      </c>
      <c r="N1290">
        <v>3</v>
      </c>
      <c r="O1290" t="s">
        <v>1812</v>
      </c>
      <c r="P1290" t="s">
        <v>1831</v>
      </c>
    </row>
    <row r="1291" spans="1:16" x14ac:dyDescent="0.3">
      <c r="A1291" t="s">
        <v>1302</v>
      </c>
      <c r="B1291" t="s">
        <v>1725</v>
      </c>
      <c r="C1291">
        <v>51</v>
      </c>
      <c r="D1291" t="s">
        <v>1784</v>
      </c>
      <c r="E1291" t="s">
        <v>1786</v>
      </c>
      <c r="F1291" t="s">
        <v>1795</v>
      </c>
      <c r="G1291" s="5">
        <v>47899</v>
      </c>
      <c r="H1291" t="s">
        <v>1802</v>
      </c>
      <c r="I1291" t="s">
        <v>1807</v>
      </c>
      <c r="J1291" s="2">
        <v>45267</v>
      </c>
      <c r="K1291">
        <f t="shared" ca="1" si="40"/>
        <v>2</v>
      </c>
      <c r="L1291">
        <f t="shared" ca="1" si="41"/>
        <v>0</v>
      </c>
      <c r="M1291" t="s">
        <v>1810</v>
      </c>
      <c r="N1291">
        <v>4</v>
      </c>
      <c r="O1291" t="s">
        <v>1812</v>
      </c>
      <c r="P1291" t="s">
        <v>1834</v>
      </c>
    </row>
    <row r="1292" spans="1:16" x14ac:dyDescent="0.3">
      <c r="A1292" t="s">
        <v>1303</v>
      </c>
      <c r="B1292" t="s">
        <v>1737</v>
      </c>
      <c r="C1292">
        <v>45</v>
      </c>
      <c r="D1292" t="s">
        <v>1784</v>
      </c>
      <c r="E1292" t="s">
        <v>1790</v>
      </c>
      <c r="F1292" t="s">
        <v>1798</v>
      </c>
      <c r="G1292" s="5">
        <v>77267</v>
      </c>
      <c r="H1292" t="s">
        <v>1802</v>
      </c>
      <c r="I1292" t="s">
        <v>1806</v>
      </c>
      <c r="J1292" s="2">
        <v>45512</v>
      </c>
      <c r="K1292">
        <f t="shared" ca="1" si="40"/>
        <v>1</v>
      </c>
      <c r="L1292">
        <f t="shared" ca="1" si="41"/>
        <v>4</v>
      </c>
      <c r="M1292" t="s">
        <v>1810</v>
      </c>
      <c r="N1292">
        <v>4</v>
      </c>
      <c r="O1292" t="s">
        <v>1818</v>
      </c>
      <c r="P1292" t="s">
        <v>1831</v>
      </c>
    </row>
    <row r="1293" spans="1:16" x14ac:dyDescent="0.3">
      <c r="A1293" t="s">
        <v>1304</v>
      </c>
      <c r="B1293" t="s">
        <v>1751</v>
      </c>
      <c r="C1293">
        <v>40</v>
      </c>
      <c r="D1293" t="s">
        <v>1784</v>
      </c>
      <c r="E1293" t="s">
        <v>1791</v>
      </c>
      <c r="F1293" t="s">
        <v>1796</v>
      </c>
      <c r="G1293" s="5">
        <v>70352</v>
      </c>
      <c r="H1293" t="s">
        <v>1801</v>
      </c>
      <c r="I1293" t="s">
        <v>1808</v>
      </c>
      <c r="J1293" s="2">
        <v>45679</v>
      </c>
      <c r="K1293">
        <f t="shared" ca="1" si="40"/>
        <v>0</v>
      </c>
      <c r="L1293">
        <f t="shared" ca="1" si="41"/>
        <v>10</v>
      </c>
      <c r="M1293" t="s">
        <v>1809</v>
      </c>
      <c r="N1293">
        <v>2</v>
      </c>
      <c r="O1293" t="s">
        <v>1816</v>
      </c>
      <c r="P1293" t="s">
        <v>1831</v>
      </c>
    </row>
    <row r="1294" spans="1:16" x14ac:dyDescent="0.3">
      <c r="A1294" t="s">
        <v>1305</v>
      </c>
      <c r="B1294" t="s">
        <v>1779</v>
      </c>
      <c r="C1294">
        <v>21</v>
      </c>
      <c r="D1294" t="s">
        <v>1784</v>
      </c>
      <c r="E1294" t="s">
        <v>1790</v>
      </c>
      <c r="F1294" t="s">
        <v>1796</v>
      </c>
      <c r="G1294" s="5">
        <v>37647</v>
      </c>
      <c r="H1294" t="s">
        <v>1804</v>
      </c>
      <c r="I1294" t="s">
        <v>1807</v>
      </c>
      <c r="J1294" s="2">
        <v>42526</v>
      </c>
      <c r="K1294">
        <f t="shared" ca="1" si="40"/>
        <v>9</v>
      </c>
      <c r="L1294">
        <f t="shared" ca="1" si="41"/>
        <v>6</v>
      </c>
      <c r="M1294" t="s">
        <v>1810</v>
      </c>
      <c r="N1294">
        <v>4</v>
      </c>
      <c r="O1294" t="s">
        <v>1816</v>
      </c>
      <c r="P1294" t="s">
        <v>1832</v>
      </c>
    </row>
    <row r="1295" spans="1:16" x14ac:dyDescent="0.3">
      <c r="A1295" t="s">
        <v>1306</v>
      </c>
      <c r="B1295" t="s">
        <v>1725</v>
      </c>
      <c r="C1295">
        <v>55</v>
      </c>
      <c r="D1295" t="s">
        <v>1784</v>
      </c>
      <c r="E1295" t="s">
        <v>1786</v>
      </c>
      <c r="F1295" t="s">
        <v>1800</v>
      </c>
      <c r="G1295" s="5">
        <v>42896</v>
      </c>
      <c r="H1295" t="s">
        <v>1805</v>
      </c>
      <c r="I1295" t="s">
        <v>1806</v>
      </c>
      <c r="J1295" s="2">
        <v>44482</v>
      </c>
      <c r="K1295">
        <f t="shared" ca="1" si="40"/>
        <v>4</v>
      </c>
      <c r="L1295">
        <f t="shared" ca="1" si="41"/>
        <v>1</v>
      </c>
      <c r="M1295" t="s">
        <v>1810</v>
      </c>
      <c r="N1295">
        <v>4</v>
      </c>
      <c r="O1295" t="s">
        <v>1816</v>
      </c>
      <c r="P1295" t="s">
        <v>1834</v>
      </c>
    </row>
    <row r="1296" spans="1:16" x14ac:dyDescent="0.3">
      <c r="A1296" t="s">
        <v>1307</v>
      </c>
      <c r="B1296" t="s">
        <v>1747</v>
      </c>
      <c r="C1296">
        <v>23</v>
      </c>
      <c r="D1296" t="s">
        <v>1784</v>
      </c>
      <c r="E1296" t="s">
        <v>1793</v>
      </c>
      <c r="F1296" t="s">
        <v>1796</v>
      </c>
      <c r="G1296" s="5">
        <v>26769</v>
      </c>
      <c r="H1296" t="s">
        <v>1803</v>
      </c>
      <c r="I1296" t="s">
        <v>1806</v>
      </c>
      <c r="J1296" s="2">
        <v>43623</v>
      </c>
      <c r="K1296">
        <f t="shared" ca="1" si="40"/>
        <v>6</v>
      </c>
      <c r="L1296">
        <f t="shared" ca="1" si="41"/>
        <v>6</v>
      </c>
      <c r="M1296" t="s">
        <v>1809</v>
      </c>
      <c r="N1296">
        <v>2</v>
      </c>
      <c r="O1296" t="s">
        <v>1812</v>
      </c>
      <c r="P1296" t="s">
        <v>1832</v>
      </c>
    </row>
    <row r="1297" spans="1:16" x14ac:dyDescent="0.3">
      <c r="A1297" t="s">
        <v>1308</v>
      </c>
      <c r="B1297" t="s">
        <v>1743</v>
      </c>
      <c r="C1297">
        <v>51</v>
      </c>
      <c r="D1297" t="s">
        <v>1783</v>
      </c>
      <c r="E1297" t="s">
        <v>1788</v>
      </c>
      <c r="F1297" t="s">
        <v>1798</v>
      </c>
      <c r="G1297" s="5">
        <v>100773</v>
      </c>
      <c r="H1297" t="s">
        <v>1804</v>
      </c>
      <c r="I1297" t="s">
        <v>1806</v>
      </c>
      <c r="J1297" s="2">
        <v>43710</v>
      </c>
      <c r="K1297">
        <f t="shared" ca="1" si="40"/>
        <v>6</v>
      </c>
      <c r="L1297">
        <f t="shared" ca="1" si="41"/>
        <v>3</v>
      </c>
      <c r="M1297" t="s">
        <v>1810</v>
      </c>
      <c r="N1297">
        <v>5</v>
      </c>
      <c r="O1297" t="s">
        <v>1813</v>
      </c>
      <c r="P1297" t="s">
        <v>1834</v>
      </c>
    </row>
    <row r="1298" spans="1:16" x14ac:dyDescent="0.3">
      <c r="A1298" t="s">
        <v>1309</v>
      </c>
      <c r="B1298" t="s">
        <v>1729</v>
      </c>
      <c r="C1298">
        <v>53</v>
      </c>
      <c r="D1298" t="s">
        <v>1784</v>
      </c>
      <c r="E1298" t="s">
        <v>1789</v>
      </c>
      <c r="F1298" t="s">
        <v>1796</v>
      </c>
      <c r="G1298" s="5">
        <v>112995</v>
      </c>
      <c r="H1298" t="s">
        <v>1802</v>
      </c>
      <c r="I1298" t="s">
        <v>1808</v>
      </c>
      <c r="J1298" s="2">
        <v>44753</v>
      </c>
      <c r="K1298">
        <f t="shared" ca="1" si="40"/>
        <v>3</v>
      </c>
      <c r="L1298">
        <f t="shared" ca="1" si="41"/>
        <v>4</v>
      </c>
      <c r="M1298" t="s">
        <v>1810</v>
      </c>
      <c r="N1298">
        <v>1</v>
      </c>
      <c r="O1298" t="s">
        <v>1818</v>
      </c>
      <c r="P1298" t="s">
        <v>1834</v>
      </c>
    </row>
    <row r="1299" spans="1:16" x14ac:dyDescent="0.3">
      <c r="A1299" t="s">
        <v>1310</v>
      </c>
      <c r="B1299" t="s">
        <v>1737</v>
      </c>
      <c r="C1299">
        <v>46</v>
      </c>
      <c r="D1299" t="s">
        <v>1783</v>
      </c>
      <c r="E1299" t="s">
        <v>1786</v>
      </c>
      <c r="F1299" t="s">
        <v>1794</v>
      </c>
      <c r="G1299" s="5">
        <v>60755</v>
      </c>
      <c r="H1299" t="s">
        <v>1802</v>
      </c>
      <c r="I1299" t="s">
        <v>1808</v>
      </c>
      <c r="J1299" s="2">
        <v>45034</v>
      </c>
      <c r="K1299">
        <f t="shared" ca="1" si="40"/>
        <v>2</v>
      </c>
      <c r="L1299">
        <f t="shared" ca="1" si="41"/>
        <v>7</v>
      </c>
      <c r="M1299" t="s">
        <v>1810</v>
      </c>
      <c r="N1299">
        <v>3</v>
      </c>
      <c r="O1299" t="s">
        <v>1817</v>
      </c>
      <c r="P1299" t="s">
        <v>1834</v>
      </c>
    </row>
    <row r="1300" spans="1:16" x14ac:dyDescent="0.3">
      <c r="A1300" t="s">
        <v>1311</v>
      </c>
      <c r="B1300" t="s">
        <v>1717</v>
      </c>
      <c r="C1300">
        <v>41</v>
      </c>
      <c r="D1300" t="s">
        <v>1785</v>
      </c>
      <c r="E1300" t="s">
        <v>1786</v>
      </c>
      <c r="F1300" t="s">
        <v>1796</v>
      </c>
      <c r="G1300" s="5">
        <v>34663</v>
      </c>
      <c r="H1300" t="s">
        <v>1805</v>
      </c>
      <c r="I1300" t="s">
        <v>1807</v>
      </c>
      <c r="J1300" s="2">
        <v>45338</v>
      </c>
      <c r="K1300">
        <f t="shared" ca="1" si="40"/>
        <v>1</v>
      </c>
      <c r="L1300">
        <f t="shared" ca="1" si="41"/>
        <v>9</v>
      </c>
      <c r="M1300" t="s">
        <v>1809</v>
      </c>
      <c r="N1300">
        <v>2</v>
      </c>
      <c r="O1300" t="s">
        <v>1812</v>
      </c>
      <c r="P1300" t="s">
        <v>1831</v>
      </c>
    </row>
    <row r="1301" spans="1:16" x14ac:dyDescent="0.3">
      <c r="A1301" t="s">
        <v>1312</v>
      </c>
      <c r="B1301" t="s">
        <v>1770</v>
      </c>
      <c r="C1301">
        <v>21</v>
      </c>
      <c r="D1301" t="s">
        <v>1784</v>
      </c>
      <c r="E1301" t="s">
        <v>1793</v>
      </c>
      <c r="F1301" t="s">
        <v>1799</v>
      </c>
      <c r="G1301" s="5">
        <v>68350</v>
      </c>
      <c r="H1301" t="s">
        <v>1802</v>
      </c>
      <c r="I1301" t="s">
        <v>1806</v>
      </c>
      <c r="J1301" s="2">
        <v>43755</v>
      </c>
      <c r="K1301">
        <f t="shared" ca="1" si="40"/>
        <v>6</v>
      </c>
      <c r="L1301">
        <f t="shared" ca="1" si="41"/>
        <v>1</v>
      </c>
      <c r="M1301" t="s">
        <v>1809</v>
      </c>
      <c r="N1301">
        <v>5</v>
      </c>
      <c r="O1301" t="s">
        <v>1812</v>
      </c>
      <c r="P1301" t="s">
        <v>1832</v>
      </c>
    </row>
    <row r="1302" spans="1:16" x14ac:dyDescent="0.3">
      <c r="A1302" t="s">
        <v>1313</v>
      </c>
      <c r="B1302" t="s">
        <v>1773</v>
      </c>
      <c r="C1302">
        <v>37</v>
      </c>
      <c r="D1302" t="s">
        <v>1783</v>
      </c>
      <c r="E1302" t="s">
        <v>1790</v>
      </c>
      <c r="F1302" t="s">
        <v>1799</v>
      </c>
      <c r="G1302" s="5">
        <v>69062</v>
      </c>
      <c r="H1302" t="s">
        <v>1802</v>
      </c>
      <c r="I1302" t="s">
        <v>1808</v>
      </c>
      <c r="J1302" s="2">
        <v>45353</v>
      </c>
      <c r="K1302">
        <f t="shared" ca="1" si="40"/>
        <v>1</v>
      </c>
      <c r="L1302">
        <f t="shared" ca="1" si="41"/>
        <v>9</v>
      </c>
      <c r="M1302" t="s">
        <v>1809</v>
      </c>
      <c r="N1302">
        <v>3</v>
      </c>
      <c r="O1302" t="s">
        <v>1818</v>
      </c>
      <c r="P1302" t="s">
        <v>1831</v>
      </c>
    </row>
    <row r="1303" spans="1:16" x14ac:dyDescent="0.3">
      <c r="A1303" t="s">
        <v>1314</v>
      </c>
      <c r="B1303" t="s">
        <v>1721</v>
      </c>
      <c r="C1303">
        <v>34</v>
      </c>
      <c r="D1303" t="s">
        <v>1785</v>
      </c>
      <c r="E1303" t="s">
        <v>1792</v>
      </c>
      <c r="F1303" t="s">
        <v>1796</v>
      </c>
      <c r="G1303" s="5">
        <v>60888</v>
      </c>
      <c r="H1303" t="s">
        <v>1805</v>
      </c>
      <c r="I1303" t="s">
        <v>1808</v>
      </c>
      <c r="J1303" s="2">
        <v>44739</v>
      </c>
      <c r="K1303">
        <f t="shared" ca="1" si="40"/>
        <v>3</v>
      </c>
      <c r="L1303">
        <f t="shared" ca="1" si="41"/>
        <v>5</v>
      </c>
      <c r="M1303" t="s">
        <v>1809</v>
      </c>
      <c r="N1303">
        <v>3</v>
      </c>
      <c r="O1303" t="s">
        <v>1817</v>
      </c>
      <c r="P1303" t="s">
        <v>1833</v>
      </c>
    </row>
    <row r="1304" spans="1:16" x14ac:dyDescent="0.3">
      <c r="A1304" t="s">
        <v>1315</v>
      </c>
      <c r="B1304" t="s">
        <v>1737</v>
      </c>
      <c r="C1304">
        <v>58</v>
      </c>
      <c r="D1304" t="s">
        <v>1785</v>
      </c>
      <c r="E1304" t="s">
        <v>1786</v>
      </c>
      <c r="F1304" t="s">
        <v>1798</v>
      </c>
      <c r="G1304" s="5">
        <v>102651</v>
      </c>
      <c r="H1304" t="s">
        <v>1805</v>
      </c>
      <c r="I1304" t="s">
        <v>1806</v>
      </c>
      <c r="J1304" s="2">
        <v>42931</v>
      </c>
      <c r="K1304">
        <f t="shared" ca="1" si="40"/>
        <v>8</v>
      </c>
      <c r="L1304">
        <f t="shared" ca="1" si="41"/>
        <v>4</v>
      </c>
      <c r="M1304" t="s">
        <v>1810</v>
      </c>
      <c r="N1304">
        <v>1</v>
      </c>
      <c r="O1304" t="s">
        <v>1815</v>
      </c>
      <c r="P1304" t="s">
        <v>1834</v>
      </c>
    </row>
    <row r="1305" spans="1:16" x14ac:dyDescent="0.3">
      <c r="A1305" t="s">
        <v>1316</v>
      </c>
      <c r="B1305" t="s">
        <v>1727</v>
      </c>
      <c r="C1305">
        <v>52</v>
      </c>
      <c r="D1305" t="s">
        <v>1784</v>
      </c>
      <c r="E1305" t="s">
        <v>1786</v>
      </c>
      <c r="F1305" t="s">
        <v>1800</v>
      </c>
      <c r="G1305" s="5">
        <v>67284</v>
      </c>
      <c r="H1305" t="s">
        <v>1801</v>
      </c>
      <c r="I1305" t="s">
        <v>1808</v>
      </c>
      <c r="J1305" s="2">
        <v>43507</v>
      </c>
      <c r="K1305">
        <f t="shared" ca="1" si="40"/>
        <v>6</v>
      </c>
      <c r="L1305">
        <f t="shared" ca="1" si="41"/>
        <v>9</v>
      </c>
      <c r="M1305" t="s">
        <v>1809</v>
      </c>
      <c r="N1305">
        <v>2</v>
      </c>
      <c r="O1305" t="s">
        <v>1814</v>
      </c>
      <c r="P1305" t="s">
        <v>1834</v>
      </c>
    </row>
    <row r="1306" spans="1:16" x14ac:dyDescent="0.3">
      <c r="A1306" t="s">
        <v>1317</v>
      </c>
      <c r="B1306" t="s">
        <v>1714</v>
      </c>
      <c r="C1306">
        <v>46</v>
      </c>
      <c r="D1306" t="s">
        <v>1783</v>
      </c>
      <c r="E1306" t="s">
        <v>1789</v>
      </c>
      <c r="F1306" t="s">
        <v>1799</v>
      </c>
      <c r="G1306" s="5">
        <v>78940</v>
      </c>
      <c r="H1306" t="s">
        <v>1802</v>
      </c>
      <c r="I1306" t="s">
        <v>1808</v>
      </c>
      <c r="J1306" s="2">
        <v>45001</v>
      </c>
      <c r="K1306">
        <f t="shared" ca="1" si="40"/>
        <v>2</v>
      </c>
      <c r="L1306">
        <f t="shared" ca="1" si="41"/>
        <v>8</v>
      </c>
      <c r="M1306" t="s">
        <v>1810</v>
      </c>
      <c r="N1306">
        <v>5</v>
      </c>
      <c r="O1306" t="s">
        <v>1816</v>
      </c>
      <c r="P1306" t="s">
        <v>1834</v>
      </c>
    </row>
    <row r="1307" spans="1:16" x14ac:dyDescent="0.3">
      <c r="A1307" t="s">
        <v>1318</v>
      </c>
      <c r="B1307" t="s">
        <v>1770</v>
      </c>
      <c r="C1307">
        <v>40</v>
      </c>
      <c r="D1307" t="s">
        <v>1783</v>
      </c>
      <c r="E1307" t="s">
        <v>1788</v>
      </c>
      <c r="F1307" t="s">
        <v>1796</v>
      </c>
      <c r="G1307" s="5">
        <v>77761</v>
      </c>
      <c r="H1307" t="s">
        <v>1802</v>
      </c>
      <c r="I1307" t="s">
        <v>1806</v>
      </c>
      <c r="J1307" s="2">
        <v>44922</v>
      </c>
      <c r="K1307">
        <f t="shared" ca="1" si="40"/>
        <v>3</v>
      </c>
      <c r="L1307">
        <f t="shared" ca="1" si="41"/>
        <v>11</v>
      </c>
      <c r="M1307" t="s">
        <v>1810</v>
      </c>
      <c r="N1307">
        <v>3</v>
      </c>
      <c r="O1307" t="s">
        <v>1816</v>
      </c>
      <c r="P1307" t="s">
        <v>1831</v>
      </c>
    </row>
    <row r="1308" spans="1:16" x14ac:dyDescent="0.3">
      <c r="A1308" t="s">
        <v>1319</v>
      </c>
      <c r="B1308" t="s">
        <v>1729</v>
      </c>
      <c r="C1308">
        <v>40</v>
      </c>
      <c r="D1308" t="s">
        <v>1783</v>
      </c>
      <c r="E1308" t="s">
        <v>1793</v>
      </c>
      <c r="F1308" t="s">
        <v>1799</v>
      </c>
      <c r="G1308" s="5">
        <v>24871</v>
      </c>
      <c r="H1308" t="s">
        <v>1804</v>
      </c>
      <c r="I1308" t="s">
        <v>1806</v>
      </c>
      <c r="J1308" s="2">
        <v>44392</v>
      </c>
      <c r="K1308">
        <f t="shared" ca="1" si="40"/>
        <v>4</v>
      </c>
      <c r="L1308">
        <f t="shared" ca="1" si="41"/>
        <v>4</v>
      </c>
      <c r="M1308" t="s">
        <v>1810</v>
      </c>
      <c r="N1308">
        <v>2</v>
      </c>
      <c r="O1308" t="s">
        <v>1817</v>
      </c>
      <c r="P1308" t="s">
        <v>1831</v>
      </c>
    </row>
    <row r="1309" spans="1:16" x14ac:dyDescent="0.3">
      <c r="A1309" t="s">
        <v>1320</v>
      </c>
      <c r="B1309" t="s">
        <v>1744</v>
      </c>
      <c r="C1309">
        <v>21</v>
      </c>
      <c r="D1309" t="s">
        <v>1785</v>
      </c>
      <c r="E1309" t="s">
        <v>1787</v>
      </c>
      <c r="F1309" t="s">
        <v>1796</v>
      </c>
      <c r="G1309" s="5">
        <v>102715</v>
      </c>
      <c r="H1309" t="s">
        <v>1803</v>
      </c>
      <c r="I1309" t="s">
        <v>1807</v>
      </c>
      <c r="J1309" s="2">
        <v>43775</v>
      </c>
      <c r="K1309">
        <f t="shared" ca="1" si="40"/>
        <v>6</v>
      </c>
      <c r="L1309">
        <f t="shared" ca="1" si="41"/>
        <v>1</v>
      </c>
      <c r="M1309" t="s">
        <v>1809</v>
      </c>
      <c r="N1309">
        <v>3</v>
      </c>
      <c r="O1309" t="s">
        <v>1817</v>
      </c>
      <c r="P1309" t="s">
        <v>1832</v>
      </c>
    </row>
    <row r="1310" spans="1:16" x14ac:dyDescent="0.3">
      <c r="A1310" t="s">
        <v>1321</v>
      </c>
      <c r="B1310" t="s">
        <v>1717</v>
      </c>
      <c r="C1310">
        <v>56</v>
      </c>
      <c r="D1310" t="s">
        <v>1783</v>
      </c>
      <c r="E1310" t="s">
        <v>1792</v>
      </c>
      <c r="F1310" t="s">
        <v>1794</v>
      </c>
      <c r="G1310" s="5">
        <v>112735</v>
      </c>
      <c r="H1310" t="s">
        <v>1802</v>
      </c>
      <c r="I1310" t="s">
        <v>1808</v>
      </c>
      <c r="J1310" s="2">
        <v>42699</v>
      </c>
      <c r="K1310">
        <f t="shared" ca="1" si="40"/>
        <v>9</v>
      </c>
      <c r="L1310">
        <f t="shared" ca="1" si="41"/>
        <v>0</v>
      </c>
      <c r="M1310" t="s">
        <v>1809</v>
      </c>
      <c r="N1310">
        <v>2</v>
      </c>
      <c r="O1310" t="s">
        <v>1816</v>
      </c>
      <c r="P1310" t="s">
        <v>1834</v>
      </c>
    </row>
    <row r="1311" spans="1:16" x14ac:dyDescent="0.3">
      <c r="A1311" t="s">
        <v>1322</v>
      </c>
      <c r="B1311" t="s">
        <v>1777</v>
      </c>
      <c r="C1311">
        <v>30</v>
      </c>
      <c r="D1311" t="s">
        <v>1785</v>
      </c>
      <c r="E1311" t="s">
        <v>1786</v>
      </c>
      <c r="F1311" t="s">
        <v>1799</v>
      </c>
      <c r="G1311" s="5">
        <v>30040</v>
      </c>
      <c r="H1311" t="s">
        <v>1804</v>
      </c>
      <c r="I1311" t="s">
        <v>1808</v>
      </c>
      <c r="J1311" s="2">
        <v>43823</v>
      </c>
      <c r="K1311">
        <f t="shared" ca="1" si="40"/>
        <v>6</v>
      </c>
      <c r="L1311">
        <f t="shared" ca="1" si="41"/>
        <v>11</v>
      </c>
      <c r="M1311" t="s">
        <v>1809</v>
      </c>
      <c r="N1311">
        <v>4</v>
      </c>
      <c r="O1311" t="s">
        <v>1817</v>
      </c>
      <c r="P1311" t="s">
        <v>1833</v>
      </c>
    </row>
    <row r="1312" spans="1:16" x14ac:dyDescent="0.3">
      <c r="A1312" t="s">
        <v>1323</v>
      </c>
      <c r="B1312" t="s">
        <v>1718</v>
      </c>
      <c r="C1312">
        <v>45</v>
      </c>
      <c r="D1312" t="s">
        <v>1785</v>
      </c>
      <c r="E1312" t="s">
        <v>1792</v>
      </c>
      <c r="F1312" t="s">
        <v>1800</v>
      </c>
      <c r="G1312" s="5">
        <v>86770</v>
      </c>
      <c r="H1312" t="s">
        <v>1803</v>
      </c>
      <c r="I1312" t="s">
        <v>1806</v>
      </c>
      <c r="J1312" s="2">
        <v>43072</v>
      </c>
      <c r="K1312">
        <f t="shared" ca="1" si="40"/>
        <v>8</v>
      </c>
      <c r="L1312">
        <f t="shared" ca="1" si="41"/>
        <v>0</v>
      </c>
      <c r="M1312" t="s">
        <v>1809</v>
      </c>
      <c r="N1312">
        <v>2</v>
      </c>
      <c r="O1312" t="s">
        <v>1812</v>
      </c>
      <c r="P1312" t="s">
        <v>1831</v>
      </c>
    </row>
    <row r="1313" spans="1:16" x14ac:dyDescent="0.3">
      <c r="A1313" t="s">
        <v>1324</v>
      </c>
      <c r="B1313" t="s">
        <v>1761</v>
      </c>
      <c r="C1313">
        <v>36</v>
      </c>
      <c r="D1313" t="s">
        <v>1783</v>
      </c>
      <c r="E1313" t="s">
        <v>1786</v>
      </c>
      <c r="F1313" t="s">
        <v>1794</v>
      </c>
      <c r="G1313" s="5">
        <v>25407</v>
      </c>
      <c r="H1313" t="s">
        <v>1805</v>
      </c>
      <c r="I1313" t="s">
        <v>1807</v>
      </c>
      <c r="J1313" s="2">
        <v>42652</v>
      </c>
      <c r="K1313">
        <f t="shared" ca="1" si="40"/>
        <v>9</v>
      </c>
      <c r="L1313">
        <f t="shared" ca="1" si="41"/>
        <v>2</v>
      </c>
      <c r="M1313" t="s">
        <v>1809</v>
      </c>
      <c r="N1313">
        <v>4</v>
      </c>
      <c r="O1313" t="s">
        <v>1818</v>
      </c>
      <c r="P1313" t="s">
        <v>1831</v>
      </c>
    </row>
    <row r="1314" spans="1:16" x14ac:dyDescent="0.3">
      <c r="A1314" t="s">
        <v>1325</v>
      </c>
      <c r="B1314" t="s">
        <v>1752</v>
      </c>
      <c r="C1314">
        <v>34</v>
      </c>
      <c r="D1314" t="s">
        <v>1783</v>
      </c>
      <c r="E1314" t="s">
        <v>1791</v>
      </c>
      <c r="F1314" t="s">
        <v>1796</v>
      </c>
      <c r="G1314" s="5">
        <v>83612</v>
      </c>
      <c r="H1314" t="s">
        <v>1804</v>
      </c>
      <c r="I1314" t="s">
        <v>1808</v>
      </c>
      <c r="J1314" s="2">
        <v>45534</v>
      </c>
      <c r="K1314">
        <f t="shared" ca="1" si="40"/>
        <v>1</v>
      </c>
      <c r="L1314">
        <f t="shared" ca="1" si="41"/>
        <v>3</v>
      </c>
      <c r="M1314" t="s">
        <v>1810</v>
      </c>
      <c r="N1314">
        <v>1</v>
      </c>
      <c r="O1314" t="s">
        <v>1814</v>
      </c>
      <c r="P1314" t="s">
        <v>1833</v>
      </c>
    </row>
    <row r="1315" spans="1:16" x14ac:dyDescent="0.3">
      <c r="A1315" t="s">
        <v>1326</v>
      </c>
      <c r="B1315" t="s">
        <v>1726</v>
      </c>
      <c r="C1315">
        <v>46</v>
      </c>
      <c r="D1315" t="s">
        <v>1785</v>
      </c>
      <c r="E1315" t="s">
        <v>1793</v>
      </c>
      <c r="F1315" t="s">
        <v>1798</v>
      </c>
      <c r="G1315" s="5">
        <v>23259</v>
      </c>
      <c r="H1315" t="s">
        <v>1805</v>
      </c>
      <c r="I1315" t="s">
        <v>1807</v>
      </c>
      <c r="J1315" s="2">
        <v>43293</v>
      </c>
      <c r="K1315">
        <f t="shared" ca="1" si="40"/>
        <v>7</v>
      </c>
      <c r="L1315">
        <f t="shared" ca="1" si="41"/>
        <v>4</v>
      </c>
      <c r="M1315" t="s">
        <v>1809</v>
      </c>
      <c r="N1315">
        <v>5</v>
      </c>
      <c r="O1315" t="s">
        <v>1812</v>
      </c>
      <c r="P1315" t="s">
        <v>1834</v>
      </c>
    </row>
    <row r="1316" spans="1:16" x14ac:dyDescent="0.3">
      <c r="A1316" t="s">
        <v>1327</v>
      </c>
      <c r="B1316" t="s">
        <v>1740</v>
      </c>
      <c r="C1316">
        <v>25</v>
      </c>
      <c r="D1316" t="s">
        <v>1785</v>
      </c>
      <c r="E1316" t="s">
        <v>1789</v>
      </c>
      <c r="F1316" t="s">
        <v>1799</v>
      </c>
      <c r="G1316" s="5">
        <v>84735</v>
      </c>
      <c r="H1316" t="s">
        <v>1802</v>
      </c>
      <c r="I1316" t="s">
        <v>1808</v>
      </c>
      <c r="J1316" s="2">
        <v>43309</v>
      </c>
      <c r="K1316">
        <f t="shared" ca="1" si="40"/>
        <v>7</v>
      </c>
      <c r="L1316">
        <f t="shared" ca="1" si="41"/>
        <v>4</v>
      </c>
      <c r="M1316" t="s">
        <v>1809</v>
      </c>
      <c r="N1316">
        <v>5</v>
      </c>
      <c r="O1316" t="s">
        <v>1818</v>
      </c>
      <c r="P1316" t="s">
        <v>1832</v>
      </c>
    </row>
    <row r="1317" spans="1:16" x14ac:dyDescent="0.3">
      <c r="A1317" t="s">
        <v>1328</v>
      </c>
      <c r="B1317" t="s">
        <v>1715</v>
      </c>
      <c r="C1317">
        <v>37</v>
      </c>
      <c r="D1317" t="s">
        <v>1785</v>
      </c>
      <c r="E1317" t="s">
        <v>1789</v>
      </c>
      <c r="F1317" t="s">
        <v>1800</v>
      </c>
      <c r="G1317" s="5">
        <v>84962</v>
      </c>
      <c r="H1317" t="s">
        <v>1802</v>
      </c>
      <c r="I1317" t="s">
        <v>1807</v>
      </c>
      <c r="J1317" s="2">
        <v>45527</v>
      </c>
      <c r="K1317">
        <f t="shared" ca="1" si="40"/>
        <v>1</v>
      </c>
      <c r="L1317">
        <f t="shared" ca="1" si="41"/>
        <v>3</v>
      </c>
      <c r="M1317" t="s">
        <v>1810</v>
      </c>
      <c r="N1317">
        <v>3</v>
      </c>
      <c r="O1317" t="s">
        <v>1815</v>
      </c>
      <c r="P1317" t="s">
        <v>1831</v>
      </c>
    </row>
    <row r="1318" spans="1:16" x14ac:dyDescent="0.3">
      <c r="A1318" t="s">
        <v>1329</v>
      </c>
      <c r="B1318" t="s">
        <v>1775</v>
      </c>
      <c r="C1318">
        <v>45</v>
      </c>
      <c r="D1318" t="s">
        <v>1783</v>
      </c>
      <c r="E1318" t="s">
        <v>1788</v>
      </c>
      <c r="F1318" t="s">
        <v>1797</v>
      </c>
      <c r="G1318" s="5">
        <v>77198</v>
      </c>
      <c r="H1318" t="s">
        <v>1803</v>
      </c>
      <c r="I1318" t="s">
        <v>1806</v>
      </c>
      <c r="J1318" s="2">
        <v>45106</v>
      </c>
      <c r="K1318">
        <f t="shared" ca="1" si="40"/>
        <v>2</v>
      </c>
      <c r="L1318">
        <f t="shared" ca="1" si="41"/>
        <v>5</v>
      </c>
      <c r="M1318" t="s">
        <v>1810</v>
      </c>
      <c r="N1318">
        <v>2</v>
      </c>
      <c r="O1318" t="s">
        <v>1816</v>
      </c>
      <c r="P1318" t="s">
        <v>1831</v>
      </c>
    </row>
    <row r="1319" spans="1:16" x14ac:dyDescent="0.3">
      <c r="A1319" t="s">
        <v>1330</v>
      </c>
      <c r="B1319" t="s">
        <v>1713</v>
      </c>
      <c r="C1319">
        <v>44</v>
      </c>
      <c r="D1319" t="s">
        <v>1783</v>
      </c>
      <c r="E1319" t="s">
        <v>1786</v>
      </c>
      <c r="F1319" t="s">
        <v>1799</v>
      </c>
      <c r="G1319" s="5">
        <v>44233</v>
      </c>
      <c r="H1319" t="s">
        <v>1805</v>
      </c>
      <c r="I1319" t="s">
        <v>1806</v>
      </c>
      <c r="J1319" s="2">
        <v>45498</v>
      </c>
      <c r="K1319">
        <f t="shared" ca="1" si="40"/>
        <v>1</v>
      </c>
      <c r="L1319">
        <f t="shared" ca="1" si="41"/>
        <v>4</v>
      </c>
      <c r="M1319" t="s">
        <v>1810</v>
      </c>
      <c r="N1319">
        <v>2</v>
      </c>
      <c r="O1319" t="s">
        <v>1814</v>
      </c>
      <c r="P1319" t="s">
        <v>1831</v>
      </c>
    </row>
    <row r="1320" spans="1:16" x14ac:dyDescent="0.3">
      <c r="A1320" t="s">
        <v>1331</v>
      </c>
      <c r="B1320" t="s">
        <v>1731</v>
      </c>
      <c r="C1320">
        <v>23</v>
      </c>
      <c r="D1320" t="s">
        <v>1785</v>
      </c>
      <c r="E1320" t="s">
        <v>1786</v>
      </c>
      <c r="F1320" t="s">
        <v>1799</v>
      </c>
      <c r="G1320" s="5">
        <v>92297</v>
      </c>
      <c r="H1320" t="s">
        <v>1804</v>
      </c>
      <c r="I1320" t="s">
        <v>1807</v>
      </c>
      <c r="J1320" s="2">
        <v>44531</v>
      </c>
      <c r="K1320">
        <f t="shared" ca="1" si="40"/>
        <v>4</v>
      </c>
      <c r="L1320">
        <f t="shared" ca="1" si="41"/>
        <v>0</v>
      </c>
      <c r="M1320" t="s">
        <v>1809</v>
      </c>
      <c r="N1320">
        <v>3</v>
      </c>
      <c r="O1320" t="s">
        <v>1818</v>
      </c>
      <c r="P1320" t="s">
        <v>1832</v>
      </c>
    </row>
    <row r="1321" spans="1:16" x14ac:dyDescent="0.3">
      <c r="A1321" t="s">
        <v>1332</v>
      </c>
      <c r="B1321" t="s">
        <v>1742</v>
      </c>
      <c r="C1321">
        <v>31</v>
      </c>
      <c r="D1321" t="s">
        <v>1784</v>
      </c>
      <c r="E1321" t="s">
        <v>1786</v>
      </c>
      <c r="F1321" t="s">
        <v>1794</v>
      </c>
      <c r="G1321" s="5">
        <v>83482</v>
      </c>
      <c r="H1321" t="s">
        <v>1803</v>
      </c>
      <c r="I1321" t="s">
        <v>1806</v>
      </c>
      <c r="J1321" s="2">
        <v>43778</v>
      </c>
      <c r="K1321">
        <f t="shared" ca="1" si="40"/>
        <v>6</v>
      </c>
      <c r="L1321">
        <f t="shared" ca="1" si="41"/>
        <v>1</v>
      </c>
      <c r="M1321" t="s">
        <v>1810</v>
      </c>
      <c r="N1321">
        <v>4</v>
      </c>
      <c r="O1321" t="s">
        <v>1816</v>
      </c>
      <c r="P1321" t="s">
        <v>1833</v>
      </c>
    </row>
    <row r="1322" spans="1:16" x14ac:dyDescent="0.3">
      <c r="A1322" t="s">
        <v>1333</v>
      </c>
      <c r="B1322" t="s">
        <v>1774</v>
      </c>
      <c r="C1322">
        <v>55</v>
      </c>
      <c r="D1322" t="s">
        <v>1785</v>
      </c>
      <c r="E1322" t="s">
        <v>1788</v>
      </c>
      <c r="F1322" t="s">
        <v>1799</v>
      </c>
      <c r="G1322" s="5">
        <v>105428</v>
      </c>
      <c r="H1322" t="s">
        <v>1802</v>
      </c>
      <c r="I1322" t="s">
        <v>1807</v>
      </c>
      <c r="J1322" s="2">
        <v>44962</v>
      </c>
      <c r="K1322">
        <f t="shared" ca="1" si="40"/>
        <v>2</v>
      </c>
      <c r="L1322">
        <f t="shared" ca="1" si="41"/>
        <v>10</v>
      </c>
      <c r="M1322" t="s">
        <v>1809</v>
      </c>
      <c r="N1322">
        <v>1</v>
      </c>
      <c r="O1322" t="s">
        <v>1818</v>
      </c>
      <c r="P1322" t="s">
        <v>1834</v>
      </c>
    </row>
    <row r="1323" spans="1:16" x14ac:dyDescent="0.3">
      <c r="A1323" t="s">
        <v>1334</v>
      </c>
      <c r="B1323" t="s">
        <v>1736</v>
      </c>
      <c r="C1323">
        <v>20</v>
      </c>
      <c r="D1323" t="s">
        <v>1784</v>
      </c>
      <c r="E1323" t="s">
        <v>1792</v>
      </c>
      <c r="F1323" t="s">
        <v>1800</v>
      </c>
      <c r="G1323" s="5">
        <v>57773</v>
      </c>
      <c r="H1323" t="s">
        <v>1803</v>
      </c>
      <c r="I1323" t="s">
        <v>1806</v>
      </c>
      <c r="J1323" s="2">
        <v>44764</v>
      </c>
      <c r="K1323">
        <f t="shared" ca="1" si="40"/>
        <v>3</v>
      </c>
      <c r="L1323">
        <f t="shared" ca="1" si="41"/>
        <v>4</v>
      </c>
      <c r="M1323" t="s">
        <v>1809</v>
      </c>
      <c r="N1323">
        <v>1</v>
      </c>
      <c r="O1323" t="s">
        <v>1818</v>
      </c>
      <c r="P1323" t="s">
        <v>1832</v>
      </c>
    </row>
    <row r="1324" spans="1:16" x14ac:dyDescent="0.3">
      <c r="A1324" t="s">
        <v>1335</v>
      </c>
      <c r="B1324" t="s">
        <v>1722</v>
      </c>
      <c r="C1324">
        <v>32</v>
      </c>
      <c r="D1324" t="s">
        <v>1784</v>
      </c>
      <c r="E1324" t="s">
        <v>1789</v>
      </c>
      <c r="F1324" t="s">
        <v>1796</v>
      </c>
      <c r="G1324" s="5">
        <v>27974</v>
      </c>
      <c r="H1324" t="s">
        <v>1803</v>
      </c>
      <c r="I1324" t="s">
        <v>1806</v>
      </c>
      <c r="J1324" s="2">
        <v>42529</v>
      </c>
      <c r="K1324">
        <f t="shared" ca="1" si="40"/>
        <v>9</v>
      </c>
      <c r="L1324">
        <f t="shared" ca="1" si="41"/>
        <v>6</v>
      </c>
      <c r="M1324" t="s">
        <v>1810</v>
      </c>
      <c r="N1324">
        <v>1</v>
      </c>
      <c r="O1324" t="s">
        <v>1813</v>
      </c>
      <c r="P1324" t="s">
        <v>1833</v>
      </c>
    </row>
    <row r="1325" spans="1:16" x14ac:dyDescent="0.3">
      <c r="A1325" t="s">
        <v>1336</v>
      </c>
      <c r="B1325" t="s">
        <v>1734</v>
      </c>
      <c r="C1325">
        <v>36</v>
      </c>
      <c r="D1325" t="s">
        <v>1784</v>
      </c>
      <c r="E1325" t="s">
        <v>1786</v>
      </c>
      <c r="F1325" t="s">
        <v>1794</v>
      </c>
      <c r="G1325" s="5">
        <v>33771</v>
      </c>
      <c r="H1325" t="s">
        <v>1801</v>
      </c>
      <c r="I1325" t="s">
        <v>1808</v>
      </c>
      <c r="J1325" s="2">
        <v>43153</v>
      </c>
      <c r="K1325">
        <f t="shared" ca="1" si="40"/>
        <v>7</v>
      </c>
      <c r="L1325">
        <f t="shared" ca="1" si="41"/>
        <v>9</v>
      </c>
      <c r="M1325" t="s">
        <v>1809</v>
      </c>
      <c r="N1325">
        <v>1</v>
      </c>
      <c r="O1325" t="s">
        <v>1813</v>
      </c>
      <c r="P1325" t="s">
        <v>1831</v>
      </c>
    </row>
    <row r="1326" spans="1:16" x14ac:dyDescent="0.3">
      <c r="A1326" t="s">
        <v>1337</v>
      </c>
      <c r="B1326" t="s">
        <v>1743</v>
      </c>
      <c r="C1326">
        <v>57</v>
      </c>
      <c r="D1326" t="s">
        <v>1785</v>
      </c>
      <c r="E1326" t="s">
        <v>1788</v>
      </c>
      <c r="F1326" t="s">
        <v>1797</v>
      </c>
      <c r="G1326" s="5">
        <v>53398</v>
      </c>
      <c r="H1326" t="s">
        <v>1805</v>
      </c>
      <c r="I1326" t="s">
        <v>1808</v>
      </c>
      <c r="J1326" s="2">
        <v>42697</v>
      </c>
      <c r="K1326">
        <f t="shared" ca="1" si="40"/>
        <v>9</v>
      </c>
      <c r="L1326">
        <f t="shared" ca="1" si="41"/>
        <v>0</v>
      </c>
      <c r="M1326" t="s">
        <v>1809</v>
      </c>
      <c r="N1326">
        <v>2</v>
      </c>
      <c r="O1326" t="s">
        <v>1813</v>
      </c>
      <c r="P1326" t="s">
        <v>1834</v>
      </c>
    </row>
    <row r="1327" spans="1:16" x14ac:dyDescent="0.3">
      <c r="A1327" t="s">
        <v>1338</v>
      </c>
      <c r="B1327" t="s">
        <v>1746</v>
      </c>
      <c r="C1327">
        <v>44</v>
      </c>
      <c r="D1327" t="s">
        <v>1783</v>
      </c>
      <c r="E1327" t="s">
        <v>1792</v>
      </c>
      <c r="F1327" t="s">
        <v>1800</v>
      </c>
      <c r="G1327" s="5">
        <v>83198</v>
      </c>
      <c r="H1327" t="s">
        <v>1803</v>
      </c>
      <c r="I1327" t="s">
        <v>1808</v>
      </c>
      <c r="J1327" s="2">
        <v>43154</v>
      </c>
      <c r="K1327">
        <f t="shared" ca="1" si="40"/>
        <v>7</v>
      </c>
      <c r="L1327">
        <f t="shared" ca="1" si="41"/>
        <v>9</v>
      </c>
      <c r="M1327" t="s">
        <v>1809</v>
      </c>
      <c r="N1327">
        <v>5</v>
      </c>
      <c r="O1327" t="s">
        <v>1818</v>
      </c>
      <c r="P1327" t="s">
        <v>1831</v>
      </c>
    </row>
    <row r="1328" spans="1:16" x14ac:dyDescent="0.3">
      <c r="A1328" t="s">
        <v>1339</v>
      </c>
      <c r="B1328" t="s">
        <v>1765</v>
      </c>
      <c r="C1328">
        <v>37</v>
      </c>
      <c r="D1328" t="s">
        <v>1785</v>
      </c>
      <c r="E1328" t="s">
        <v>1788</v>
      </c>
      <c r="F1328" t="s">
        <v>1800</v>
      </c>
      <c r="G1328" s="5">
        <v>112223</v>
      </c>
      <c r="H1328" t="s">
        <v>1802</v>
      </c>
      <c r="I1328" t="s">
        <v>1808</v>
      </c>
      <c r="J1328" s="2">
        <v>42537</v>
      </c>
      <c r="K1328">
        <f t="shared" ca="1" si="40"/>
        <v>9</v>
      </c>
      <c r="L1328">
        <f t="shared" ca="1" si="41"/>
        <v>5</v>
      </c>
      <c r="M1328" t="s">
        <v>1810</v>
      </c>
      <c r="N1328">
        <v>2</v>
      </c>
      <c r="O1328" t="s">
        <v>1815</v>
      </c>
      <c r="P1328" t="s">
        <v>1831</v>
      </c>
    </row>
    <row r="1329" spans="1:16" x14ac:dyDescent="0.3">
      <c r="A1329" t="s">
        <v>1340</v>
      </c>
      <c r="B1329" t="s">
        <v>1755</v>
      </c>
      <c r="C1329">
        <v>20</v>
      </c>
      <c r="D1329" t="s">
        <v>1785</v>
      </c>
      <c r="E1329" t="s">
        <v>1792</v>
      </c>
      <c r="F1329" t="s">
        <v>1799</v>
      </c>
      <c r="G1329" s="5">
        <v>91821</v>
      </c>
      <c r="H1329" t="s">
        <v>1803</v>
      </c>
      <c r="I1329" t="s">
        <v>1806</v>
      </c>
      <c r="J1329" s="2">
        <v>45317</v>
      </c>
      <c r="K1329">
        <f t="shared" ca="1" si="40"/>
        <v>1</v>
      </c>
      <c r="L1329">
        <f t="shared" ca="1" si="41"/>
        <v>10</v>
      </c>
      <c r="M1329" t="s">
        <v>1810</v>
      </c>
      <c r="N1329">
        <v>2</v>
      </c>
      <c r="O1329" t="s">
        <v>1818</v>
      </c>
      <c r="P1329" t="s">
        <v>1832</v>
      </c>
    </row>
    <row r="1330" spans="1:16" x14ac:dyDescent="0.3">
      <c r="A1330" t="s">
        <v>1341</v>
      </c>
      <c r="B1330" t="s">
        <v>1766</v>
      </c>
      <c r="C1330">
        <v>25</v>
      </c>
      <c r="D1330" t="s">
        <v>1785</v>
      </c>
      <c r="E1330" t="s">
        <v>1789</v>
      </c>
      <c r="F1330" t="s">
        <v>1799</v>
      </c>
      <c r="G1330" s="5">
        <v>77802</v>
      </c>
      <c r="H1330" t="s">
        <v>1803</v>
      </c>
      <c r="I1330" t="s">
        <v>1806</v>
      </c>
      <c r="J1330" s="2">
        <v>43109</v>
      </c>
      <c r="K1330">
        <f t="shared" ca="1" si="40"/>
        <v>7</v>
      </c>
      <c r="L1330">
        <f t="shared" ca="1" si="41"/>
        <v>11</v>
      </c>
      <c r="M1330" t="s">
        <v>1810</v>
      </c>
      <c r="N1330">
        <v>3</v>
      </c>
      <c r="O1330" t="s">
        <v>1816</v>
      </c>
      <c r="P1330" t="s">
        <v>1832</v>
      </c>
    </row>
    <row r="1331" spans="1:16" x14ac:dyDescent="0.3">
      <c r="A1331" t="s">
        <v>1342</v>
      </c>
      <c r="B1331" t="s">
        <v>1758</v>
      </c>
      <c r="C1331">
        <v>42</v>
      </c>
      <c r="D1331" t="s">
        <v>1784</v>
      </c>
      <c r="E1331" t="s">
        <v>1791</v>
      </c>
      <c r="F1331" t="s">
        <v>1800</v>
      </c>
      <c r="G1331" s="5">
        <v>94049</v>
      </c>
      <c r="H1331" t="s">
        <v>1804</v>
      </c>
      <c r="I1331" t="s">
        <v>1808</v>
      </c>
      <c r="J1331" s="2">
        <v>43861</v>
      </c>
      <c r="K1331">
        <f t="shared" ca="1" si="40"/>
        <v>5</v>
      </c>
      <c r="L1331">
        <f t="shared" ca="1" si="41"/>
        <v>10</v>
      </c>
      <c r="M1331" t="s">
        <v>1810</v>
      </c>
      <c r="N1331">
        <v>2</v>
      </c>
      <c r="O1331" t="s">
        <v>1812</v>
      </c>
      <c r="P1331" t="s">
        <v>1831</v>
      </c>
    </row>
    <row r="1332" spans="1:16" x14ac:dyDescent="0.3">
      <c r="A1332" t="s">
        <v>1343</v>
      </c>
      <c r="B1332" t="s">
        <v>1748</v>
      </c>
      <c r="C1332">
        <v>43</v>
      </c>
      <c r="D1332" t="s">
        <v>1784</v>
      </c>
      <c r="E1332" t="s">
        <v>1793</v>
      </c>
      <c r="F1332" t="s">
        <v>1796</v>
      </c>
      <c r="G1332" s="5">
        <v>96925</v>
      </c>
      <c r="H1332" t="s">
        <v>1802</v>
      </c>
      <c r="I1332" t="s">
        <v>1808</v>
      </c>
      <c r="J1332" s="2">
        <v>43907</v>
      </c>
      <c r="K1332">
        <f t="shared" ca="1" si="40"/>
        <v>5</v>
      </c>
      <c r="L1332">
        <f t="shared" ca="1" si="41"/>
        <v>8</v>
      </c>
      <c r="M1332" t="s">
        <v>1810</v>
      </c>
      <c r="N1332">
        <v>4</v>
      </c>
      <c r="O1332" t="s">
        <v>1816</v>
      </c>
      <c r="P1332" t="s">
        <v>1831</v>
      </c>
    </row>
    <row r="1333" spans="1:16" x14ac:dyDescent="0.3">
      <c r="A1333" t="s">
        <v>1344</v>
      </c>
      <c r="B1333" t="s">
        <v>1740</v>
      </c>
      <c r="C1333">
        <v>52</v>
      </c>
      <c r="D1333" t="s">
        <v>1785</v>
      </c>
      <c r="E1333" t="s">
        <v>1791</v>
      </c>
      <c r="F1333" t="s">
        <v>1796</v>
      </c>
      <c r="G1333" s="5">
        <v>96484</v>
      </c>
      <c r="H1333" t="s">
        <v>1805</v>
      </c>
      <c r="I1333" t="s">
        <v>1806</v>
      </c>
      <c r="J1333" s="2">
        <v>45845</v>
      </c>
      <c r="K1333">
        <f t="shared" ca="1" si="40"/>
        <v>0</v>
      </c>
      <c r="L1333">
        <f t="shared" ca="1" si="41"/>
        <v>5</v>
      </c>
      <c r="M1333" t="s">
        <v>1809</v>
      </c>
      <c r="N1333">
        <v>5</v>
      </c>
      <c r="O1333" t="s">
        <v>1816</v>
      </c>
      <c r="P1333" t="s">
        <v>1834</v>
      </c>
    </row>
    <row r="1334" spans="1:16" x14ac:dyDescent="0.3">
      <c r="A1334" t="s">
        <v>1345</v>
      </c>
      <c r="B1334" t="s">
        <v>1742</v>
      </c>
      <c r="C1334">
        <v>45</v>
      </c>
      <c r="D1334" t="s">
        <v>1783</v>
      </c>
      <c r="E1334" t="s">
        <v>1787</v>
      </c>
      <c r="F1334" t="s">
        <v>1795</v>
      </c>
      <c r="G1334" s="5">
        <v>32664</v>
      </c>
      <c r="H1334" t="s">
        <v>1805</v>
      </c>
      <c r="I1334" t="s">
        <v>1807</v>
      </c>
      <c r="J1334" s="2">
        <v>44566</v>
      </c>
      <c r="K1334">
        <f t="shared" ca="1" si="40"/>
        <v>3</v>
      </c>
      <c r="L1334">
        <f t="shared" ca="1" si="41"/>
        <v>11</v>
      </c>
      <c r="M1334" t="s">
        <v>1809</v>
      </c>
      <c r="N1334">
        <v>5</v>
      </c>
      <c r="O1334" t="s">
        <v>1818</v>
      </c>
      <c r="P1334" t="s">
        <v>1831</v>
      </c>
    </row>
    <row r="1335" spans="1:16" x14ac:dyDescent="0.3">
      <c r="A1335" t="s">
        <v>1346</v>
      </c>
      <c r="B1335" t="s">
        <v>1763</v>
      </c>
      <c r="C1335">
        <v>30</v>
      </c>
      <c r="D1335" t="s">
        <v>1785</v>
      </c>
      <c r="E1335" t="s">
        <v>1786</v>
      </c>
      <c r="F1335" t="s">
        <v>1794</v>
      </c>
      <c r="G1335" s="5">
        <v>107654</v>
      </c>
      <c r="H1335" t="s">
        <v>1804</v>
      </c>
      <c r="I1335" t="s">
        <v>1808</v>
      </c>
      <c r="J1335" s="2">
        <v>42916</v>
      </c>
      <c r="K1335">
        <f t="shared" ca="1" si="40"/>
        <v>8</v>
      </c>
      <c r="L1335">
        <f t="shared" ca="1" si="41"/>
        <v>5</v>
      </c>
      <c r="M1335" t="s">
        <v>1810</v>
      </c>
      <c r="N1335">
        <v>3</v>
      </c>
      <c r="O1335" t="s">
        <v>1811</v>
      </c>
      <c r="P1335" t="s">
        <v>1833</v>
      </c>
    </row>
    <row r="1336" spans="1:16" x14ac:dyDescent="0.3">
      <c r="A1336" t="s">
        <v>1347</v>
      </c>
      <c r="B1336" t="s">
        <v>1719</v>
      </c>
      <c r="C1336">
        <v>45</v>
      </c>
      <c r="D1336" t="s">
        <v>1783</v>
      </c>
      <c r="E1336" t="s">
        <v>1789</v>
      </c>
      <c r="F1336" t="s">
        <v>1800</v>
      </c>
      <c r="G1336" s="5">
        <v>116281</v>
      </c>
      <c r="H1336" t="s">
        <v>1801</v>
      </c>
      <c r="I1336" t="s">
        <v>1807</v>
      </c>
      <c r="J1336" s="2">
        <v>45061</v>
      </c>
      <c r="K1336">
        <f t="shared" ca="1" si="40"/>
        <v>2</v>
      </c>
      <c r="L1336">
        <f t="shared" ca="1" si="41"/>
        <v>6</v>
      </c>
      <c r="M1336" t="s">
        <v>1810</v>
      </c>
      <c r="N1336">
        <v>2</v>
      </c>
      <c r="O1336" t="s">
        <v>1815</v>
      </c>
      <c r="P1336" t="s">
        <v>1831</v>
      </c>
    </row>
    <row r="1337" spans="1:16" x14ac:dyDescent="0.3">
      <c r="A1337" t="s">
        <v>1348</v>
      </c>
      <c r="B1337" t="s">
        <v>1720</v>
      </c>
      <c r="C1337">
        <v>52</v>
      </c>
      <c r="D1337" t="s">
        <v>1783</v>
      </c>
      <c r="E1337" t="s">
        <v>1790</v>
      </c>
      <c r="F1337" t="s">
        <v>1797</v>
      </c>
      <c r="G1337" s="5">
        <v>36920</v>
      </c>
      <c r="H1337" t="s">
        <v>1804</v>
      </c>
      <c r="I1337" t="s">
        <v>1807</v>
      </c>
      <c r="J1337" s="2">
        <v>45533</v>
      </c>
      <c r="K1337">
        <f t="shared" ca="1" si="40"/>
        <v>1</v>
      </c>
      <c r="L1337">
        <f t="shared" ca="1" si="41"/>
        <v>3</v>
      </c>
      <c r="M1337" t="s">
        <v>1810</v>
      </c>
      <c r="N1337">
        <v>3</v>
      </c>
      <c r="O1337" t="s">
        <v>1815</v>
      </c>
      <c r="P1337" t="s">
        <v>1834</v>
      </c>
    </row>
    <row r="1338" spans="1:16" x14ac:dyDescent="0.3">
      <c r="A1338" t="s">
        <v>1349</v>
      </c>
      <c r="B1338" t="s">
        <v>1719</v>
      </c>
      <c r="C1338">
        <v>26</v>
      </c>
      <c r="D1338" t="s">
        <v>1783</v>
      </c>
      <c r="E1338" t="s">
        <v>1792</v>
      </c>
      <c r="F1338" t="s">
        <v>1797</v>
      </c>
      <c r="G1338" s="5">
        <v>20125</v>
      </c>
      <c r="H1338" t="s">
        <v>1804</v>
      </c>
      <c r="I1338" t="s">
        <v>1807</v>
      </c>
      <c r="J1338" s="2">
        <v>43286</v>
      </c>
      <c r="K1338">
        <f t="shared" ca="1" si="40"/>
        <v>7</v>
      </c>
      <c r="L1338">
        <f t="shared" ca="1" si="41"/>
        <v>5</v>
      </c>
      <c r="M1338" t="s">
        <v>1809</v>
      </c>
      <c r="N1338">
        <v>1</v>
      </c>
      <c r="O1338" t="s">
        <v>1813</v>
      </c>
      <c r="P1338" t="s">
        <v>1833</v>
      </c>
    </row>
    <row r="1339" spans="1:16" x14ac:dyDescent="0.3">
      <c r="A1339" t="s">
        <v>1350</v>
      </c>
      <c r="B1339" t="s">
        <v>1728</v>
      </c>
      <c r="C1339">
        <v>27</v>
      </c>
      <c r="D1339" t="s">
        <v>1784</v>
      </c>
      <c r="E1339" t="s">
        <v>1789</v>
      </c>
      <c r="F1339" t="s">
        <v>1800</v>
      </c>
      <c r="G1339" s="5">
        <v>104715</v>
      </c>
      <c r="H1339" t="s">
        <v>1801</v>
      </c>
      <c r="I1339" t="s">
        <v>1806</v>
      </c>
      <c r="J1339" s="2">
        <v>44885</v>
      </c>
      <c r="K1339">
        <f t="shared" ca="1" si="40"/>
        <v>3</v>
      </c>
      <c r="L1339">
        <f t="shared" ca="1" si="41"/>
        <v>0</v>
      </c>
      <c r="M1339" t="s">
        <v>1810</v>
      </c>
      <c r="N1339">
        <v>3</v>
      </c>
      <c r="O1339" t="s">
        <v>1811</v>
      </c>
      <c r="P1339" t="s">
        <v>1833</v>
      </c>
    </row>
    <row r="1340" spans="1:16" x14ac:dyDescent="0.3">
      <c r="A1340" t="s">
        <v>1351</v>
      </c>
      <c r="B1340" t="s">
        <v>1722</v>
      </c>
      <c r="C1340">
        <v>39</v>
      </c>
      <c r="D1340" t="s">
        <v>1784</v>
      </c>
      <c r="E1340" t="s">
        <v>1790</v>
      </c>
      <c r="F1340" t="s">
        <v>1795</v>
      </c>
      <c r="G1340" s="5">
        <v>101259</v>
      </c>
      <c r="H1340" t="s">
        <v>1805</v>
      </c>
      <c r="I1340" t="s">
        <v>1807</v>
      </c>
      <c r="J1340" s="2">
        <v>45219</v>
      </c>
      <c r="K1340">
        <f t="shared" ca="1" si="40"/>
        <v>2</v>
      </c>
      <c r="L1340">
        <f t="shared" ca="1" si="41"/>
        <v>1</v>
      </c>
      <c r="M1340" t="s">
        <v>1810</v>
      </c>
      <c r="N1340">
        <v>1</v>
      </c>
      <c r="O1340" t="s">
        <v>1812</v>
      </c>
      <c r="P1340" t="s">
        <v>1831</v>
      </c>
    </row>
    <row r="1341" spans="1:16" x14ac:dyDescent="0.3">
      <c r="A1341" t="s">
        <v>1352</v>
      </c>
      <c r="B1341" t="s">
        <v>1775</v>
      </c>
      <c r="C1341">
        <v>21</v>
      </c>
      <c r="D1341" t="s">
        <v>1784</v>
      </c>
      <c r="E1341" t="s">
        <v>1790</v>
      </c>
      <c r="F1341" t="s">
        <v>1799</v>
      </c>
      <c r="G1341" s="5">
        <v>68299</v>
      </c>
      <c r="H1341" t="s">
        <v>1805</v>
      </c>
      <c r="I1341" t="s">
        <v>1807</v>
      </c>
      <c r="J1341" s="2">
        <v>44169</v>
      </c>
      <c r="K1341">
        <f t="shared" ca="1" si="40"/>
        <v>5</v>
      </c>
      <c r="L1341">
        <f t="shared" ca="1" si="41"/>
        <v>0</v>
      </c>
      <c r="M1341" t="s">
        <v>1810</v>
      </c>
      <c r="N1341">
        <v>4</v>
      </c>
      <c r="O1341" t="s">
        <v>1818</v>
      </c>
      <c r="P1341" t="s">
        <v>1832</v>
      </c>
    </row>
    <row r="1342" spans="1:16" x14ac:dyDescent="0.3">
      <c r="A1342" t="s">
        <v>1353</v>
      </c>
      <c r="B1342" t="s">
        <v>1716</v>
      </c>
      <c r="C1342">
        <v>51</v>
      </c>
      <c r="D1342" t="s">
        <v>1783</v>
      </c>
      <c r="E1342" t="s">
        <v>1790</v>
      </c>
      <c r="F1342" t="s">
        <v>1795</v>
      </c>
      <c r="G1342" s="5">
        <v>51050</v>
      </c>
      <c r="H1342" t="s">
        <v>1801</v>
      </c>
      <c r="I1342" t="s">
        <v>1807</v>
      </c>
      <c r="J1342" s="2">
        <v>43443</v>
      </c>
      <c r="K1342">
        <f t="shared" ca="1" si="40"/>
        <v>7</v>
      </c>
      <c r="L1342">
        <f t="shared" ca="1" si="41"/>
        <v>0</v>
      </c>
      <c r="M1342" t="s">
        <v>1809</v>
      </c>
      <c r="N1342">
        <v>4</v>
      </c>
      <c r="O1342" t="s">
        <v>1811</v>
      </c>
      <c r="P1342" t="s">
        <v>1834</v>
      </c>
    </row>
    <row r="1343" spans="1:16" x14ac:dyDescent="0.3">
      <c r="A1343" t="s">
        <v>1354</v>
      </c>
      <c r="B1343" t="s">
        <v>1722</v>
      </c>
      <c r="C1343">
        <v>58</v>
      </c>
      <c r="D1343" t="s">
        <v>1784</v>
      </c>
      <c r="E1343" t="s">
        <v>1792</v>
      </c>
      <c r="F1343" t="s">
        <v>1796</v>
      </c>
      <c r="G1343" s="5">
        <v>60319</v>
      </c>
      <c r="H1343" t="s">
        <v>1805</v>
      </c>
      <c r="I1343" t="s">
        <v>1806</v>
      </c>
      <c r="J1343" s="2">
        <v>45938</v>
      </c>
      <c r="K1343">
        <f t="shared" ca="1" si="40"/>
        <v>0</v>
      </c>
      <c r="L1343">
        <f t="shared" ca="1" si="41"/>
        <v>2</v>
      </c>
      <c r="M1343" t="s">
        <v>1810</v>
      </c>
      <c r="N1343">
        <v>2</v>
      </c>
      <c r="O1343" t="s">
        <v>1811</v>
      </c>
      <c r="P1343" t="s">
        <v>1834</v>
      </c>
    </row>
    <row r="1344" spans="1:16" x14ac:dyDescent="0.3">
      <c r="A1344" t="s">
        <v>1355</v>
      </c>
      <c r="B1344" t="s">
        <v>1713</v>
      </c>
      <c r="C1344">
        <v>28</v>
      </c>
      <c r="D1344" t="s">
        <v>1785</v>
      </c>
      <c r="E1344" t="s">
        <v>1792</v>
      </c>
      <c r="F1344" t="s">
        <v>1800</v>
      </c>
      <c r="G1344" s="5">
        <v>84361</v>
      </c>
      <c r="H1344" t="s">
        <v>1801</v>
      </c>
      <c r="I1344" t="s">
        <v>1806</v>
      </c>
      <c r="J1344" s="2">
        <v>43180</v>
      </c>
      <c r="K1344">
        <f t="shared" ca="1" si="40"/>
        <v>7</v>
      </c>
      <c r="L1344">
        <f t="shared" ca="1" si="41"/>
        <v>8</v>
      </c>
      <c r="M1344" t="s">
        <v>1810</v>
      </c>
      <c r="N1344">
        <v>3</v>
      </c>
      <c r="O1344" t="s">
        <v>1811</v>
      </c>
      <c r="P1344" t="s">
        <v>1833</v>
      </c>
    </row>
    <row r="1345" spans="1:16" x14ac:dyDescent="0.3">
      <c r="A1345" t="s">
        <v>1356</v>
      </c>
      <c r="B1345" t="s">
        <v>1719</v>
      </c>
      <c r="C1345">
        <v>23</v>
      </c>
      <c r="D1345" t="s">
        <v>1784</v>
      </c>
      <c r="E1345" t="s">
        <v>1793</v>
      </c>
      <c r="F1345" t="s">
        <v>1795</v>
      </c>
      <c r="G1345" s="5">
        <v>109516</v>
      </c>
      <c r="H1345" t="s">
        <v>1803</v>
      </c>
      <c r="I1345" t="s">
        <v>1807</v>
      </c>
      <c r="J1345" s="2">
        <v>44288</v>
      </c>
      <c r="K1345">
        <f t="shared" ca="1" si="40"/>
        <v>4</v>
      </c>
      <c r="L1345">
        <f t="shared" ca="1" si="41"/>
        <v>8</v>
      </c>
      <c r="M1345" t="s">
        <v>1810</v>
      </c>
      <c r="N1345">
        <v>2</v>
      </c>
      <c r="O1345" t="s">
        <v>1818</v>
      </c>
      <c r="P1345" t="s">
        <v>1832</v>
      </c>
    </row>
    <row r="1346" spans="1:16" x14ac:dyDescent="0.3">
      <c r="A1346" t="s">
        <v>1357</v>
      </c>
      <c r="B1346" t="s">
        <v>1763</v>
      </c>
      <c r="C1346">
        <v>41</v>
      </c>
      <c r="D1346" t="s">
        <v>1784</v>
      </c>
      <c r="E1346" t="s">
        <v>1793</v>
      </c>
      <c r="F1346" t="s">
        <v>1798</v>
      </c>
      <c r="G1346" s="5">
        <v>108021</v>
      </c>
      <c r="H1346" t="s">
        <v>1801</v>
      </c>
      <c r="I1346" t="s">
        <v>1807</v>
      </c>
      <c r="J1346" s="2">
        <v>44412</v>
      </c>
      <c r="K1346">
        <f t="shared" ca="1" si="40"/>
        <v>4</v>
      </c>
      <c r="L1346">
        <f t="shared" ca="1" si="41"/>
        <v>4</v>
      </c>
      <c r="M1346" t="s">
        <v>1810</v>
      </c>
      <c r="N1346">
        <v>2</v>
      </c>
      <c r="O1346" t="s">
        <v>1818</v>
      </c>
      <c r="P1346" t="s">
        <v>1831</v>
      </c>
    </row>
    <row r="1347" spans="1:16" x14ac:dyDescent="0.3">
      <c r="A1347" t="s">
        <v>1358</v>
      </c>
      <c r="B1347" t="s">
        <v>1750</v>
      </c>
      <c r="C1347">
        <v>31</v>
      </c>
      <c r="D1347" t="s">
        <v>1784</v>
      </c>
      <c r="E1347" t="s">
        <v>1792</v>
      </c>
      <c r="F1347" t="s">
        <v>1798</v>
      </c>
      <c r="G1347" s="5">
        <v>57620</v>
      </c>
      <c r="H1347" t="s">
        <v>1802</v>
      </c>
      <c r="I1347" t="s">
        <v>1808</v>
      </c>
      <c r="J1347" s="2">
        <v>45983</v>
      </c>
      <c r="K1347">
        <f t="shared" ref="K1347:K1410" ca="1" si="42">YEAR(TODAY()) - YEAR(J1347)</f>
        <v>0</v>
      </c>
      <c r="L1347">
        <f t="shared" ref="L1347:L1410" ca="1" si="43">DATEDIF(J1347,TODAY(),"YM")</f>
        <v>0</v>
      </c>
      <c r="M1347" t="s">
        <v>1810</v>
      </c>
      <c r="N1347">
        <v>2</v>
      </c>
      <c r="O1347" t="s">
        <v>1812</v>
      </c>
      <c r="P1347" t="s">
        <v>1833</v>
      </c>
    </row>
    <row r="1348" spans="1:16" x14ac:dyDescent="0.3">
      <c r="A1348" t="s">
        <v>1359</v>
      </c>
      <c r="B1348" t="s">
        <v>1713</v>
      </c>
      <c r="C1348">
        <v>30</v>
      </c>
      <c r="D1348" t="s">
        <v>1783</v>
      </c>
      <c r="E1348" t="s">
        <v>1791</v>
      </c>
      <c r="F1348" t="s">
        <v>1795</v>
      </c>
      <c r="G1348" s="5">
        <v>115039</v>
      </c>
      <c r="H1348" t="s">
        <v>1805</v>
      </c>
      <c r="I1348" t="s">
        <v>1807</v>
      </c>
      <c r="J1348" s="2">
        <v>44232</v>
      </c>
      <c r="K1348">
        <f t="shared" ca="1" si="42"/>
        <v>4</v>
      </c>
      <c r="L1348">
        <f t="shared" ca="1" si="43"/>
        <v>10</v>
      </c>
      <c r="M1348" t="s">
        <v>1810</v>
      </c>
      <c r="N1348">
        <v>3</v>
      </c>
      <c r="O1348" t="s">
        <v>1811</v>
      </c>
      <c r="P1348" t="s">
        <v>1833</v>
      </c>
    </row>
    <row r="1349" spans="1:16" x14ac:dyDescent="0.3">
      <c r="A1349" t="s">
        <v>1360</v>
      </c>
      <c r="B1349" t="s">
        <v>1733</v>
      </c>
      <c r="C1349">
        <v>53</v>
      </c>
      <c r="D1349" t="s">
        <v>1785</v>
      </c>
      <c r="E1349" t="s">
        <v>1789</v>
      </c>
      <c r="F1349" t="s">
        <v>1795</v>
      </c>
      <c r="G1349" s="5">
        <v>101208</v>
      </c>
      <c r="H1349" t="s">
        <v>1801</v>
      </c>
      <c r="I1349" t="s">
        <v>1808</v>
      </c>
      <c r="J1349" s="2">
        <v>44378</v>
      </c>
      <c r="K1349">
        <f t="shared" ca="1" si="42"/>
        <v>4</v>
      </c>
      <c r="L1349">
        <f t="shared" ca="1" si="43"/>
        <v>5</v>
      </c>
      <c r="M1349" t="s">
        <v>1809</v>
      </c>
      <c r="N1349">
        <v>3</v>
      </c>
      <c r="O1349" t="s">
        <v>1811</v>
      </c>
      <c r="P1349" t="s">
        <v>1834</v>
      </c>
    </row>
    <row r="1350" spans="1:16" x14ac:dyDescent="0.3">
      <c r="A1350" t="s">
        <v>1361</v>
      </c>
      <c r="B1350" t="s">
        <v>1719</v>
      </c>
      <c r="C1350">
        <v>47</v>
      </c>
      <c r="D1350" t="s">
        <v>1783</v>
      </c>
      <c r="E1350" t="s">
        <v>1793</v>
      </c>
      <c r="F1350" t="s">
        <v>1796</v>
      </c>
      <c r="G1350" s="5">
        <v>29435</v>
      </c>
      <c r="H1350" t="s">
        <v>1804</v>
      </c>
      <c r="I1350" t="s">
        <v>1808</v>
      </c>
      <c r="J1350" s="2">
        <v>44081</v>
      </c>
      <c r="K1350">
        <f t="shared" ca="1" si="42"/>
        <v>5</v>
      </c>
      <c r="L1350">
        <f t="shared" ca="1" si="43"/>
        <v>3</v>
      </c>
      <c r="M1350" t="s">
        <v>1809</v>
      </c>
      <c r="N1350">
        <v>2</v>
      </c>
      <c r="O1350" t="s">
        <v>1813</v>
      </c>
      <c r="P1350" t="s">
        <v>1834</v>
      </c>
    </row>
    <row r="1351" spans="1:16" x14ac:dyDescent="0.3">
      <c r="A1351" t="s">
        <v>1362</v>
      </c>
      <c r="B1351" t="s">
        <v>1752</v>
      </c>
      <c r="C1351">
        <v>25</v>
      </c>
      <c r="D1351" t="s">
        <v>1785</v>
      </c>
      <c r="E1351" t="s">
        <v>1791</v>
      </c>
      <c r="F1351" t="s">
        <v>1798</v>
      </c>
      <c r="G1351" s="5">
        <v>105115</v>
      </c>
      <c r="H1351" t="s">
        <v>1803</v>
      </c>
      <c r="I1351" t="s">
        <v>1806</v>
      </c>
      <c r="J1351" s="2">
        <v>44674</v>
      </c>
      <c r="K1351">
        <f t="shared" ca="1" si="42"/>
        <v>3</v>
      </c>
      <c r="L1351">
        <f t="shared" ca="1" si="43"/>
        <v>7</v>
      </c>
      <c r="M1351" t="s">
        <v>1810</v>
      </c>
      <c r="N1351">
        <v>5</v>
      </c>
      <c r="O1351" t="s">
        <v>1814</v>
      </c>
      <c r="P1351" t="s">
        <v>1832</v>
      </c>
    </row>
    <row r="1352" spans="1:16" x14ac:dyDescent="0.3">
      <c r="A1352" t="s">
        <v>1363</v>
      </c>
      <c r="B1352" t="s">
        <v>1726</v>
      </c>
      <c r="C1352">
        <v>31</v>
      </c>
      <c r="D1352" t="s">
        <v>1785</v>
      </c>
      <c r="E1352" t="s">
        <v>1787</v>
      </c>
      <c r="F1352" t="s">
        <v>1795</v>
      </c>
      <c r="G1352" s="5">
        <v>33184</v>
      </c>
      <c r="H1352" t="s">
        <v>1801</v>
      </c>
      <c r="I1352" t="s">
        <v>1807</v>
      </c>
      <c r="J1352" s="2">
        <v>43267</v>
      </c>
      <c r="K1352">
        <f t="shared" ca="1" si="42"/>
        <v>7</v>
      </c>
      <c r="L1352">
        <f t="shared" ca="1" si="43"/>
        <v>5</v>
      </c>
      <c r="M1352" t="s">
        <v>1809</v>
      </c>
      <c r="N1352">
        <v>3</v>
      </c>
      <c r="O1352" t="s">
        <v>1816</v>
      </c>
      <c r="P1352" t="s">
        <v>1833</v>
      </c>
    </row>
    <row r="1353" spans="1:16" x14ac:dyDescent="0.3">
      <c r="A1353" t="s">
        <v>1364</v>
      </c>
      <c r="B1353" t="s">
        <v>1716</v>
      </c>
      <c r="C1353">
        <v>43</v>
      </c>
      <c r="D1353" t="s">
        <v>1783</v>
      </c>
      <c r="E1353" t="s">
        <v>1792</v>
      </c>
      <c r="F1353" t="s">
        <v>1795</v>
      </c>
      <c r="G1353" s="5">
        <v>32778</v>
      </c>
      <c r="H1353" t="s">
        <v>1804</v>
      </c>
      <c r="I1353" t="s">
        <v>1806</v>
      </c>
      <c r="J1353" s="2">
        <v>44611</v>
      </c>
      <c r="K1353">
        <f t="shared" ca="1" si="42"/>
        <v>3</v>
      </c>
      <c r="L1353">
        <f t="shared" ca="1" si="43"/>
        <v>9</v>
      </c>
      <c r="M1353" t="s">
        <v>1809</v>
      </c>
      <c r="N1353">
        <v>3</v>
      </c>
      <c r="O1353" t="s">
        <v>1816</v>
      </c>
      <c r="P1353" t="s">
        <v>1831</v>
      </c>
    </row>
    <row r="1354" spans="1:16" x14ac:dyDescent="0.3">
      <c r="A1354" t="s">
        <v>1365</v>
      </c>
      <c r="B1354" t="s">
        <v>1722</v>
      </c>
      <c r="C1354">
        <v>50</v>
      </c>
      <c r="D1354" t="s">
        <v>1783</v>
      </c>
      <c r="E1354" t="s">
        <v>1786</v>
      </c>
      <c r="F1354" t="s">
        <v>1800</v>
      </c>
      <c r="G1354" s="5">
        <v>105036</v>
      </c>
      <c r="H1354" t="s">
        <v>1803</v>
      </c>
      <c r="I1354" t="s">
        <v>1808</v>
      </c>
      <c r="J1354" s="2">
        <v>43315</v>
      </c>
      <c r="K1354">
        <f t="shared" ca="1" si="42"/>
        <v>7</v>
      </c>
      <c r="L1354">
        <f t="shared" ca="1" si="43"/>
        <v>4</v>
      </c>
      <c r="M1354" t="s">
        <v>1809</v>
      </c>
      <c r="N1354">
        <v>2</v>
      </c>
      <c r="O1354" t="s">
        <v>1811</v>
      </c>
      <c r="P1354" t="s">
        <v>1834</v>
      </c>
    </row>
    <row r="1355" spans="1:16" x14ac:dyDescent="0.3">
      <c r="A1355" t="s">
        <v>1366</v>
      </c>
      <c r="B1355" t="s">
        <v>1719</v>
      </c>
      <c r="C1355">
        <v>54</v>
      </c>
      <c r="D1355" t="s">
        <v>1783</v>
      </c>
      <c r="E1355" t="s">
        <v>1791</v>
      </c>
      <c r="F1355" t="s">
        <v>1798</v>
      </c>
      <c r="G1355" s="5">
        <v>105435</v>
      </c>
      <c r="H1355" t="s">
        <v>1805</v>
      </c>
      <c r="I1355" t="s">
        <v>1807</v>
      </c>
      <c r="J1355" s="2">
        <v>45965</v>
      </c>
      <c r="K1355">
        <f t="shared" ca="1" si="42"/>
        <v>0</v>
      </c>
      <c r="L1355">
        <f t="shared" ca="1" si="43"/>
        <v>1</v>
      </c>
      <c r="M1355" t="s">
        <v>1809</v>
      </c>
      <c r="N1355">
        <v>4</v>
      </c>
      <c r="O1355" t="s">
        <v>1813</v>
      </c>
      <c r="P1355" t="s">
        <v>1834</v>
      </c>
    </row>
    <row r="1356" spans="1:16" x14ac:dyDescent="0.3">
      <c r="A1356" t="s">
        <v>1367</v>
      </c>
      <c r="B1356" t="s">
        <v>1729</v>
      </c>
      <c r="C1356">
        <v>35</v>
      </c>
      <c r="D1356" t="s">
        <v>1785</v>
      </c>
      <c r="E1356" t="s">
        <v>1787</v>
      </c>
      <c r="F1356" t="s">
        <v>1796</v>
      </c>
      <c r="G1356" s="5">
        <v>100001</v>
      </c>
      <c r="H1356" t="s">
        <v>1802</v>
      </c>
      <c r="I1356" t="s">
        <v>1808</v>
      </c>
      <c r="J1356" s="2">
        <v>44102</v>
      </c>
      <c r="K1356">
        <f t="shared" ca="1" si="42"/>
        <v>5</v>
      </c>
      <c r="L1356">
        <f t="shared" ca="1" si="43"/>
        <v>2</v>
      </c>
      <c r="M1356" t="s">
        <v>1809</v>
      </c>
      <c r="N1356">
        <v>4</v>
      </c>
      <c r="O1356" t="s">
        <v>1818</v>
      </c>
      <c r="P1356" t="s">
        <v>1833</v>
      </c>
    </row>
    <row r="1357" spans="1:16" x14ac:dyDescent="0.3">
      <c r="A1357" t="s">
        <v>1368</v>
      </c>
      <c r="B1357" t="s">
        <v>1741</v>
      </c>
      <c r="C1357">
        <v>45</v>
      </c>
      <c r="D1357" t="s">
        <v>1783</v>
      </c>
      <c r="E1357" t="s">
        <v>1786</v>
      </c>
      <c r="F1357" t="s">
        <v>1794</v>
      </c>
      <c r="G1357" s="5">
        <v>106035</v>
      </c>
      <c r="H1357" t="s">
        <v>1804</v>
      </c>
      <c r="I1357" t="s">
        <v>1808</v>
      </c>
      <c r="J1357" s="2">
        <v>44280</v>
      </c>
      <c r="K1357">
        <f t="shared" ca="1" si="42"/>
        <v>4</v>
      </c>
      <c r="L1357">
        <f t="shared" ca="1" si="43"/>
        <v>8</v>
      </c>
      <c r="M1357" t="s">
        <v>1809</v>
      </c>
      <c r="N1357">
        <v>2</v>
      </c>
      <c r="O1357" t="s">
        <v>1812</v>
      </c>
      <c r="P1357" t="s">
        <v>1831</v>
      </c>
    </row>
    <row r="1358" spans="1:16" x14ac:dyDescent="0.3">
      <c r="A1358" t="s">
        <v>1369</v>
      </c>
      <c r="B1358" t="s">
        <v>1717</v>
      </c>
      <c r="C1358">
        <v>52</v>
      </c>
      <c r="D1358" t="s">
        <v>1784</v>
      </c>
      <c r="E1358" t="s">
        <v>1791</v>
      </c>
      <c r="F1358" t="s">
        <v>1795</v>
      </c>
      <c r="G1358" s="5">
        <v>49632</v>
      </c>
      <c r="H1358" t="s">
        <v>1805</v>
      </c>
      <c r="I1358" t="s">
        <v>1808</v>
      </c>
      <c r="J1358" s="2">
        <v>44474</v>
      </c>
      <c r="K1358">
        <f t="shared" ca="1" si="42"/>
        <v>4</v>
      </c>
      <c r="L1358">
        <f t="shared" ca="1" si="43"/>
        <v>2</v>
      </c>
      <c r="M1358" t="s">
        <v>1809</v>
      </c>
      <c r="N1358">
        <v>4</v>
      </c>
      <c r="O1358" t="s">
        <v>1818</v>
      </c>
      <c r="P1358" t="s">
        <v>1834</v>
      </c>
    </row>
    <row r="1359" spans="1:16" x14ac:dyDescent="0.3">
      <c r="A1359" t="s">
        <v>1370</v>
      </c>
      <c r="B1359" t="s">
        <v>1716</v>
      </c>
      <c r="C1359">
        <v>55</v>
      </c>
      <c r="D1359" t="s">
        <v>1783</v>
      </c>
      <c r="E1359" t="s">
        <v>1791</v>
      </c>
      <c r="F1359" t="s">
        <v>1794</v>
      </c>
      <c r="G1359" s="5">
        <v>119307</v>
      </c>
      <c r="H1359" t="s">
        <v>1801</v>
      </c>
      <c r="I1359" t="s">
        <v>1808</v>
      </c>
      <c r="J1359" s="2">
        <v>43574</v>
      </c>
      <c r="K1359">
        <f t="shared" ca="1" si="42"/>
        <v>6</v>
      </c>
      <c r="L1359">
        <f t="shared" ca="1" si="43"/>
        <v>7</v>
      </c>
      <c r="M1359" t="s">
        <v>1810</v>
      </c>
      <c r="N1359">
        <v>3</v>
      </c>
      <c r="O1359" t="s">
        <v>1812</v>
      </c>
      <c r="P1359" t="s">
        <v>1834</v>
      </c>
    </row>
    <row r="1360" spans="1:16" x14ac:dyDescent="0.3">
      <c r="A1360" t="s">
        <v>1371</v>
      </c>
      <c r="B1360" t="s">
        <v>1775</v>
      </c>
      <c r="C1360">
        <v>54</v>
      </c>
      <c r="D1360" t="s">
        <v>1785</v>
      </c>
      <c r="E1360" t="s">
        <v>1789</v>
      </c>
      <c r="F1360" t="s">
        <v>1799</v>
      </c>
      <c r="G1360" s="5">
        <v>58388</v>
      </c>
      <c r="H1360" t="s">
        <v>1803</v>
      </c>
      <c r="I1360" t="s">
        <v>1806</v>
      </c>
      <c r="J1360" s="2">
        <v>44435</v>
      </c>
      <c r="K1360">
        <f t="shared" ca="1" si="42"/>
        <v>4</v>
      </c>
      <c r="L1360">
        <f t="shared" ca="1" si="43"/>
        <v>3</v>
      </c>
      <c r="M1360" t="s">
        <v>1810</v>
      </c>
      <c r="N1360">
        <v>5</v>
      </c>
      <c r="O1360" t="s">
        <v>1816</v>
      </c>
      <c r="P1360" t="s">
        <v>1834</v>
      </c>
    </row>
    <row r="1361" spans="1:16" x14ac:dyDescent="0.3">
      <c r="A1361" t="s">
        <v>1372</v>
      </c>
      <c r="B1361" t="s">
        <v>1737</v>
      </c>
      <c r="C1361">
        <v>25</v>
      </c>
      <c r="D1361" t="s">
        <v>1785</v>
      </c>
      <c r="E1361" t="s">
        <v>1790</v>
      </c>
      <c r="F1361" t="s">
        <v>1795</v>
      </c>
      <c r="G1361" s="5">
        <v>62880</v>
      </c>
      <c r="H1361" t="s">
        <v>1805</v>
      </c>
      <c r="I1361" t="s">
        <v>1806</v>
      </c>
      <c r="J1361" s="2">
        <v>45024</v>
      </c>
      <c r="K1361">
        <f t="shared" ca="1" si="42"/>
        <v>2</v>
      </c>
      <c r="L1361">
        <f t="shared" ca="1" si="43"/>
        <v>8</v>
      </c>
      <c r="M1361" t="s">
        <v>1809</v>
      </c>
      <c r="N1361">
        <v>3</v>
      </c>
      <c r="O1361" t="s">
        <v>1814</v>
      </c>
      <c r="P1361" t="s">
        <v>1832</v>
      </c>
    </row>
    <row r="1362" spans="1:16" x14ac:dyDescent="0.3">
      <c r="A1362" t="s">
        <v>1373</v>
      </c>
      <c r="B1362" t="s">
        <v>1725</v>
      </c>
      <c r="C1362">
        <v>38</v>
      </c>
      <c r="D1362" t="s">
        <v>1785</v>
      </c>
      <c r="E1362" t="s">
        <v>1786</v>
      </c>
      <c r="F1362" t="s">
        <v>1796</v>
      </c>
      <c r="G1362" s="5">
        <v>59032</v>
      </c>
      <c r="H1362" t="s">
        <v>1802</v>
      </c>
      <c r="I1362" t="s">
        <v>1806</v>
      </c>
      <c r="J1362" s="2">
        <v>43221</v>
      </c>
      <c r="K1362">
        <f t="shared" ca="1" si="42"/>
        <v>7</v>
      </c>
      <c r="L1362">
        <f t="shared" ca="1" si="43"/>
        <v>7</v>
      </c>
      <c r="M1362" t="s">
        <v>1810</v>
      </c>
      <c r="N1362">
        <v>3</v>
      </c>
      <c r="O1362" t="s">
        <v>1815</v>
      </c>
      <c r="P1362" t="s">
        <v>1831</v>
      </c>
    </row>
    <row r="1363" spans="1:16" x14ac:dyDescent="0.3">
      <c r="A1363" t="s">
        <v>1374</v>
      </c>
      <c r="B1363" t="s">
        <v>1753</v>
      </c>
      <c r="C1363">
        <v>46</v>
      </c>
      <c r="D1363" t="s">
        <v>1784</v>
      </c>
      <c r="E1363" t="s">
        <v>1788</v>
      </c>
      <c r="F1363" t="s">
        <v>1800</v>
      </c>
      <c r="G1363" s="5">
        <v>96349</v>
      </c>
      <c r="H1363" t="s">
        <v>1802</v>
      </c>
      <c r="I1363" t="s">
        <v>1806</v>
      </c>
      <c r="J1363" s="2">
        <v>45661</v>
      </c>
      <c r="K1363">
        <f t="shared" ca="1" si="42"/>
        <v>0</v>
      </c>
      <c r="L1363">
        <f t="shared" ca="1" si="43"/>
        <v>11</v>
      </c>
      <c r="M1363" t="s">
        <v>1809</v>
      </c>
      <c r="N1363">
        <v>3</v>
      </c>
      <c r="O1363" t="s">
        <v>1815</v>
      </c>
      <c r="P1363" t="s">
        <v>1834</v>
      </c>
    </row>
    <row r="1364" spans="1:16" x14ac:dyDescent="0.3">
      <c r="A1364" t="s">
        <v>1375</v>
      </c>
      <c r="B1364" t="s">
        <v>1758</v>
      </c>
      <c r="C1364">
        <v>54</v>
      </c>
      <c r="D1364" t="s">
        <v>1785</v>
      </c>
      <c r="E1364" t="s">
        <v>1789</v>
      </c>
      <c r="F1364" t="s">
        <v>1799</v>
      </c>
      <c r="G1364" s="5">
        <v>44799</v>
      </c>
      <c r="H1364" t="s">
        <v>1803</v>
      </c>
      <c r="I1364" t="s">
        <v>1806</v>
      </c>
      <c r="J1364" s="2">
        <v>44568</v>
      </c>
      <c r="K1364">
        <f t="shared" ca="1" si="42"/>
        <v>3</v>
      </c>
      <c r="L1364">
        <f t="shared" ca="1" si="43"/>
        <v>11</v>
      </c>
      <c r="M1364" t="s">
        <v>1809</v>
      </c>
      <c r="N1364">
        <v>1</v>
      </c>
      <c r="O1364" t="s">
        <v>1814</v>
      </c>
      <c r="P1364" t="s">
        <v>1834</v>
      </c>
    </row>
    <row r="1365" spans="1:16" x14ac:dyDescent="0.3">
      <c r="A1365" t="s">
        <v>1376</v>
      </c>
      <c r="B1365" t="s">
        <v>1732</v>
      </c>
      <c r="C1365">
        <v>58</v>
      </c>
      <c r="D1365" t="s">
        <v>1785</v>
      </c>
      <c r="E1365" t="s">
        <v>1789</v>
      </c>
      <c r="F1365" t="s">
        <v>1794</v>
      </c>
      <c r="G1365" s="5">
        <v>41996</v>
      </c>
      <c r="H1365" t="s">
        <v>1803</v>
      </c>
      <c r="I1365" t="s">
        <v>1808</v>
      </c>
      <c r="J1365" s="2">
        <v>43444</v>
      </c>
      <c r="K1365">
        <f t="shared" ca="1" si="42"/>
        <v>7</v>
      </c>
      <c r="L1365">
        <f t="shared" ca="1" si="43"/>
        <v>0</v>
      </c>
      <c r="M1365" t="s">
        <v>1810</v>
      </c>
      <c r="N1365">
        <v>4</v>
      </c>
      <c r="O1365" t="s">
        <v>1814</v>
      </c>
      <c r="P1365" t="s">
        <v>1834</v>
      </c>
    </row>
    <row r="1366" spans="1:16" x14ac:dyDescent="0.3">
      <c r="A1366" t="s">
        <v>1377</v>
      </c>
      <c r="B1366" t="s">
        <v>1770</v>
      </c>
      <c r="C1366">
        <v>54</v>
      </c>
      <c r="D1366" t="s">
        <v>1784</v>
      </c>
      <c r="E1366" t="s">
        <v>1791</v>
      </c>
      <c r="F1366" t="s">
        <v>1795</v>
      </c>
      <c r="G1366" s="5">
        <v>51387</v>
      </c>
      <c r="H1366" t="s">
        <v>1801</v>
      </c>
      <c r="I1366" t="s">
        <v>1808</v>
      </c>
      <c r="J1366" s="2">
        <v>42947</v>
      </c>
      <c r="K1366">
        <f t="shared" ca="1" si="42"/>
        <v>8</v>
      </c>
      <c r="L1366">
        <f t="shared" ca="1" si="43"/>
        <v>4</v>
      </c>
      <c r="M1366" t="s">
        <v>1810</v>
      </c>
      <c r="N1366">
        <v>5</v>
      </c>
      <c r="O1366" t="s">
        <v>1811</v>
      </c>
      <c r="P1366" t="s">
        <v>1834</v>
      </c>
    </row>
    <row r="1367" spans="1:16" x14ac:dyDescent="0.3">
      <c r="A1367" t="s">
        <v>1378</v>
      </c>
      <c r="B1367" t="s">
        <v>1714</v>
      </c>
      <c r="C1367">
        <v>32</v>
      </c>
      <c r="D1367" t="s">
        <v>1784</v>
      </c>
      <c r="E1367" t="s">
        <v>1790</v>
      </c>
      <c r="F1367" t="s">
        <v>1795</v>
      </c>
      <c r="G1367" s="5">
        <v>77606</v>
      </c>
      <c r="H1367" t="s">
        <v>1805</v>
      </c>
      <c r="I1367" t="s">
        <v>1808</v>
      </c>
      <c r="J1367" s="2">
        <v>44531</v>
      </c>
      <c r="K1367">
        <f t="shared" ca="1" si="42"/>
        <v>4</v>
      </c>
      <c r="L1367">
        <f t="shared" ca="1" si="43"/>
        <v>0</v>
      </c>
      <c r="M1367" t="s">
        <v>1810</v>
      </c>
      <c r="N1367">
        <v>2</v>
      </c>
      <c r="O1367" t="s">
        <v>1814</v>
      </c>
      <c r="P1367" t="s">
        <v>1833</v>
      </c>
    </row>
    <row r="1368" spans="1:16" x14ac:dyDescent="0.3">
      <c r="A1368" t="s">
        <v>1379</v>
      </c>
      <c r="B1368" t="s">
        <v>1768</v>
      </c>
      <c r="C1368">
        <v>51</v>
      </c>
      <c r="D1368" t="s">
        <v>1785</v>
      </c>
      <c r="E1368" t="s">
        <v>1793</v>
      </c>
      <c r="F1368" t="s">
        <v>1800</v>
      </c>
      <c r="G1368" s="5">
        <v>80438</v>
      </c>
      <c r="H1368" t="s">
        <v>1803</v>
      </c>
      <c r="I1368" t="s">
        <v>1808</v>
      </c>
      <c r="J1368" s="2">
        <v>42927</v>
      </c>
      <c r="K1368">
        <f t="shared" ca="1" si="42"/>
        <v>8</v>
      </c>
      <c r="L1368">
        <f t="shared" ca="1" si="43"/>
        <v>4</v>
      </c>
      <c r="M1368" t="s">
        <v>1809</v>
      </c>
      <c r="N1368">
        <v>2</v>
      </c>
      <c r="O1368" t="s">
        <v>1813</v>
      </c>
      <c r="P1368" t="s">
        <v>1834</v>
      </c>
    </row>
    <row r="1369" spans="1:16" x14ac:dyDescent="0.3">
      <c r="A1369" t="s">
        <v>1380</v>
      </c>
      <c r="B1369" t="s">
        <v>1741</v>
      </c>
      <c r="C1369">
        <v>23</v>
      </c>
      <c r="D1369" t="s">
        <v>1783</v>
      </c>
      <c r="E1369" t="s">
        <v>1793</v>
      </c>
      <c r="F1369" t="s">
        <v>1797</v>
      </c>
      <c r="G1369" s="5">
        <v>54353</v>
      </c>
      <c r="H1369" t="s">
        <v>1805</v>
      </c>
      <c r="I1369" t="s">
        <v>1806</v>
      </c>
      <c r="J1369" s="2">
        <v>43537</v>
      </c>
      <c r="K1369">
        <f t="shared" ca="1" si="42"/>
        <v>6</v>
      </c>
      <c r="L1369">
        <f t="shared" ca="1" si="43"/>
        <v>8</v>
      </c>
      <c r="M1369" t="s">
        <v>1809</v>
      </c>
      <c r="N1369">
        <v>1</v>
      </c>
      <c r="O1369" t="s">
        <v>1811</v>
      </c>
      <c r="P1369" t="s">
        <v>1832</v>
      </c>
    </row>
    <row r="1370" spans="1:16" x14ac:dyDescent="0.3">
      <c r="A1370" t="s">
        <v>1381</v>
      </c>
      <c r="B1370" t="s">
        <v>1779</v>
      </c>
      <c r="C1370">
        <v>56</v>
      </c>
      <c r="D1370" t="s">
        <v>1783</v>
      </c>
      <c r="E1370" t="s">
        <v>1792</v>
      </c>
      <c r="F1370" t="s">
        <v>1796</v>
      </c>
      <c r="G1370" s="5">
        <v>32605</v>
      </c>
      <c r="H1370" t="s">
        <v>1805</v>
      </c>
      <c r="I1370" t="s">
        <v>1806</v>
      </c>
      <c r="J1370" s="2">
        <v>43573</v>
      </c>
      <c r="K1370">
        <f t="shared" ca="1" si="42"/>
        <v>6</v>
      </c>
      <c r="L1370">
        <f t="shared" ca="1" si="43"/>
        <v>7</v>
      </c>
      <c r="M1370" t="s">
        <v>1810</v>
      </c>
      <c r="N1370">
        <v>4</v>
      </c>
      <c r="O1370" t="s">
        <v>1815</v>
      </c>
      <c r="P1370" t="s">
        <v>1834</v>
      </c>
    </row>
    <row r="1371" spans="1:16" x14ac:dyDescent="0.3">
      <c r="A1371" t="s">
        <v>1382</v>
      </c>
      <c r="B1371" t="s">
        <v>1732</v>
      </c>
      <c r="C1371">
        <v>58</v>
      </c>
      <c r="D1371" t="s">
        <v>1785</v>
      </c>
      <c r="E1371" t="s">
        <v>1788</v>
      </c>
      <c r="F1371" t="s">
        <v>1796</v>
      </c>
      <c r="G1371" s="5">
        <v>90432</v>
      </c>
      <c r="H1371" t="s">
        <v>1802</v>
      </c>
      <c r="I1371" t="s">
        <v>1807</v>
      </c>
      <c r="J1371" s="2">
        <v>42532</v>
      </c>
      <c r="K1371">
        <f t="shared" ca="1" si="42"/>
        <v>9</v>
      </c>
      <c r="L1371">
        <f t="shared" ca="1" si="43"/>
        <v>5</v>
      </c>
      <c r="M1371" t="s">
        <v>1810</v>
      </c>
      <c r="N1371">
        <v>2</v>
      </c>
      <c r="O1371" t="s">
        <v>1816</v>
      </c>
      <c r="P1371" t="s">
        <v>1834</v>
      </c>
    </row>
    <row r="1372" spans="1:16" x14ac:dyDescent="0.3">
      <c r="A1372" t="s">
        <v>1383</v>
      </c>
      <c r="B1372" t="s">
        <v>1782</v>
      </c>
      <c r="C1372">
        <v>54</v>
      </c>
      <c r="D1372" t="s">
        <v>1785</v>
      </c>
      <c r="E1372" t="s">
        <v>1792</v>
      </c>
      <c r="F1372" t="s">
        <v>1797</v>
      </c>
      <c r="G1372" s="5">
        <v>39023</v>
      </c>
      <c r="H1372" t="s">
        <v>1805</v>
      </c>
      <c r="I1372" t="s">
        <v>1806</v>
      </c>
      <c r="J1372" s="2">
        <v>44953</v>
      </c>
      <c r="K1372">
        <f t="shared" ca="1" si="42"/>
        <v>2</v>
      </c>
      <c r="L1372">
        <f t="shared" ca="1" si="43"/>
        <v>10</v>
      </c>
      <c r="M1372" t="s">
        <v>1810</v>
      </c>
      <c r="N1372">
        <v>4</v>
      </c>
      <c r="O1372" t="s">
        <v>1813</v>
      </c>
      <c r="P1372" t="s">
        <v>1834</v>
      </c>
    </row>
    <row r="1373" spans="1:16" x14ac:dyDescent="0.3">
      <c r="A1373" t="s">
        <v>1384</v>
      </c>
      <c r="B1373" t="s">
        <v>1769</v>
      </c>
      <c r="C1373">
        <v>46</v>
      </c>
      <c r="D1373" t="s">
        <v>1783</v>
      </c>
      <c r="E1373" t="s">
        <v>1786</v>
      </c>
      <c r="F1373" t="s">
        <v>1795</v>
      </c>
      <c r="G1373" s="5">
        <v>78228</v>
      </c>
      <c r="H1373" t="s">
        <v>1802</v>
      </c>
      <c r="I1373" t="s">
        <v>1807</v>
      </c>
      <c r="J1373" s="2">
        <v>43340</v>
      </c>
      <c r="K1373">
        <f t="shared" ca="1" si="42"/>
        <v>7</v>
      </c>
      <c r="L1373">
        <f t="shared" ca="1" si="43"/>
        <v>3</v>
      </c>
      <c r="M1373" t="s">
        <v>1810</v>
      </c>
      <c r="N1373">
        <v>1</v>
      </c>
      <c r="O1373" t="s">
        <v>1818</v>
      </c>
      <c r="P1373" t="s">
        <v>1834</v>
      </c>
    </row>
    <row r="1374" spans="1:16" x14ac:dyDescent="0.3">
      <c r="A1374" t="s">
        <v>1385</v>
      </c>
      <c r="B1374" t="s">
        <v>1778</v>
      </c>
      <c r="C1374">
        <v>39</v>
      </c>
      <c r="D1374" t="s">
        <v>1784</v>
      </c>
      <c r="E1374" t="s">
        <v>1787</v>
      </c>
      <c r="F1374" t="s">
        <v>1798</v>
      </c>
      <c r="G1374" s="5">
        <v>76479</v>
      </c>
      <c r="H1374" t="s">
        <v>1802</v>
      </c>
      <c r="I1374" t="s">
        <v>1807</v>
      </c>
      <c r="J1374" s="2">
        <v>45908</v>
      </c>
      <c r="K1374">
        <f t="shared" ca="1" si="42"/>
        <v>0</v>
      </c>
      <c r="L1374">
        <f t="shared" ca="1" si="43"/>
        <v>3</v>
      </c>
      <c r="M1374" t="s">
        <v>1809</v>
      </c>
      <c r="N1374">
        <v>4</v>
      </c>
      <c r="O1374" t="s">
        <v>1812</v>
      </c>
      <c r="P1374" t="s">
        <v>1831</v>
      </c>
    </row>
    <row r="1375" spans="1:16" x14ac:dyDescent="0.3">
      <c r="A1375" t="s">
        <v>1386</v>
      </c>
      <c r="B1375" t="s">
        <v>1721</v>
      </c>
      <c r="C1375">
        <v>44</v>
      </c>
      <c r="D1375" t="s">
        <v>1785</v>
      </c>
      <c r="E1375" t="s">
        <v>1787</v>
      </c>
      <c r="F1375" t="s">
        <v>1795</v>
      </c>
      <c r="G1375" s="5">
        <v>21018</v>
      </c>
      <c r="H1375" t="s">
        <v>1804</v>
      </c>
      <c r="I1375" t="s">
        <v>1807</v>
      </c>
      <c r="J1375" s="2">
        <v>45195</v>
      </c>
      <c r="K1375">
        <f t="shared" ca="1" si="42"/>
        <v>2</v>
      </c>
      <c r="L1375">
        <f t="shared" ca="1" si="43"/>
        <v>2</v>
      </c>
      <c r="M1375" t="s">
        <v>1810</v>
      </c>
      <c r="N1375">
        <v>4</v>
      </c>
      <c r="O1375" t="s">
        <v>1817</v>
      </c>
      <c r="P1375" t="s">
        <v>1831</v>
      </c>
    </row>
    <row r="1376" spans="1:16" x14ac:dyDescent="0.3">
      <c r="A1376" t="s">
        <v>1387</v>
      </c>
      <c r="B1376" t="s">
        <v>1724</v>
      </c>
      <c r="C1376">
        <v>51</v>
      </c>
      <c r="D1376" t="s">
        <v>1785</v>
      </c>
      <c r="E1376" t="s">
        <v>1787</v>
      </c>
      <c r="F1376" t="s">
        <v>1795</v>
      </c>
      <c r="G1376" s="5">
        <v>75958</v>
      </c>
      <c r="H1376" t="s">
        <v>1802</v>
      </c>
      <c r="I1376" t="s">
        <v>1808</v>
      </c>
      <c r="J1376" s="2">
        <v>43029</v>
      </c>
      <c r="K1376">
        <f t="shared" ca="1" si="42"/>
        <v>8</v>
      </c>
      <c r="L1376">
        <f t="shared" ca="1" si="43"/>
        <v>1</v>
      </c>
      <c r="M1376" t="s">
        <v>1809</v>
      </c>
      <c r="N1376">
        <v>5</v>
      </c>
      <c r="O1376" t="s">
        <v>1811</v>
      </c>
      <c r="P1376" t="s">
        <v>1834</v>
      </c>
    </row>
    <row r="1377" spans="1:16" x14ac:dyDescent="0.3">
      <c r="A1377" t="s">
        <v>1388</v>
      </c>
      <c r="B1377" t="s">
        <v>1751</v>
      </c>
      <c r="C1377">
        <v>45</v>
      </c>
      <c r="D1377" t="s">
        <v>1783</v>
      </c>
      <c r="E1377" t="s">
        <v>1786</v>
      </c>
      <c r="F1377" t="s">
        <v>1796</v>
      </c>
      <c r="G1377" s="5">
        <v>59184</v>
      </c>
      <c r="H1377" t="s">
        <v>1803</v>
      </c>
      <c r="I1377" t="s">
        <v>1808</v>
      </c>
      <c r="J1377" s="2">
        <v>43456</v>
      </c>
      <c r="K1377">
        <f t="shared" ca="1" si="42"/>
        <v>7</v>
      </c>
      <c r="L1377">
        <f t="shared" ca="1" si="43"/>
        <v>11</v>
      </c>
      <c r="M1377" t="s">
        <v>1810</v>
      </c>
      <c r="N1377">
        <v>2</v>
      </c>
      <c r="O1377" t="s">
        <v>1811</v>
      </c>
      <c r="P1377" t="s">
        <v>1831</v>
      </c>
    </row>
    <row r="1378" spans="1:16" x14ac:dyDescent="0.3">
      <c r="A1378" t="s">
        <v>1389</v>
      </c>
      <c r="B1378" t="s">
        <v>1770</v>
      </c>
      <c r="C1378">
        <v>21</v>
      </c>
      <c r="D1378" t="s">
        <v>1785</v>
      </c>
      <c r="E1378" t="s">
        <v>1786</v>
      </c>
      <c r="F1378" t="s">
        <v>1794</v>
      </c>
      <c r="G1378" s="5">
        <v>102603</v>
      </c>
      <c r="H1378" t="s">
        <v>1801</v>
      </c>
      <c r="I1378" t="s">
        <v>1808</v>
      </c>
      <c r="J1378" s="2">
        <v>45358</v>
      </c>
      <c r="K1378">
        <f t="shared" ca="1" si="42"/>
        <v>1</v>
      </c>
      <c r="L1378">
        <f t="shared" ca="1" si="43"/>
        <v>9</v>
      </c>
      <c r="M1378" t="s">
        <v>1809</v>
      </c>
      <c r="N1378">
        <v>4</v>
      </c>
      <c r="O1378" t="s">
        <v>1817</v>
      </c>
      <c r="P1378" t="s">
        <v>1832</v>
      </c>
    </row>
    <row r="1379" spans="1:16" x14ac:dyDescent="0.3">
      <c r="A1379" t="s">
        <v>1390</v>
      </c>
      <c r="B1379" t="s">
        <v>1731</v>
      </c>
      <c r="C1379">
        <v>21</v>
      </c>
      <c r="D1379" t="s">
        <v>1784</v>
      </c>
      <c r="E1379" t="s">
        <v>1787</v>
      </c>
      <c r="F1379" t="s">
        <v>1800</v>
      </c>
      <c r="G1379" s="5">
        <v>112919</v>
      </c>
      <c r="H1379" t="s">
        <v>1803</v>
      </c>
      <c r="I1379" t="s">
        <v>1807</v>
      </c>
      <c r="J1379" s="2">
        <v>44229</v>
      </c>
      <c r="K1379">
        <f t="shared" ca="1" si="42"/>
        <v>4</v>
      </c>
      <c r="L1379">
        <f t="shared" ca="1" si="43"/>
        <v>10</v>
      </c>
      <c r="M1379" t="s">
        <v>1810</v>
      </c>
      <c r="N1379">
        <v>3</v>
      </c>
      <c r="O1379" t="s">
        <v>1815</v>
      </c>
      <c r="P1379" t="s">
        <v>1832</v>
      </c>
    </row>
    <row r="1380" spans="1:16" x14ac:dyDescent="0.3">
      <c r="A1380" t="s">
        <v>1391</v>
      </c>
      <c r="B1380" t="s">
        <v>1766</v>
      </c>
      <c r="C1380">
        <v>36</v>
      </c>
      <c r="D1380" t="s">
        <v>1784</v>
      </c>
      <c r="E1380" t="s">
        <v>1791</v>
      </c>
      <c r="F1380" t="s">
        <v>1798</v>
      </c>
      <c r="G1380" s="5">
        <v>40091</v>
      </c>
      <c r="H1380" t="s">
        <v>1805</v>
      </c>
      <c r="I1380" t="s">
        <v>1806</v>
      </c>
      <c r="J1380" s="2">
        <v>44556</v>
      </c>
      <c r="K1380">
        <f t="shared" ca="1" si="42"/>
        <v>4</v>
      </c>
      <c r="L1380">
        <f t="shared" ca="1" si="43"/>
        <v>11</v>
      </c>
      <c r="M1380" t="s">
        <v>1809</v>
      </c>
      <c r="N1380">
        <v>1</v>
      </c>
      <c r="O1380" t="s">
        <v>1811</v>
      </c>
      <c r="P1380" t="s">
        <v>1831</v>
      </c>
    </row>
    <row r="1381" spans="1:16" x14ac:dyDescent="0.3">
      <c r="A1381" t="s">
        <v>1392</v>
      </c>
      <c r="B1381" t="s">
        <v>1724</v>
      </c>
      <c r="C1381">
        <v>34</v>
      </c>
      <c r="D1381" t="s">
        <v>1783</v>
      </c>
      <c r="E1381" t="s">
        <v>1791</v>
      </c>
      <c r="F1381" t="s">
        <v>1795</v>
      </c>
      <c r="G1381" s="5">
        <v>30108</v>
      </c>
      <c r="H1381" t="s">
        <v>1805</v>
      </c>
      <c r="I1381" t="s">
        <v>1807</v>
      </c>
      <c r="J1381" s="2">
        <v>43463</v>
      </c>
      <c r="K1381">
        <f t="shared" ca="1" si="42"/>
        <v>7</v>
      </c>
      <c r="L1381">
        <f t="shared" ca="1" si="43"/>
        <v>11</v>
      </c>
      <c r="M1381" t="s">
        <v>1809</v>
      </c>
      <c r="N1381">
        <v>5</v>
      </c>
      <c r="O1381" t="s">
        <v>1814</v>
      </c>
      <c r="P1381" t="s">
        <v>1833</v>
      </c>
    </row>
    <row r="1382" spans="1:16" x14ac:dyDescent="0.3">
      <c r="A1382" t="s">
        <v>1393</v>
      </c>
      <c r="B1382" t="s">
        <v>1721</v>
      </c>
      <c r="C1382">
        <v>38</v>
      </c>
      <c r="D1382" t="s">
        <v>1783</v>
      </c>
      <c r="E1382" t="s">
        <v>1787</v>
      </c>
      <c r="F1382" t="s">
        <v>1799</v>
      </c>
      <c r="G1382" s="5">
        <v>54505</v>
      </c>
      <c r="H1382" t="s">
        <v>1802</v>
      </c>
      <c r="I1382" t="s">
        <v>1807</v>
      </c>
      <c r="J1382" s="2">
        <v>44115</v>
      </c>
      <c r="K1382">
        <f t="shared" ca="1" si="42"/>
        <v>5</v>
      </c>
      <c r="L1382">
        <f t="shared" ca="1" si="43"/>
        <v>1</v>
      </c>
      <c r="M1382" t="s">
        <v>1810</v>
      </c>
      <c r="N1382">
        <v>2</v>
      </c>
      <c r="O1382" t="s">
        <v>1813</v>
      </c>
      <c r="P1382" t="s">
        <v>1831</v>
      </c>
    </row>
    <row r="1383" spans="1:16" x14ac:dyDescent="0.3">
      <c r="A1383" t="s">
        <v>1394</v>
      </c>
      <c r="B1383" t="s">
        <v>1742</v>
      </c>
      <c r="C1383">
        <v>25</v>
      </c>
      <c r="D1383" t="s">
        <v>1785</v>
      </c>
      <c r="E1383" t="s">
        <v>1792</v>
      </c>
      <c r="F1383" t="s">
        <v>1794</v>
      </c>
      <c r="G1383" s="5">
        <v>93053</v>
      </c>
      <c r="H1383" t="s">
        <v>1802</v>
      </c>
      <c r="I1383" t="s">
        <v>1808</v>
      </c>
      <c r="J1383" s="2">
        <v>44682</v>
      </c>
      <c r="K1383">
        <f t="shared" ca="1" si="42"/>
        <v>3</v>
      </c>
      <c r="L1383">
        <f t="shared" ca="1" si="43"/>
        <v>7</v>
      </c>
      <c r="M1383" t="s">
        <v>1810</v>
      </c>
      <c r="N1383">
        <v>4</v>
      </c>
      <c r="O1383" t="s">
        <v>1816</v>
      </c>
      <c r="P1383" t="s">
        <v>1832</v>
      </c>
    </row>
    <row r="1384" spans="1:16" x14ac:dyDescent="0.3">
      <c r="A1384" t="s">
        <v>1395</v>
      </c>
      <c r="B1384" t="s">
        <v>1779</v>
      </c>
      <c r="C1384">
        <v>32</v>
      </c>
      <c r="D1384" t="s">
        <v>1785</v>
      </c>
      <c r="E1384" t="s">
        <v>1793</v>
      </c>
      <c r="F1384" t="s">
        <v>1799</v>
      </c>
      <c r="G1384" s="5">
        <v>26831</v>
      </c>
      <c r="H1384" t="s">
        <v>1801</v>
      </c>
      <c r="I1384" t="s">
        <v>1808</v>
      </c>
      <c r="J1384" s="2">
        <v>45785</v>
      </c>
      <c r="K1384">
        <f t="shared" ca="1" si="42"/>
        <v>0</v>
      </c>
      <c r="L1384">
        <f t="shared" ca="1" si="43"/>
        <v>7</v>
      </c>
      <c r="M1384" t="s">
        <v>1809</v>
      </c>
      <c r="N1384">
        <v>5</v>
      </c>
      <c r="O1384" t="s">
        <v>1813</v>
      </c>
      <c r="P1384" t="s">
        <v>1833</v>
      </c>
    </row>
    <row r="1385" spans="1:16" x14ac:dyDescent="0.3">
      <c r="A1385" t="s">
        <v>1396</v>
      </c>
      <c r="B1385" t="s">
        <v>1773</v>
      </c>
      <c r="C1385">
        <v>43</v>
      </c>
      <c r="D1385" t="s">
        <v>1785</v>
      </c>
      <c r="E1385" t="s">
        <v>1791</v>
      </c>
      <c r="F1385" t="s">
        <v>1795</v>
      </c>
      <c r="G1385" s="5">
        <v>38017</v>
      </c>
      <c r="H1385" t="s">
        <v>1802</v>
      </c>
      <c r="I1385" t="s">
        <v>1807</v>
      </c>
      <c r="J1385" s="2">
        <v>45661</v>
      </c>
      <c r="K1385">
        <f t="shared" ca="1" si="42"/>
        <v>0</v>
      </c>
      <c r="L1385">
        <f t="shared" ca="1" si="43"/>
        <v>11</v>
      </c>
      <c r="M1385" t="s">
        <v>1809</v>
      </c>
      <c r="N1385">
        <v>3</v>
      </c>
      <c r="O1385" t="s">
        <v>1816</v>
      </c>
      <c r="P1385" t="s">
        <v>1831</v>
      </c>
    </row>
    <row r="1386" spans="1:16" x14ac:dyDescent="0.3">
      <c r="A1386" t="s">
        <v>1397</v>
      </c>
      <c r="B1386" t="s">
        <v>1763</v>
      </c>
      <c r="C1386">
        <v>21</v>
      </c>
      <c r="D1386" t="s">
        <v>1785</v>
      </c>
      <c r="E1386" t="s">
        <v>1792</v>
      </c>
      <c r="F1386" t="s">
        <v>1798</v>
      </c>
      <c r="G1386" s="5">
        <v>69616</v>
      </c>
      <c r="H1386" t="s">
        <v>1802</v>
      </c>
      <c r="I1386" t="s">
        <v>1807</v>
      </c>
      <c r="J1386" s="2">
        <v>44359</v>
      </c>
      <c r="K1386">
        <f t="shared" ca="1" si="42"/>
        <v>4</v>
      </c>
      <c r="L1386">
        <f t="shared" ca="1" si="43"/>
        <v>5</v>
      </c>
      <c r="M1386" t="s">
        <v>1809</v>
      </c>
      <c r="N1386">
        <v>2</v>
      </c>
      <c r="O1386" t="s">
        <v>1815</v>
      </c>
      <c r="P1386" t="s">
        <v>1832</v>
      </c>
    </row>
    <row r="1387" spans="1:16" x14ac:dyDescent="0.3">
      <c r="A1387" t="s">
        <v>1398</v>
      </c>
      <c r="B1387" t="s">
        <v>1717</v>
      </c>
      <c r="C1387">
        <v>43</v>
      </c>
      <c r="D1387" t="s">
        <v>1785</v>
      </c>
      <c r="E1387" t="s">
        <v>1788</v>
      </c>
      <c r="F1387" t="s">
        <v>1798</v>
      </c>
      <c r="G1387" s="5">
        <v>78608</v>
      </c>
      <c r="H1387" t="s">
        <v>1803</v>
      </c>
      <c r="I1387" t="s">
        <v>1807</v>
      </c>
      <c r="J1387" s="2">
        <v>45347</v>
      </c>
      <c r="K1387">
        <f t="shared" ca="1" si="42"/>
        <v>1</v>
      </c>
      <c r="L1387">
        <f t="shared" ca="1" si="43"/>
        <v>9</v>
      </c>
      <c r="M1387" t="s">
        <v>1809</v>
      </c>
      <c r="N1387">
        <v>2</v>
      </c>
      <c r="O1387" t="s">
        <v>1816</v>
      </c>
      <c r="P1387" t="s">
        <v>1831</v>
      </c>
    </row>
    <row r="1388" spans="1:16" x14ac:dyDescent="0.3">
      <c r="A1388" t="s">
        <v>1399</v>
      </c>
      <c r="B1388" t="s">
        <v>1717</v>
      </c>
      <c r="C1388">
        <v>22</v>
      </c>
      <c r="D1388" t="s">
        <v>1783</v>
      </c>
      <c r="E1388" t="s">
        <v>1787</v>
      </c>
      <c r="F1388" t="s">
        <v>1797</v>
      </c>
      <c r="G1388" s="5">
        <v>35813</v>
      </c>
      <c r="H1388" t="s">
        <v>1804</v>
      </c>
      <c r="I1388" t="s">
        <v>1808</v>
      </c>
      <c r="J1388" s="2">
        <v>44604</v>
      </c>
      <c r="K1388">
        <f t="shared" ca="1" si="42"/>
        <v>3</v>
      </c>
      <c r="L1388">
        <f t="shared" ca="1" si="43"/>
        <v>9</v>
      </c>
      <c r="M1388" t="s">
        <v>1810</v>
      </c>
      <c r="N1388">
        <v>4</v>
      </c>
      <c r="O1388" t="s">
        <v>1811</v>
      </c>
      <c r="P1388" t="s">
        <v>1832</v>
      </c>
    </row>
    <row r="1389" spans="1:16" x14ac:dyDescent="0.3">
      <c r="A1389" t="s">
        <v>1400</v>
      </c>
      <c r="B1389" t="s">
        <v>1748</v>
      </c>
      <c r="C1389">
        <v>53</v>
      </c>
      <c r="D1389" t="s">
        <v>1784</v>
      </c>
      <c r="E1389" t="s">
        <v>1787</v>
      </c>
      <c r="F1389" t="s">
        <v>1796</v>
      </c>
      <c r="G1389" s="5">
        <v>116517</v>
      </c>
      <c r="H1389" t="s">
        <v>1805</v>
      </c>
      <c r="I1389" t="s">
        <v>1808</v>
      </c>
      <c r="J1389" s="2">
        <v>43121</v>
      </c>
      <c r="K1389">
        <f t="shared" ca="1" si="42"/>
        <v>7</v>
      </c>
      <c r="L1389">
        <f t="shared" ca="1" si="43"/>
        <v>10</v>
      </c>
      <c r="M1389" t="s">
        <v>1810</v>
      </c>
      <c r="N1389">
        <v>2</v>
      </c>
      <c r="O1389" t="s">
        <v>1818</v>
      </c>
      <c r="P1389" t="s">
        <v>1834</v>
      </c>
    </row>
    <row r="1390" spans="1:16" x14ac:dyDescent="0.3">
      <c r="A1390" t="s">
        <v>1401</v>
      </c>
      <c r="B1390" t="s">
        <v>1779</v>
      </c>
      <c r="C1390">
        <v>58</v>
      </c>
      <c r="D1390" t="s">
        <v>1784</v>
      </c>
      <c r="E1390" t="s">
        <v>1788</v>
      </c>
      <c r="F1390" t="s">
        <v>1795</v>
      </c>
      <c r="G1390" s="5">
        <v>33143</v>
      </c>
      <c r="H1390" t="s">
        <v>1803</v>
      </c>
      <c r="I1390" t="s">
        <v>1808</v>
      </c>
      <c r="J1390" s="2">
        <v>43977</v>
      </c>
      <c r="K1390">
        <f t="shared" ca="1" si="42"/>
        <v>5</v>
      </c>
      <c r="L1390">
        <f t="shared" ca="1" si="43"/>
        <v>6</v>
      </c>
      <c r="M1390" t="s">
        <v>1810</v>
      </c>
      <c r="N1390">
        <v>3</v>
      </c>
      <c r="O1390" t="s">
        <v>1818</v>
      </c>
      <c r="P1390" t="s">
        <v>1834</v>
      </c>
    </row>
    <row r="1391" spans="1:16" x14ac:dyDescent="0.3">
      <c r="A1391" t="s">
        <v>1402</v>
      </c>
      <c r="B1391" t="s">
        <v>1731</v>
      </c>
      <c r="C1391">
        <v>32</v>
      </c>
      <c r="D1391" t="s">
        <v>1783</v>
      </c>
      <c r="E1391" t="s">
        <v>1786</v>
      </c>
      <c r="F1391" t="s">
        <v>1799</v>
      </c>
      <c r="G1391" s="5">
        <v>75086</v>
      </c>
      <c r="H1391" t="s">
        <v>1802</v>
      </c>
      <c r="I1391" t="s">
        <v>1808</v>
      </c>
      <c r="J1391" s="2">
        <v>45981</v>
      </c>
      <c r="K1391">
        <f t="shared" ca="1" si="42"/>
        <v>0</v>
      </c>
      <c r="L1391">
        <f t="shared" ca="1" si="43"/>
        <v>0</v>
      </c>
      <c r="M1391" t="s">
        <v>1809</v>
      </c>
      <c r="N1391">
        <v>3</v>
      </c>
      <c r="O1391" t="s">
        <v>1811</v>
      </c>
      <c r="P1391" t="s">
        <v>1833</v>
      </c>
    </row>
    <row r="1392" spans="1:16" x14ac:dyDescent="0.3">
      <c r="A1392" t="s">
        <v>1403</v>
      </c>
      <c r="B1392" t="s">
        <v>1732</v>
      </c>
      <c r="C1392">
        <v>21</v>
      </c>
      <c r="D1392" t="s">
        <v>1783</v>
      </c>
      <c r="E1392" t="s">
        <v>1790</v>
      </c>
      <c r="F1392" t="s">
        <v>1800</v>
      </c>
      <c r="G1392" s="5">
        <v>51150</v>
      </c>
      <c r="H1392" t="s">
        <v>1803</v>
      </c>
      <c r="I1392" t="s">
        <v>1808</v>
      </c>
      <c r="J1392" s="2">
        <v>45357</v>
      </c>
      <c r="K1392">
        <f t="shared" ca="1" si="42"/>
        <v>1</v>
      </c>
      <c r="L1392">
        <f t="shared" ca="1" si="43"/>
        <v>9</v>
      </c>
      <c r="M1392" t="s">
        <v>1810</v>
      </c>
      <c r="N1392">
        <v>3</v>
      </c>
      <c r="O1392" t="s">
        <v>1815</v>
      </c>
      <c r="P1392" t="s">
        <v>1832</v>
      </c>
    </row>
    <row r="1393" spans="1:16" x14ac:dyDescent="0.3">
      <c r="A1393" t="s">
        <v>1404</v>
      </c>
      <c r="B1393" t="s">
        <v>1721</v>
      </c>
      <c r="C1393">
        <v>46</v>
      </c>
      <c r="D1393" t="s">
        <v>1783</v>
      </c>
      <c r="E1393" t="s">
        <v>1786</v>
      </c>
      <c r="F1393" t="s">
        <v>1794</v>
      </c>
      <c r="G1393" s="5">
        <v>37075</v>
      </c>
      <c r="H1393" t="s">
        <v>1801</v>
      </c>
      <c r="I1393" t="s">
        <v>1808</v>
      </c>
      <c r="J1393" s="2">
        <v>43970</v>
      </c>
      <c r="K1393">
        <f t="shared" ca="1" si="42"/>
        <v>5</v>
      </c>
      <c r="L1393">
        <f t="shared" ca="1" si="43"/>
        <v>6</v>
      </c>
      <c r="M1393" t="s">
        <v>1809</v>
      </c>
      <c r="N1393">
        <v>3</v>
      </c>
      <c r="O1393" t="s">
        <v>1812</v>
      </c>
      <c r="P1393" t="s">
        <v>1834</v>
      </c>
    </row>
    <row r="1394" spans="1:16" x14ac:dyDescent="0.3">
      <c r="A1394" t="s">
        <v>1405</v>
      </c>
      <c r="B1394" t="s">
        <v>1746</v>
      </c>
      <c r="C1394">
        <v>47</v>
      </c>
      <c r="D1394" t="s">
        <v>1783</v>
      </c>
      <c r="E1394" t="s">
        <v>1788</v>
      </c>
      <c r="F1394" t="s">
        <v>1799</v>
      </c>
      <c r="G1394" s="5">
        <v>64500</v>
      </c>
      <c r="H1394" t="s">
        <v>1805</v>
      </c>
      <c r="I1394" t="s">
        <v>1806</v>
      </c>
      <c r="J1394" s="2">
        <v>44392</v>
      </c>
      <c r="K1394">
        <f t="shared" ca="1" si="42"/>
        <v>4</v>
      </c>
      <c r="L1394">
        <f t="shared" ca="1" si="43"/>
        <v>4</v>
      </c>
      <c r="M1394" t="s">
        <v>1809</v>
      </c>
      <c r="N1394">
        <v>4</v>
      </c>
      <c r="O1394" t="s">
        <v>1813</v>
      </c>
      <c r="P1394" t="s">
        <v>1834</v>
      </c>
    </row>
    <row r="1395" spans="1:16" x14ac:dyDescent="0.3">
      <c r="A1395" t="s">
        <v>1406</v>
      </c>
      <c r="B1395" t="s">
        <v>1775</v>
      </c>
      <c r="C1395">
        <v>32</v>
      </c>
      <c r="D1395" t="s">
        <v>1784</v>
      </c>
      <c r="E1395" t="s">
        <v>1791</v>
      </c>
      <c r="F1395" t="s">
        <v>1797</v>
      </c>
      <c r="G1395" s="5">
        <v>19449</v>
      </c>
      <c r="H1395" t="s">
        <v>1802</v>
      </c>
      <c r="I1395" t="s">
        <v>1806</v>
      </c>
      <c r="J1395" s="2">
        <v>45350</v>
      </c>
      <c r="K1395">
        <f t="shared" ca="1" si="42"/>
        <v>1</v>
      </c>
      <c r="L1395">
        <f t="shared" ca="1" si="43"/>
        <v>9</v>
      </c>
      <c r="M1395" t="s">
        <v>1810</v>
      </c>
      <c r="N1395">
        <v>1</v>
      </c>
      <c r="O1395" t="s">
        <v>1818</v>
      </c>
      <c r="P1395" t="s">
        <v>1833</v>
      </c>
    </row>
    <row r="1396" spans="1:16" x14ac:dyDescent="0.3">
      <c r="A1396" t="s">
        <v>1407</v>
      </c>
      <c r="B1396" t="s">
        <v>1756</v>
      </c>
      <c r="C1396">
        <v>53</v>
      </c>
      <c r="D1396" t="s">
        <v>1784</v>
      </c>
      <c r="E1396" t="s">
        <v>1792</v>
      </c>
      <c r="F1396" t="s">
        <v>1800</v>
      </c>
      <c r="G1396" s="5">
        <v>76767</v>
      </c>
      <c r="H1396" t="s">
        <v>1804</v>
      </c>
      <c r="I1396" t="s">
        <v>1806</v>
      </c>
      <c r="J1396" s="2">
        <v>44323</v>
      </c>
      <c r="K1396">
        <f t="shared" ca="1" si="42"/>
        <v>4</v>
      </c>
      <c r="L1396">
        <f t="shared" ca="1" si="43"/>
        <v>7</v>
      </c>
      <c r="M1396" t="s">
        <v>1810</v>
      </c>
      <c r="N1396">
        <v>5</v>
      </c>
      <c r="O1396" t="s">
        <v>1817</v>
      </c>
      <c r="P1396" t="s">
        <v>1834</v>
      </c>
    </row>
    <row r="1397" spans="1:16" x14ac:dyDescent="0.3">
      <c r="A1397" t="s">
        <v>1408</v>
      </c>
      <c r="B1397" t="s">
        <v>1766</v>
      </c>
      <c r="C1397">
        <v>23</v>
      </c>
      <c r="D1397" t="s">
        <v>1785</v>
      </c>
      <c r="E1397" t="s">
        <v>1793</v>
      </c>
      <c r="F1397" t="s">
        <v>1799</v>
      </c>
      <c r="G1397" s="5">
        <v>75461</v>
      </c>
      <c r="H1397" t="s">
        <v>1803</v>
      </c>
      <c r="I1397" t="s">
        <v>1808</v>
      </c>
      <c r="J1397" s="2">
        <v>45565</v>
      </c>
      <c r="K1397">
        <f t="shared" ca="1" si="42"/>
        <v>1</v>
      </c>
      <c r="L1397">
        <f t="shared" ca="1" si="43"/>
        <v>2</v>
      </c>
      <c r="M1397" t="s">
        <v>1809</v>
      </c>
      <c r="N1397">
        <v>5</v>
      </c>
      <c r="O1397" t="s">
        <v>1813</v>
      </c>
      <c r="P1397" t="s">
        <v>1832</v>
      </c>
    </row>
    <row r="1398" spans="1:16" x14ac:dyDescent="0.3">
      <c r="A1398" t="s">
        <v>1409</v>
      </c>
      <c r="B1398" t="s">
        <v>1751</v>
      </c>
      <c r="C1398">
        <v>44</v>
      </c>
      <c r="D1398" t="s">
        <v>1784</v>
      </c>
      <c r="E1398" t="s">
        <v>1790</v>
      </c>
      <c r="F1398" t="s">
        <v>1794</v>
      </c>
      <c r="G1398" s="5">
        <v>113872</v>
      </c>
      <c r="H1398" t="s">
        <v>1804</v>
      </c>
      <c r="I1398" t="s">
        <v>1807</v>
      </c>
      <c r="J1398" s="2">
        <v>43020</v>
      </c>
      <c r="K1398">
        <f t="shared" ca="1" si="42"/>
        <v>8</v>
      </c>
      <c r="L1398">
        <f t="shared" ca="1" si="43"/>
        <v>1</v>
      </c>
      <c r="M1398" t="s">
        <v>1809</v>
      </c>
      <c r="N1398">
        <v>1</v>
      </c>
      <c r="O1398" t="s">
        <v>1811</v>
      </c>
      <c r="P1398" t="s">
        <v>1831</v>
      </c>
    </row>
    <row r="1399" spans="1:16" x14ac:dyDescent="0.3">
      <c r="A1399" t="s">
        <v>1410</v>
      </c>
      <c r="B1399" t="s">
        <v>1728</v>
      </c>
      <c r="C1399">
        <v>34</v>
      </c>
      <c r="D1399" t="s">
        <v>1783</v>
      </c>
      <c r="E1399" t="s">
        <v>1792</v>
      </c>
      <c r="F1399" t="s">
        <v>1797</v>
      </c>
      <c r="G1399" s="5">
        <v>57703</v>
      </c>
      <c r="H1399" t="s">
        <v>1802</v>
      </c>
      <c r="I1399" t="s">
        <v>1807</v>
      </c>
      <c r="J1399" s="2">
        <v>44151</v>
      </c>
      <c r="K1399">
        <f t="shared" ca="1" si="42"/>
        <v>5</v>
      </c>
      <c r="L1399">
        <f t="shared" ca="1" si="43"/>
        <v>0</v>
      </c>
      <c r="M1399" t="s">
        <v>1809</v>
      </c>
      <c r="N1399">
        <v>4</v>
      </c>
      <c r="O1399" t="s">
        <v>1816</v>
      </c>
      <c r="P1399" t="s">
        <v>1833</v>
      </c>
    </row>
    <row r="1400" spans="1:16" x14ac:dyDescent="0.3">
      <c r="A1400" t="s">
        <v>1411</v>
      </c>
      <c r="B1400" t="s">
        <v>1744</v>
      </c>
      <c r="C1400">
        <v>56</v>
      </c>
      <c r="D1400" t="s">
        <v>1784</v>
      </c>
      <c r="E1400" t="s">
        <v>1786</v>
      </c>
      <c r="F1400" t="s">
        <v>1797</v>
      </c>
      <c r="G1400" s="5">
        <v>18074</v>
      </c>
      <c r="H1400" t="s">
        <v>1802</v>
      </c>
      <c r="I1400" t="s">
        <v>1807</v>
      </c>
      <c r="J1400" s="2">
        <v>43525</v>
      </c>
      <c r="K1400">
        <f t="shared" ca="1" si="42"/>
        <v>6</v>
      </c>
      <c r="L1400">
        <f t="shared" ca="1" si="43"/>
        <v>9</v>
      </c>
      <c r="M1400" t="s">
        <v>1810</v>
      </c>
      <c r="N1400">
        <v>1</v>
      </c>
      <c r="O1400" t="s">
        <v>1815</v>
      </c>
      <c r="P1400" t="s">
        <v>1834</v>
      </c>
    </row>
    <row r="1401" spans="1:16" x14ac:dyDescent="0.3">
      <c r="A1401" t="s">
        <v>1412</v>
      </c>
      <c r="B1401" t="s">
        <v>1721</v>
      </c>
      <c r="C1401">
        <v>51</v>
      </c>
      <c r="D1401" t="s">
        <v>1783</v>
      </c>
      <c r="E1401" t="s">
        <v>1793</v>
      </c>
      <c r="F1401" t="s">
        <v>1800</v>
      </c>
      <c r="G1401" s="5">
        <v>105741</v>
      </c>
      <c r="H1401" t="s">
        <v>1804</v>
      </c>
      <c r="I1401" t="s">
        <v>1806</v>
      </c>
      <c r="J1401" s="2">
        <v>45419</v>
      </c>
      <c r="K1401">
        <f t="shared" ca="1" si="42"/>
        <v>1</v>
      </c>
      <c r="L1401">
        <f t="shared" ca="1" si="43"/>
        <v>7</v>
      </c>
      <c r="M1401" t="s">
        <v>1810</v>
      </c>
      <c r="N1401">
        <v>4</v>
      </c>
      <c r="O1401" t="s">
        <v>1814</v>
      </c>
      <c r="P1401" t="s">
        <v>1834</v>
      </c>
    </row>
    <row r="1402" spans="1:16" x14ac:dyDescent="0.3">
      <c r="A1402" t="s">
        <v>1413</v>
      </c>
      <c r="B1402" t="s">
        <v>1759</v>
      </c>
      <c r="C1402">
        <v>55</v>
      </c>
      <c r="D1402" t="s">
        <v>1785</v>
      </c>
      <c r="E1402" t="s">
        <v>1789</v>
      </c>
      <c r="F1402" t="s">
        <v>1794</v>
      </c>
      <c r="G1402" s="5">
        <v>100775</v>
      </c>
      <c r="H1402" t="s">
        <v>1804</v>
      </c>
      <c r="I1402" t="s">
        <v>1806</v>
      </c>
      <c r="J1402" s="2">
        <v>43075</v>
      </c>
      <c r="K1402">
        <f t="shared" ca="1" si="42"/>
        <v>8</v>
      </c>
      <c r="L1402">
        <f t="shared" ca="1" si="43"/>
        <v>0</v>
      </c>
      <c r="M1402" t="s">
        <v>1810</v>
      </c>
      <c r="N1402">
        <v>5</v>
      </c>
      <c r="O1402" t="s">
        <v>1815</v>
      </c>
      <c r="P1402" t="s">
        <v>1834</v>
      </c>
    </row>
    <row r="1403" spans="1:16" x14ac:dyDescent="0.3">
      <c r="A1403" t="s">
        <v>1414</v>
      </c>
      <c r="B1403" t="s">
        <v>1742</v>
      </c>
      <c r="C1403">
        <v>21</v>
      </c>
      <c r="D1403" t="s">
        <v>1784</v>
      </c>
      <c r="E1403" t="s">
        <v>1790</v>
      </c>
      <c r="F1403" t="s">
        <v>1796</v>
      </c>
      <c r="G1403" s="5">
        <v>53676</v>
      </c>
      <c r="H1403" t="s">
        <v>1805</v>
      </c>
      <c r="I1403" t="s">
        <v>1808</v>
      </c>
      <c r="J1403" s="2">
        <v>44481</v>
      </c>
      <c r="K1403">
        <f t="shared" ca="1" si="42"/>
        <v>4</v>
      </c>
      <c r="L1403">
        <f t="shared" ca="1" si="43"/>
        <v>1</v>
      </c>
      <c r="M1403" t="s">
        <v>1810</v>
      </c>
      <c r="N1403">
        <v>1</v>
      </c>
      <c r="O1403" t="s">
        <v>1814</v>
      </c>
      <c r="P1403" t="s">
        <v>1832</v>
      </c>
    </row>
    <row r="1404" spans="1:16" x14ac:dyDescent="0.3">
      <c r="A1404" t="s">
        <v>1415</v>
      </c>
      <c r="B1404" t="s">
        <v>1767</v>
      </c>
      <c r="C1404">
        <v>29</v>
      </c>
      <c r="D1404" t="s">
        <v>1785</v>
      </c>
      <c r="E1404" t="s">
        <v>1786</v>
      </c>
      <c r="F1404" t="s">
        <v>1798</v>
      </c>
      <c r="G1404" s="5">
        <v>46698</v>
      </c>
      <c r="H1404" t="s">
        <v>1803</v>
      </c>
      <c r="I1404" t="s">
        <v>1807</v>
      </c>
      <c r="J1404" s="2">
        <v>42841</v>
      </c>
      <c r="K1404">
        <f t="shared" ca="1" si="42"/>
        <v>8</v>
      </c>
      <c r="L1404">
        <f t="shared" ca="1" si="43"/>
        <v>7</v>
      </c>
      <c r="M1404" t="s">
        <v>1810</v>
      </c>
      <c r="N1404">
        <v>4</v>
      </c>
      <c r="O1404" t="s">
        <v>1811</v>
      </c>
      <c r="P1404" t="s">
        <v>1833</v>
      </c>
    </row>
    <row r="1405" spans="1:16" x14ac:dyDescent="0.3">
      <c r="A1405" t="s">
        <v>1416</v>
      </c>
      <c r="B1405" t="s">
        <v>1744</v>
      </c>
      <c r="C1405">
        <v>41</v>
      </c>
      <c r="D1405" t="s">
        <v>1784</v>
      </c>
      <c r="E1405" t="s">
        <v>1793</v>
      </c>
      <c r="F1405" t="s">
        <v>1798</v>
      </c>
      <c r="G1405" s="5">
        <v>49784</v>
      </c>
      <c r="H1405" t="s">
        <v>1805</v>
      </c>
      <c r="I1405" t="s">
        <v>1808</v>
      </c>
      <c r="J1405" s="2">
        <v>45153</v>
      </c>
      <c r="K1405">
        <f t="shared" ca="1" si="42"/>
        <v>2</v>
      </c>
      <c r="L1405">
        <f t="shared" ca="1" si="43"/>
        <v>3</v>
      </c>
      <c r="M1405" t="s">
        <v>1809</v>
      </c>
      <c r="N1405">
        <v>3</v>
      </c>
      <c r="O1405" t="s">
        <v>1818</v>
      </c>
      <c r="P1405" t="s">
        <v>1831</v>
      </c>
    </row>
    <row r="1406" spans="1:16" x14ac:dyDescent="0.3">
      <c r="A1406" t="s">
        <v>1417</v>
      </c>
      <c r="B1406" t="s">
        <v>1723</v>
      </c>
      <c r="C1406">
        <v>47</v>
      </c>
      <c r="D1406" t="s">
        <v>1783</v>
      </c>
      <c r="E1406" t="s">
        <v>1787</v>
      </c>
      <c r="F1406" t="s">
        <v>1797</v>
      </c>
      <c r="G1406" s="5">
        <v>80019</v>
      </c>
      <c r="H1406" t="s">
        <v>1804</v>
      </c>
      <c r="I1406" t="s">
        <v>1808</v>
      </c>
      <c r="J1406" s="2">
        <v>42922</v>
      </c>
      <c r="K1406">
        <f t="shared" ca="1" si="42"/>
        <v>8</v>
      </c>
      <c r="L1406">
        <f t="shared" ca="1" si="43"/>
        <v>5</v>
      </c>
      <c r="M1406" t="s">
        <v>1810</v>
      </c>
      <c r="N1406">
        <v>2</v>
      </c>
      <c r="O1406" t="s">
        <v>1812</v>
      </c>
      <c r="P1406" t="s">
        <v>1834</v>
      </c>
    </row>
    <row r="1407" spans="1:16" x14ac:dyDescent="0.3">
      <c r="A1407" t="s">
        <v>1418</v>
      </c>
      <c r="B1407" t="s">
        <v>1774</v>
      </c>
      <c r="C1407">
        <v>57</v>
      </c>
      <c r="D1407" t="s">
        <v>1783</v>
      </c>
      <c r="E1407" t="s">
        <v>1787</v>
      </c>
      <c r="F1407" t="s">
        <v>1799</v>
      </c>
      <c r="G1407" s="5">
        <v>74374</v>
      </c>
      <c r="H1407" t="s">
        <v>1802</v>
      </c>
      <c r="I1407" t="s">
        <v>1808</v>
      </c>
      <c r="J1407" s="2">
        <v>43434</v>
      </c>
      <c r="K1407">
        <f t="shared" ca="1" si="42"/>
        <v>7</v>
      </c>
      <c r="L1407">
        <f t="shared" ca="1" si="43"/>
        <v>0</v>
      </c>
      <c r="M1407" t="s">
        <v>1809</v>
      </c>
      <c r="N1407">
        <v>3</v>
      </c>
      <c r="O1407" t="s">
        <v>1816</v>
      </c>
      <c r="P1407" t="s">
        <v>1834</v>
      </c>
    </row>
    <row r="1408" spans="1:16" x14ac:dyDescent="0.3">
      <c r="A1408" t="s">
        <v>1419</v>
      </c>
      <c r="B1408" t="s">
        <v>1715</v>
      </c>
      <c r="C1408">
        <v>57</v>
      </c>
      <c r="D1408" t="s">
        <v>1784</v>
      </c>
      <c r="E1408" t="s">
        <v>1793</v>
      </c>
      <c r="F1408" t="s">
        <v>1797</v>
      </c>
      <c r="G1408" s="5">
        <v>31193</v>
      </c>
      <c r="H1408" t="s">
        <v>1801</v>
      </c>
      <c r="I1408" t="s">
        <v>1806</v>
      </c>
      <c r="J1408" s="2">
        <v>42472</v>
      </c>
      <c r="K1408">
        <f t="shared" ca="1" si="42"/>
        <v>9</v>
      </c>
      <c r="L1408">
        <f t="shared" ca="1" si="43"/>
        <v>7</v>
      </c>
      <c r="M1408" t="s">
        <v>1809</v>
      </c>
      <c r="N1408">
        <v>5</v>
      </c>
      <c r="O1408" t="s">
        <v>1811</v>
      </c>
      <c r="P1408" t="s">
        <v>1834</v>
      </c>
    </row>
    <row r="1409" spans="1:16" x14ac:dyDescent="0.3">
      <c r="A1409" t="s">
        <v>1420</v>
      </c>
      <c r="B1409" t="s">
        <v>1726</v>
      </c>
      <c r="C1409">
        <v>29</v>
      </c>
      <c r="D1409" t="s">
        <v>1783</v>
      </c>
      <c r="E1409" t="s">
        <v>1792</v>
      </c>
      <c r="F1409" t="s">
        <v>1798</v>
      </c>
      <c r="G1409" s="5">
        <v>79762</v>
      </c>
      <c r="H1409" t="s">
        <v>1801</v>
      </c>
      <c r="I1409" t="s">
        <v>1807</v>
      </c>
      <c r="J1409" s="2">
        <v>43631</v>
      </c>
      <c r="K1409">
        <f t="shared" ca="1" si="42"/>
        <v>6</v>
      </c>
      <c r="L1409">
        <f t="shared" ca="1" si="43"/>
        <v>5</v>
      </c>
      <c r="M1409" t="s">
        <v>1810</v>
      </c>
      <c r="N1409">
        <v>3</v>
      </c>
      <c r="O1409" t="s">
        <v>1813</v>
      </c>
      <c r="P1409" t="s">
        <v>1833</v>
      </c>
    </row>
    <row r="1410" spans="1:16" x14ac:dyDescent="0.3">
      <c r="A1410" t="s">
        <v>1421</v>
      </c>
      <c r="B1410" t="s">
        <v>1752</v>
      </c>
      <c r="C1410">
        <v>39</v>
      </c>
      <c r="D1410" t="s">
        <v>1784</v>
      </c>
      <c r="E1410" t="s">
        <v>1793</v>
      </c>
      <c r="F1410" t="s">
        <v>1795</v>
      </c>
      <c r="G1410" s="5">
        <v>23104</v>
      </c>
      <c r="H1410" t="s">
        <v>1801</v>
      </c>
      <c r="I1410" t="s">
        <v>1807</v>
      </c>
      <c r="J1410" s="2">
        <v>44954</v>
      </c>
      <c r="K1410">
        <f t="shared" ca="1" si="42"/>
        <v>2</v>
      </c>
      <c r="L1410">
        <f t="shared" ca="1" si="43"/>
        <v>10</v>
      </c>
      <c r="M1410" t="s">
        <v>1809</v>
      </c>
      <c r="N1410">
        <v>2</v>
      </c>
      <c r="O1410" t="s">
        <v>1816</v>
      </c>
      <c r="P1410" t="s">
        <v>1831</v>
      </c>
    </row>
    <row r="1411" spans="1:16" x14ac:dyDescent="0.3">
      <c r="A1411" t="s">
        <v>1422</v>
      </c>
      <c r="B1411" t="s">
        <v>1750</v>
      </c>
      <c r="C1411">
        <v>51</v>
      </c>
      <c r="D1411" t="s">
        <v>1783</v>
      </c>
      <c r="E1411" t="s">
        <v>1788</v>
      </c>
      <c r="F1411" t="s">
        <v>1796</v>
      </c>
      <c r="G1411" s="5">
        <v>95774</v>
      </c>
      <c r="H1411" t="s">
        <v>1805</v>
      </c>
      <c r="I1411" t="s">
        <v>1806</v>
      </c>
      <c r="J1411" s="2">
        <v>42731</v>
      </c>
      <c r="K1411">
        <f t="shared" ref="K1411:K1474" ca="1" si="44">YEAR(TODAY()) - YEAR(J1411)</f>
        <v>9</v>
      </c>
      <c r="L1411">
        <f t="shared" ref="L1411:L1474" ca="1" si="45">DATEDIF(J1411,TODAY(),"YM")</f>
        <v>11</v>
      </c>
      <c r="M1411" t="s">
        <v>1810</v>
      </c>
      <c r="N1411">
        <v>2</v>
      </c>
      <c r="O1411" t="s">
        <v>1813</v>
      </c>
      <c r="P1411" t="s">
        <v>1834</v>
      </c>
    </row>
    <row r="1412" spans="1:16" x14ac:dyDescent="0.3">
      <c r="A1412" t="s">
        <v>1423</v>
      </c>
      <c r="B1412" t="s">
        <v>1773</v>
      </c>
      <c r="C1412">
        <v>36</v>
      </c>
      <c r="D1412" t="s">
        <v>1783</v>
      </c>
      <c r="E1412" t="s">
        <v>1793</v>
      </c>
      <c r="F1412" t="s">
        <v>1795</v>
      </c>
      <c r="G1412" s="5">
        <v>83066</v>
      </c>
      <c r="H1412" t="s">
        <v>1802</v>
      </c>
      <c r="I1412" t="s">
        <v>1806</v>
      </c>
      <c r="J1412" s="2">
        <v>43600</v>
      </c>
      <c r="K1412">
        <f t="shared" ca="1" si="44"/>
        <v>6</v>
      </c>
      <c r="L1412">
        <f t="shared" ca="1" si="45"/>
        <v>6</v>
      </c>
      <c r="M1412" t="s">
        <v>1809</v>
      </c>
      <c r="N1412">
        <v>4</v>
      </c>
      <c r="O1412" t="s">
        <v>1817</v>
      </c>
      <c r="P1412" t="s">
        <v>1831</v>
      </c>
    </row>
    <row r="1413" spans="1:16" x14ac:dyDescent="0.3">
      <c r="A1413" t="s">
        <v>1424</v>
      </c>
      <c r="B1413" t="s">
        <v>1749</v>
      </c>
      <c r="C1413">
        <v>50</v>
      </c>
      <c r="D1413" t="s">
        <v>1784</v>
      </c>
      <c r="E1413" t="s">
        <v>1789</v>
      </c>
      <c r="F1413" t="s">
        <v>1796</v>
      </c>
      <c r="G1413" s="5">
        <v>84699</v>
      </c>
      <c r="H1413" t="s">
        <v>1804</v>
      </c>
      <c r="I1413" t="s">
        <v>1806</v>
      </c>
      <c r="J1413" s="2">
        <v>45328</v>
      </c>
      <c r="K1413">
        <f t="shared" ca="1" si="44"/>
        <v>1</v>
      </c>
      <c r="L1413">
        <f t="shared" ca="1" si="45"/>
        <v>10</v>
      </c>
      <c r="M1413" t="s">
        <v>1810</v>
      </c>
      <c r="N1413">
        <v>4</v>
      </c>
      <c r="O1413" t="s">
        <v>1815</v>
      </c>
      <c r="P1413" t="s">
        <v>1834</v>
      </c>
    </row>
    <row r="1414" spans="1:16" x14ac:dyDescent="0.3">
      <c r="A1414" t="s">
        <v>1425</v>
      </c>
      <c r="B1414" t="s">
        <v>1780</v>
      </c>
      <c r="C1414">
        <v>40</v>
      </c>
      <c r="D1414" t="s">
        <v>1783</v>
      </c>
      <c r="E1414" t="s">
        <v>1786</v>
      </c>
      <c r="F1414" t="s">
        <v>1798</v>
      </c>
      <c r="G1414" s="5">
        <v>78461</v>
      </c>
      <c r="H1414" t="s">
        <v>1802</v>
      </c>
      <c r="I1414" t="s">
        <v>1807</v>
      </c>
      <c r="J1414" s="2">
        <v>42763</v>
      </c>
      <c r="K1414">
        <f t="shared" ca="1" si="44"/>
        <v>8</v>
      </c>
      <c r="L1414">
        <f t="shared" ca="1" si="45"/>
        <v>10</v>
      </c>
      <c r="M1414" t="s">
        <v>1809</v>
      </c>
      <c r="N1414">
        <v>5</v>
      </c>
      <c r="O1414" t="s">
        <v>1813</v>
      </c>
      <c r="P1414" t="s">
        <v>1831</v>
      </c>
    </row>
    <row r="1415" spans="1:16" x14ac:dyDescent="0.3">
      <c r="A1415" t="s">
        <v>1426</v>
      </c>
      <c r="B1415" t="s">
        <v>1761</v>
      </c>
      <c r="C1415">
        <v>48</v>
      </c>
      <c r="D1415" t="s">
        <v>1783</v>
      </c>
      <c r="E1415" t="s">
        <v>1791</v>
      </c>
      <c r="F1415" t="s">
        <v>1797</v>
      </c>
      <c r="G1415" s="5">
        <v>112734</v>
      </c>
      <c r="H1415" t="s">
        <v>1804</v>
      </c>
      <c r="I1415" t="s">
        <v>1808</v>
      </c>
      <c r="J1415" s="2">
        <v>45254</v>
      </c>
      <c r="K1415">
        <f t="shared" ca="1" si="44"/>
        <v>2</v>
      </c>
      <c r="L1415">
        <f t="shared" ca="1" si="45"/>
        <v>0</v>
      </c>
      <c r="M1415" t="s">
        <v>1810</v>
      </c>
      <c r="N1415">
        <v>5</v>
      </c>
      <c r="O1415" t="s">
        <v>1815</v>
      </c>
      <c r="P1415" t="s">
        <v>1834</v>
      </c>
    </row>
    <row r="1416" spans="1:16" x14ac:dyDescent="0.3">
      <c r="A1416" t="s">
        <v>1427</v>
      </c>
      <c r="B1416" t="s">
        <v>1774</v>
      </c>
      <c r="C1416">
        <v>46</v>
      </c>
      <c r="D1416" t="s">
        <v>1783</v>
      </c>
      <c r="E1416" t="s">
        <v>1788</v>
      </c>
      <c r="F1416" t="s">
        <v>1798</v>
      </c>
      <c r="G1416" s="5">
        <v>110944</v>
      </c>
      <c r="H1416" t="s">
        <v>1803</v>
      </c>
      <c r="I1416" t="s">
        <v>1806</v>
      </c>
      <c r="J1416" s="2">
        <v>42576</v>
      </c>
      <c r="K1416">
        <f t="shared" ca="1" si="44"/>
        <v>9</v>
      </c>
      <c r="L1416">
        <f t="shared" ca="1" si="45"/>
        <v>4</v>
      </c>
      <c r="M1416" t="s">
        <v>1810</v>
      </c>
      <c r="N1416">
        <v>2</v>
      </c>
      <c r="O1416" t="s">
        <v>1811</v>
      </c>
      <c r="P1416" t="s">
        <v>1834</v>
      </c>
    </row>
    <row r="1417" spans="1:16" x14ac:dyDescent="0.3">
      <c r="A1417" t="s">
        <v>1428</v>
      </c>
      <c r="B1417" t="s">
        <v>1762</v>
      </c>
      <c r="C1417">
        <v>24</v>
      </c>
      <c r="D1417" t="s">
        <v>1783</v>
      </c>
      <c r="E1417" t="s">
        <v>1792</v>
      </c>
      <c r="F1417" t="s">
        <v>1800</v>
      </c>
      <c r="G1417" s="5">
        <v>51053</v>
      </c>
      <c r="H1417" t="s">
        <v>1802</v>
      </c>
      <c r="I1417" t="s">
        <v>1808</v>
      </c>
      <c r="J1417" s="2">
        <v>44336</v>
      </c>
      <c r="K1417">
        <f t="shared" ca="1" si="44"/>
        <v>4</v>
      </c>
      <c r="L1417">
        <f t="shared" ca="1" si="45"/>
        <v>6</v>
      </c>
      <c r="M1417" t="s">
        <v>1810</v>
      </c>
      <c r="N1417">
        <v>3</v>
      </c>
      <c r="O1417" t="s">
        <v>1812</v>
      </c>
      <c r="P1417" t="s">
        <v>1832</v>
      </c>
    </row>
    <row r="1418" spans="1:16" x14ac:dyDescent="0.3">
      <c r="A1418" t="s">
        <v>1429</v>
      </c>
      <c r="B1418" t="s">
        <v>1751</v>
      </c>
      <c r="C1418">
        <v>40</v>
      </c>
      <c r="D1418" t="s">
        <v>1785</v>
      </c>
      <c r="E1418" t="s">
        <v>1787</v>
      </c>
      <c r="F1418" t="s">
        <v>1796</v>
      </c>
      <c r="G1418" s="5">
        <v>104298</v>
      </c>
      <c r="H1418" t="s">
        <v>1805</v>
      </c>
      <c r="I1418" t="s">
        <v>1806</v>
      </c>
      <c r="J1418" s="2">
        <v>43191</v>
      </c>
      <c r="K1418">
        <f t="shared" ca="1" si="44"/>
        <v>7</v>
      </c>
      <c r="L1418">
        <f t="shared" ca="1" si="45"/>
        <v>8</v>
      </c>
      <c r="M1418" t="s">
        <v>1809</v>
      </c>
      <c r="N1418">
        <v>2</v>
      </c>
      <c r="O1418" t="s">
        <v>1814</v>
      </c>
      <c r="P1418" t="s">
        <v>1831</v>
      </c>
    </row>
    <row r="1419" spans="1:16" x14ac:dyDescent="0.3">
      <c r="A1419" t="s">
        <v>1430</v>
      </c>
      <c r="B1419" t="s">
        <v>1716</v>
      </c>
      <c r="C1419">
        <v>51</v>
      </c>
      <c r="D1419" t="s">
        <v>1784</v>
      </c>
      <c r="E1419" t="s">
        <v>1791</v>
      </c>
      <c r="F1419" t="s">
        <v>1798</v>
      </c>
      <c r="G1419" s="5">
        <v>23508</v>
      </c>
      <c r="H1419" t="s">
        <v>1802</v>
      </c>
      <c r="I1419" t="s">
        <v>1806</v>
      </c>
      <c r="J1419" s="2">
        <v>44911</v>
      </c>
      <c r="K1419">
        <f t="shared" ca="1" si="44"/>
        <v>3</v>
      </c>
      <c r="L1419">
        <f t="shared" ca="1" si="45"/>
        <v>11</v>
      </c>
      <c r="M1419" t="s">
        <v>1810</v>
      </c>
      <c r="N1419">
        <v>3</v>
      </c>
      <c r="O1419" t="s">
        <v>1815</v>
      </c>
      <c r="P1419" t="s">
        <v>1834</v>
      </c>
    </row>
    <row r="1420" spans="1:16" x14ac:dyDescent="0.3">
      <c r="A1420" t="s">
        <v>1431</v>
      </c>
      <c r="B1420" t="s">
        <v>1781</v>
      </c>
      <c r="C1420">
        <v>22</v>
      </c>
      <c r="D1420" t="s">
        <v>1783</v>
      </c>
      <c r="E1420" t="s">
        <v>1789</v>
      </c>
      <c r="F1420" t="s">
        <v>1796</v>
      </c>
      <c r="G1420" s="5">
        <v>111240</v>
      </c>
      <c r="H1420" t="s">
        <v>1805</v>
      </c>
      <c r="I1420" t="s">
        <v>1808</v>
      </c>
      <c r="J1420" s="2">
        <v>43819</v>
      </c>
      <c r="K1420">
        <f t="shared" ca="1" si="44"/>
        <v>6</v>
      </c>
      <c r="L1420">
        <f t="shared" ca="1" si="45"/>
        <v>11</v>
      </c>
      <c r="M1420" t="s">
        <v>1809</v>
      </c>
      <c r="N1420">
        <v>1</v>
      </c>
      <c r="O1420" t="s">
        <v>1812</v>
      </c>
      <c r="P1420" t="s">
        <v>1832</v>
      </c>
    </row>
    <row r="1421" spans="1:16" x14ac:dyDescent="0.3">
      <c r="A1421" t="s">
        <v>1432</v>
      </c>
      <c r="B1421" t="s">
        <v>1756</v>
      </c>
      <c r="C1421">
        <v>33</v>
      </c>
      <c r="D1421" t="s">
        <v>1783</v>
      </c>
      <c r="E1421" t="s">
        <v>1789</v>
      </c>
      <c r="F1421" t="s">
        <v>1794</v>
      </c>
      <c r="G1421" s="5">
        <v>107175</v>
      </c>
      <c r="H1421" t="s">
        <v>1805</v>
      </c>
      <c r="I1421" t="s">
        <v>1808</v>
      </c>
      <c r="J1421" s="2">
        <v>44612</v>
      </c>
      <c r="K1421">
        <f t="shared" ca="1" si="44"/>
        <v>3</v>
      </c>
      <c r="L1421">
        <f t="shared" ca="1" si="45"/>
        <v>9</v>
      </c>
      <c r="M1421" t="s">
        <v>1810</v>
      </c>
      <c r="N1421">
        <v>5</v>
      </c>
      <c r="O1421" t="s">
        <v>1815</v>
      </c>
      <c r="P1421" t="s">
        <v>1833</v>
      </c>
    </row>
    <row r="1422" spans="1:16" x14ac:dyDescent="0.3">
      <c r="A1422" t="s">
        <v>1433</v>
      </c>
      <c r="B1422" t="s">
        <v>1750</v>
      </c>
      <c r="C1422">
        <v>22</v>
      </c>
      <c r="D1422" t="s">
        <v>1784</v>
      </c>
      <c r="E1422" t="s">
        <v>1788</v>
      </c>
      <c r="F1422" t="s">
        <v>1799</v>
      </c>
      <c r="G1422" s="5">
        <v>88620</v>
      </c>
      <c r="H1422" t="s">
        <v>1803</v>
      </c>
      <c r="I1422" t="s">
        <v>1807</v>
      </c>
      <c r="J1422" s="2">
        <v>43603</v>
      </c>
      <c r="K1422">
        <f t="shared" ca="1" si="44"/>
        <v>6</v>
      </c>
      <c r="L1422">
        <f t="shared" ca="1" si="45"/>
        <v>6</v>
      </c>
      <c r="M1422" t="s">
        <v>1810</v>
      </c>
      <c r="N1422">
        <v>1</v>
      </c>
      <c r="O1422" t="s">
        <v>1811</v>
      </c>
      <c r="P1422" t="s">
        <v>1832</v>
      </c>
    </row>
    <row r="1423" spans="1:16" x14ac:dyDescent="0.3">
      <c r="A1423" t="s">
        <v>1434</v>
      </c>
      <c r="B1423" t="s">
        <v>1760</v>
      </c>
      <c r="C1423">
        <v>24</v>
      </c>
      <c r="D1423" t="s">
        <v>1784</v>
      </c>
      <c r="E1423" t="s">
        <v>1787</v>
      </c>
      <c r="F1423" t="s">
        <v>1795</v>
      </c>
      <c r="G1423" s="5">
        <v>78757</v>
      </c>
      <c r="H1423" t="s">
        <v>1805</v>
      </c>
      <c r="I1423" t="s">
        <v>1807</v>
      </c>
      <c r="J1423" s="2">
        <v>43728</v>
      </c>
      <c r="K1423">
        <f t="shared" ca="1" si="44"/>
        <v>6</v>
      </c>
      <c r="L1423">
        <f t="shared" ca="1" si="45"/>
        <v>2</v>
      </c>
      <c r="M1423" t="s">
        <v>1809</v>
      </c>
      <c r="N1423">
        <v>4</v>
      </c>
      <c r="O1423" t="s">
        <v>1814</v>
      </c>
      <c r="P1423" t="s">
        <v>1832</v>
      </c>
    </row>
    <row r="1424" spans="1:16" x14ac:dyDescent="0.3">
      <c r="A1424" t="s">
        <v>1435</v>
      </c>
      <c r="B1424" t="s">
        <v>1780</v>
      </c>
      <c r="C1424">
        <v>22</v>
      </c>
      <c r="D1424" t="s">
        <v>1783</v>
      </c>
      <c r="E1424" t="s">
        <v>1788</v>
      </c>
      <c r="F1424" t="s">
        <v>1796</v>
      </c>
      <c r="G1424" s="5">
        <v>69748</v>
      </c>
      <c r="H1424" t="s">
        <v>1801</v>
      </c>
      <c r="I1424" t="s">
        <v>1806</v>
      </c>
      <c r="J1424" s="2">
        <v>43376</v>
      </c>
      <c r="K1424">
        <f t="shared" ca="1" si="44"/>
        <v>7</v>
      </c>
      <c r="L1424">
        <f t="shared" ca="1" si="45"/>
        <v>2</v>
      </c>
      <c r="M1424" t="s">
        <v>1809</v>
      </c>
      <c r="N1424">
        <v>2</v>
      </c>
      <c r="O1424" t="s">
        <v>1812</v>
      </c>
      <c r="P1424" t="s">
        <v>1832</v>
      </c>
    </row>
    <row r="1425" spans="1:16" x14ac:dyDescent="0.3">
      <c r="A1425" t="s">
        <v>1436</v>
      </c>
      <c r="B1425" t="s">
        <v>1743</v>
      </c>
      <c r="C1425">
        <v>20</v>
      </c>
      <c r="D1425" t="s">
        <v>1784</v>
      </c>
      <c r="E1425" t="s">
        <v>1792</v>
      </c>
      <c r="F1425" t="s">
        <v>1799</v>
      </c>
      <c r="G1425" s="5">
        <v>27975</v>
      </c>
      <c r="H1425" t="s">
        <v>1804</v>
      </c>
      <c r="I1425" t="s">
        <v>1806</v>
      </c>
      <c r="J1425" s="2">
        <v>45773</v>
      </c>
      <c r="K1425">
        <f t="shared" ca="1" si="44"/>
        <v>0</v>
      </c>
      <c r="L1425">
        <f t="shared" ca="1" si="45"/>
        <v>7</v>
      </c>
      <c r="M1425" t="s">
        <v>1810</v>
      </c>
      <c r="N1425">
        <v>1</v>
      </c>
      <c r="O1425" t="s">
        <v>1814</v>
      </c>
      <c r="P1425" t="s">
        <v>1832</v>
      </c>
    </row>
    <row r="1426" spans="1:16" x14ac:dyDescent="0.3">
      <c r="A1426" t="s">
        <v>1437</v>
      </c>
      <c r="B1426" t="s">
        <v>1760</v>
      </c>
      <c r="C1426">
        <v>23</v>
      </c>
      <c r="D1426" t="s">
        <v>1784</v>
      </c>
      <c r="E1426" t="s">
        <v>1786</v>
      </c>
      <c r="F1426" t="s">
        <v>1794</v>
      </c>
      <c r="G1426" s="5">
        <v>88004</v>
      </c>
      <c r="H1426" t="s">
        <v>1805</v>
      </c>
      <c r="I1426" t="s">
        <v>1808</v>
      </c>
      <c r="J1426" s="2">
        <v>45631</v>
      </c>
      <c r="K1426">
        <f t="shared" ca="1" si="44"/>
        <v>1</v>
      </c>
      <c r="L1426">
        <f t="shared" ca="1" si="45"/>
        <v>0</v>
      </c>
      <c r="M1426" t="s">
        <v>1809</v>
      </c>
      <c r="N1426">
        <v>2</v>
      </c>
      <c r="O1426" t="s">
        <v>1811</v>
      </c>
      <c r="P1426" t="s">
        <v>1832</v>
      </c>
    </row>
    <row r="1427" spans="1:16" x14ac:dyDescent="0.3">
      <c r="A1427" t="s">
        <v>1438</v>
      </c>
      <c r="B1427" t="s">
        <v>1719</v>
      </c>
      <c r="C1427">
        <v>41</v>
      </c>
      <c r="D1427" t="s">
        <v>1783</v>
      </c>
      <c r="E1427" t="s">
        <v>1786</v>
      </c>
      <c r="F1427" t="s">
        <v>1794</v>
      </c>
      <c r="G1427" s="5">
        <v>19862</v>
      </c>
      <c r="H1427" t="s">
        <v>1803</v>
      </c>
      <c r="I1427" t="s">
        <v>1807</v>
      </c>
      <c r="J1427" s="2">
        <v>43784</v>
      </c>
      <c r="K1427">
        <f t="shared" ca="1" si="44"/>
        <v>6</v>
      </c>
      <c r="L1427">
        <f t="shared" ca="1" si="45"/>
        <v>0</v>
      </c>
      <c r="M1427" t="s">
        <v>1809</v>
      </c>
      <c r="N1427">
        <v>4</v>
      </c>
      <c r="O1427" t="s">
        <v>1818</v>
      </c>
      <c r="P1427" t="s">
        <v>1831</v>
      </c>
    </row>
    <row r="1428" spans="1:16" x14ac:dyDescent="0.3">
      <c r="A1428" t="s">
        <v>1439</v>
      </c>
      <c r="B1428" t="s">
        <v>1769</v>
      </c>
      <c r="C1428">
        <v>36</v>
      </c>
      <c r="D1428" t="s">
        <v>1783</v>
      </c>
      <c r="E1428" t="s">
        <v>1788</v>
      </c>
      <c r="F1428" t="s">
        <v>1796</v>
      </c>
      <c r="G1428" s="5">
        <v>106055</v>
      </c>
      <c r="H1428" t="s">
        <v>1803</v>
      </c>
      <c r="I1428" t="s">
        <v>1807</v>
      </c>
      <c r="J1428" s="2">
        <v>44184</v>
      </c>
      <c r="K1428">
        <f t="shared" ca="1" si="44"/>
        <v>5</v>
      </c>
      <c r="L1428">
        <f t="shared" ca="1" si="45"/>
        <v>11</v>
      </c>
      <c r="M1428" t="s">
        <v>1809</v>
      </c>
      <c r="N1428">
        <v>2</v>
      </c>
      <c r="O1428" t="s">
        <v>1817</v>
      </c>
      <c r="P1428" t="s">
        <v>1831</v>
      </c>
    </row>
    <row r="1429" spans="1:16" x14ac:dyDescent="0.3">
      <c r="A1429" t="s">
        <v>1440</v>
      </c>
      <c r="B1429" t="s">
        <v>1765</v>
      </c>
      <c r="C1429">
        <v>38</v>
      </c>
      <c r="D1429" t="s">
        <v>1784</v>
      </c>
      <c r="E1429" t="s">
        <v>1793</v>
      </c>
      <c r="F1429" t="s">
        <v>1798</v>
      </c>
      <c r="G1429" s="5">
        <v>27991</v>
      </c>
      <c r="H1429" t="s">
        <v>1801</v>
      </c>
      <c r="I1429" t="s">
        <v>1807</v>
      </c>
      <c r="J1429" s="2">
        <v>43419</v>
      </c>
      <c r="K1429">
        <f t="shared" ca="1" si="44"/>
        <v>7</v>
      </c>
      <c r="L1429">
        <f t="shared" ca="1" si="45"/>
        <v>0</v>
      </c>
      <c r="M1429" t="s">
        <v>1809</v>
      </c>
      <c r="N1429">
        <v>3</v>
      </c>
      <c r="O1429" t="s">
        <v>1816</v>
      </c>
      <c r="P1429" t="s">
        <v>1831</v>
      </c>
    </row>
    <row r="1430" spans="1:16" x14ac:dyDescent="0.3">
      <c r="A1430" t="s">
        <v>1441</v>
      </c>
      <c r="B1430" t="s">
        <v>1765</v>
      </c>
      <c r="C1430">
        <v>48</v>
      </c>
      <c r="D1430" t="s">
        <v>1784</v>
      </c>
      <c r="E1430" t="s">
        <v>1793</v>
      </c>
      <c r="F1430" t="s">
        <v>1799</v>
      </c>
      <c r="G1430" s="5">
        <v>83596</v>
      </c>
      <c r="H1430" t="s">
        <v>1805</v>
      </c>
      <c r="I1430" t="s">
        <v>1808</v>
      </c>
      <c r="J1430" s="2">
        <v>44530</v>
      </c>
      <c r="K1430">
        <f t="shared" ca="1" si="44"/>
        <v>4</v>
      </c>
      <c r="L1430">
        <f t="shared" ca="1" si="45"/>
        <v>0</v>
      </c>
      <c r="M1430" t="s">
        <v>1809</v>
      </c>
      <c r="N1430">
        <v>4</v>
      </c>
      <c r="O1430" t="s">
        <v>1814</v>
      </c>
      <c r="P1430" t="s">
        <v>1834</v>
      </c>
    </row>
    <row r="1431" spans="1:16" x14ac:dyDescent="0.3">
      <c r="A1431" t="s">
        <v>1442</v>
      </c>
      <c r="B1431" t="s">
        <v>1757</v>
      </c>
      <c r="C1431">
        <v>25</v>
      </c>
      <c r="D1431" t="s">
        <v>1784</v>
      </c>
      <c r="E1431" t="s">
        <v>1791</v>
      </c>
      <c r="F1431" t="s">
        <v>1799</v>
      </c>
      <c r="G1431" s="5">
        <v>68840</v>
      </c>
      <c r="H1431" t="s">
        <v>1802</v>
      </c>
      <c r="I1431" t="s">
        <v>1806</v>
      </c>
      <c r="J1431" s="2">
        <v>43463</v>
      </c>
      <c r="K1431">
        <f t="shared" ca="1" si="44"/>
        <v>7</v>
      </c>
      <c r="L1431">
        <f t="shared" ca="1" si="45"/>
        <v>11</v>
      </c>
      <c r="M1431" t="s">
        <v>1809</v>
      </c>
      <c r="N1431">
        <v>5</v>
      </c>
      <c r="O1431" t="s">
        <v>1813</v>
      </c>
      <c r="P1431" t="s">
        <v>1832</v>
      </c>
    </row>
    <row r="1432" spans="1:16" x14ac:dyDescent="0.3">
      <c r="A1432" t="s">
        <v>1443</v>
      </c>
      <c r="B1432" t="s">
        <v>1769</v>
      </c>
      <c r="C1432">
        <v>29</v>
      </c>
      <c r="D1432" t="s">
        <v>1784</v>
      </c>
      <c r="E1432" t="s">
        <v>1791</v>
      </c>
      <c r="F1432" t="s">
        <v>1799</v>
      </c>
      <c r="G1432" s="5">
        <v>86430</v>
      </c>
      <c r="H1432" t="s">
        <v>1805</v>
      </c>
      <c r="I1432" t="s">
        <v>1807</v>
      </c>
      <c r="J1432" s="2">
        <v>44398</v>
      </c>
      <c r="K1432">
        <f t="shared" ca="1" si="44"/>
        <v>4</v>
      </c>
      <c r="L1432">
        <f t="shared" ca="1" si="45"/>
        <v>4</v>
      </c>
      <c r="M1432" t="s">
        <v>1810</v>
      </c>
      <c r="N1432">
        <v>1</v>
      </c>
      <c r="O1432" t="s">
        <v>1817</v>
      </c>
      <c r="P1432" t="s">
        <v>1833</v>
      </c>
    </row>
    <row r="1433" spans="1:16" x14ac:dyDescent="0.3">
      <c r="A1433" t="s">
        <v>1444</v>
      </c>
      <c r="B1433" t="s">
        <v>1750</v>
      </c>
      <c r="C1433">
        <v>47</v>
      </c>
      <c r="D1433" t="s">
        <v>1783</v>
      </c>
      <c r="E1433" t="s">
        <v>1787</v>
      </c>
      <c r="F1433" t="s">
        <v>1798</v>
      </c>
      <c r="G1433" s="5">
        <v>45834</v>
      </c>
      <c r="H1433" t="s">
        <v>1802</v>
      </c>
      <c r="I1433" t="s">
        <v>1806</v>
      </c>
      <c r="J1433" s="2">
        <v>45049</v>
      </c>
      <c r="K1433">
        <f t="shared" ca="1" si="44"/>
        <v>2</v>
      </c>
      <c r="L1433">
        <f t="shared" ca="1" si="45"/>
        <v>7</v>
      </c>
      <c r="M1433" t="s">
        <v>1810</v>
      </c>
      <c r="N1433">
        <v>5</v>
      </c>
      <c r="O1433" t="s">
        <v>1813</v>
      </c>
      <c r="P1433" t="s">
        <v>1834</v>
      </c>
    </row>
    <row r="1434" spans="1:16" x14ac:dyDescent="0.3">
      <c r="A1434" t="s">
        <v>1445</v>
      </c>
      <c r="B1434" t="s">
        <v>1742</v>
      </c>
      <c r="C1434">
        <v>51</v>
      </c>
      <c r="D1434" t="s">
        <v>1785</v>
      </c>
      <c r="E1434" t="s">
        <v>1790</v>
      </c>
      <c r="F1434" t="s">
        <v>1796</v>
      </c>
      <c r="G1434" s="5">
        <v>68760</v>
      </c>
      <c r="H1434" t="s">
        <v>1804</v>
      </c>
      <c r="I1434" t="s">
        <v>1807</v>
      </c>
      <c r="J1434" s="2">
        <v>42609</v>
      </c>
      <c r="K1434">
        <f t="shared" ca="1" si="44"/>
        <v>9</v>
      </c>
      <c r="L1434">
        <f t="shared" ca="1" si="45"/>
        <v>3</v>
      </c>
      <c r="M1434" t="s">
        <v>1809</v>
      </c>
      <c r="N1434">
        <v>4</v>
      </c>
      <c r="O1434" t="s">
        <v>1815</v>
      </c>
      <c r="P1434" t="s">
        <v>1834</v>
      </c>
    </row>
    <row r="1435" spans="1:16" x14ac:dyDescent="0.3">
      <c r="A1435" t="s">
        <v>1446</v>
      </c>
      <c r="B1435" t="s">
        <v>1735</v>
      </c>
      <c r="C1435">
        <v>42</v>
      </c>
      <c r="D1435" t="s">
        <v>1783</v>
      </c>
      <c r="E1435" t="s">
        <v>1789</v>
      </c>
      <c r="F1435" t="s">
        <v>1796</v>
      </c>
      <c r="G1435" s="5">
        <v>103028</v>
      </c>
      <c r="H1435" t="s">
        <v>1803</v>
      </c>
      <c r="I1435" t="s">
        <v>1806</v>
      </c>
      <c r="J1435" s="2">
        <v>45868</v>
      </c>
      <c r="K1435">
        <f t="shared" ca="1" si="44"/>
        <v>0</v>
      </c>
      <c r="L1435">
        <f t="shared" ca="1" si="45"/>
        <v>4</v>
      </c>
      <c r="M1435" t="s">
        <v>1809</v>
      </c>
      <c r="N1435">
        <v>3</v>
      </c>
      <c r="O1435" t="s">
        <v>1812</v>
      </c>
      <c r="P1435" t="s">
        <v>1831</v>
      </c>
    </row>
    <row r="1436" spans="1:16" x14ac:dyDescent="0.3">
      <c r="A1436" t="s">
        <v>1447</v>
      </c>
      <c r="B1436" t="s">
        <v>1769</v>
      </c>
      <c r="C1436">
        <v>26</v>
      </c>
      <c r="D1436" t="s">
        <v>1785</v>
      </c>
      <c r="E1436" t="s">
        <v>1793</v>
      </c>
      <c r="F1436" t="s">
        <v>1798</v>
      </c>
      <c r="G1436" s="5">
        <v>95710</v>
      </c>
      <c r="H1436" t="s">
        <v>1803</v>
      </c>
      <c r="I1436" t="s">
        <v>1808</v>
      </c>
      <c r="J1436" s="2">
        <v>44705</v>
      </c>
      <c r="K1436">
        <f t="shared" ca="1" si="44"/>
        <v>3</v>
      </c>
      <c r="L1436">
        <f t="shared" ca="1" si="45"/>
        <v>6</v>
      </c>
      <c r="M1436" t="s">
        <v>1810</v>
      </c>
      <c r="N1436">
        <v>1</v>
      </c>
      <c r="O1436" t="s">
        <v>1818</v>
      </c>
      <c r="P1436" t="s">
        <v>1833</v>
      </c>
    </row>
    <row r="1437" spans="1:16" x14ac:dyDescent="0.3">
      <c r="A1437" t="s">
        <v>1448</v>
      </c>
      <c r="B1437" t="s">
        <v>1722</v>
      </c>
      <c r="C1437">
        <v>39</v>
      </c>
      <c r="D1437" t="s">
        <v>1785</v>
      </c>
      <c r="E1437" t="s">
        <v>1787</v>
      </c>
      <c r="F1437" t="s">
        <v>1797</v>
      </c>
      <c r="G1437" s="5">
        <v>56463</v>
      </c>
      <c r="H1437" t="s">
        <v>1801</v>
      </c>
      <c r="I1437" t="s">
        <v>1807</v>
      </c>
      <c r="J1437" s="2">
        <v>43667</v>
      </c>
      <c r="K1437">
        <f t="shared" ca="1" si="44"/>
        <v>6</v>
      </c>
      <c r="L1437">
        <f t="shared" ca="1" si="45"/>
        <v>4</v>
      </c>
      <c r="M1437" t="s">
        <v>1809</v>
      </c>
      <c r="N1437">
        <v>3</v>
      </c>
      <c r="O1437" t="s">
        <v>1811</v>
      </c>
      <c r="P1437" t="s">
        <v>1831</v>
      </c>
    </row>
    <row r="1438" spans="1:16" x14ac:dyDescent="0.3">
      <c r="A1438" t="s">
        <v>1449</v>
      </c>
      <c r="B1438" t="s">
        <v>1738</v>
      </c>
      <c r="C1438">
        <v>41</v>
      </c>
      <c r="D1438" t="s">
        <v>1784</v>
      </c>
      <c r="E1438" t="s">
        <v>1793</v>
      </c>
      <c r="F1438" t="s">
        <v>1796</v>
      </c>
      <c r="G1438" s="5">
        <v>87594</v>
      </c>
      <c r="H1438" t="s">
        <v>1801</v>
      </c>
      <c r="I1438" t="s">
        <v>1808</v>
      </c>
      <c r="J1438" s="2">
        <v>43701</v>
      </c>
      <c r="K1438">
        <f t="shared" ca="1" si="44"/>
        <v>6</v>
      </c>
      <c r="L1438">
        <f t="shared" ca="1" si="45"/>
        <v>3</v>
      </c>
      <c r="M1438" t="s">
        <v>1810</v>
      </c>
      <c r="N1438">
        <v>4</v>
      </c>
      <c r="O1438" t="s">
        <v>1818</v>
      </c>
      <c r="P1438" t="s">
        <v>1831</v>
      </c>
    </row>
    <row r="1439" spans="1:16" x14ac:dyDescent="0.3">
      <c r="A1439" t="s">
        <v>1450</v>
      </c>
      <c r="B1439" t="s">
        <v>1740</v>
      </c>
      <c r="C1439">
        <v>40</v>
      </c>
      <c r="D1439" t="s">
        <v>1783</v>
      </c>
      <c r="E1439" t="s">
        <v>1793</v>
      </c>
      <c r="F1439" t="s">
        <v>1795</v>
      </c>
      <c r="G1439" s="5">
        <v>36012</v>
      </c>
      <c r="H1439" t="s">
        <v>1805</v>
      </c>
      <c r="I1439" t="s">
        <v>1806</v>
      </c>
      <c r="J1439" s="2">
        <v>45926</v>
      </c>
      <c r="K1439">
        <f t="shared" ca="1" si="44"/>
        <v>0</v>
      </c>
      <c r="L1439">
        <f t="shared" ca="1" si="45"/>
        <v>2</v>
      </c>
      <c r="M1439" t="s">
        <v>1809</v>
      </c>
      <c r="N1439">
        <v>3</v>
      </c>
      <c r="O1439" t="s">
        <v>1813</v>
      </c>
      <c r="P1439" t="s">
        <v>1831</v>
      </c>
    </row>
    <row r="1440" spans="1:16" x14ac:dyDescent="0.3">
      <c r="A1440" t="s">
        <v>1451</v>
      </c>
      <c r="B1440" t="s">
        <v>1757</v>
      </c>
      <c r="C1440">
        <v>41</v>
      </c>
      <c r="D1440" t="s">
        <v>1784</v>
      </c>
      <c r="E1440" t="s">
        <v>1793</v>
      </c>
      <c r="F1440" t="s">
        <v>1795</v>
      </c>
      <c r="G1440" s="5">
        <v>41936</v>
      </c>
      <c r="H1440" t="s">
        <v>1802</v>
      </c>
      <c r="I1440" t="s">
        <v>1806</v>
      </c>
      <c r="J1440" s="2">
        <v>45716</v>
      </c>
      <c r="K1440">
        <f t="shared" ca="1" si="44"/>
        <v>0</v>
      </c>
      <c r="L1440">
        <f t="shared" ca="1" si="45"/>
        <v>9</v>
      </c>
      <c r="M1440" t="s">
        <v>1809</v>
      </c>
      <c r="N1440">
        <v>2</v>
      </c>
      <c r="O1440" t="s">
        <v>1818</v>
      </c>
      <c r="P1440" t="s">
        <v>1831</v>
      </c>
    </row>
    <row r="1441" spans="1:16" x14ac:dyDescent="0.3">
      <c r="A1441" t="s">
        <v>1452</v>
      </c>
      <c r="B1441" t="s">
        <v>1766</v>
      </c>
      <c r="C1441">
        <v>55</v>
      </c>
      <c r="D1441" t="s">
        <v>1785</v>
      </c>
      <c r="E1441" t="s">
        <v>1793</v>
      </c>
      <c r="F1441" t="s">
        <v>1795</v>
      </c>
      <c r="G1441" s="5">
        <v>111429</v>
      </c>
      <c r="H1441" t="s">
        <v>1805</v>
      </c>
      <c r="I1441" t="s">
        <v>1806</v>
      </c>
      <c r="J1441" s="2">
        <v>44674</v>
      </c>
      <c r="K1441">
        <f t="shared" ca="1" si="44"/>
        <v>3</v>
      </c>
      <c r="L1441">
        <f t="shared" ca="1" si="45"/>
        <v>7</v>
      </c>
      <c r="M1441" t="s">
        <v>1810</v>
      </c>
      <c r="N1441">
        <v>5</v>
      </c>
      <c r="O1441" t="s">
        <v>1814</v>
      </c>
      <c r="P1441" t="s">
        <v>1834</v>
      </c>
    </row>
    <row r="1442" spans="1:16" x14ac:dyDescent="0.3">
      <c r="A1442" t="s">
        <v>1453</v>
      </c>
      <c r="B1442" t="s">
        <v>1718</v>
      </c>
      <c r="C1442">
        <v>22</v>
      </c>
      <c r="D1442" t="s">
        <v>1784</v>
      </c>
      <c r="E1442" t="s">
        <v>1787</v>
      </c>
      <c r="F1442" t="s">
        <v>1794</v>
      </c>
      <c r="G1442" s="5">
        <v>30185</v>
      </c>
      <c r="H1442" t="s">
        <v>1804</v>
      </c>
      <c r="I1442" t="s">
        <v>1808</v>
      </c>
      <c r="J1442" s="2">
        <v>45473</v>
      </c>
      <c r="K1442">
        <f t="shared" ca="1" si="44"/>
        <v>1</v>
      </c>
      <c r="L1442">
        <f t="shared" ca="1" si="45"/>
        <v>5</v>
      </c>
      <c r="M1442" t="s">
        <v>1809</v>
      </c>
      <c r="N1442">
        <v>2</v>
      </c>
      <c r="O1442" t="s">
        <v>1813</v>
      </c>
      <c r="P1442" t="s">
        <v>1832</v>
      </c>
    </row>
    <row r="1443" spans="1:16" x14ac:dyDescent="0.3">
      <c r="A1443" t="s">
        <v>1454</v>
      </c>
      <c r="B1443" t="s">
        <v>1777</v>
      </c>
      <c r="C1443">
        <v>20</v>
      </c>
      <c r="D1443" t="s">
        <v>1783</v>
      </c>
      <c r="E1443" t="s">
        <v>1790</v>
      </c>
      <c r="F1443" t="s">
        <v>1800</v>
      </c>
      <c r="G1443" s="5">
        <v>23573</v>
      </c>
      <c r="H1443" t="s">
        <v>1804</v>
      </c>
      <c r="I1443" t="s">
        <v>1808</v>
      </c>
      <c r="J1443" s="2">
        <v>44657</v>
      </c>
      <c r="K1443">
        <f t="shared" ca="1" si="44"/>
        <v>3</v>
      </c>
      <c r="L1443">
        <f t="shared" ca="1" si="45"/>
        <v>8</v>
      </c>
      <c r="M1443" t="s">
        <v>1809</v>
      </c>
      <c r="N1443">
        <v>3</v>
      </c>
      <c r="O1443" t="s">
        <v>1816</v>
      </c>
      <c r="P1443" t="s">
        <v>1832</v>
      </c>
    </row>
    <row r="1444" spans="1:16" x14ac:dyDescent="0.3">
      <c r="A1444" t="s">
        <v>1455</v>
      </c>
      <c r="B1444" t="s">
        <v>1759</v>
      </c>
      <c r="C1444">
        <v>35</v>
      </c>
      <c r="D1444" t="s">
        <v>1783</v>
      </c>
      <c r="E1444" t="s">
        <v>1789</v>
      </c>
      <c r="F1444" t="s">
        <v>1798</v>
      </c>
      <c r="G1444" s="5">
        <v>40069</v>
      </c>
      <c r="H1444" t="s">
        <v>1805</v>
      </c>
      <c r="I1444" t="s">
        <v>1806</v>
      </c>
      <c r="J1444" s="2">
        <v>45987</v>
      </c>
      <c r="K1444">
        <f t="shared" ca="1" si="44"/>
        <v>0</v>
      </c>
      <c r="L1444">
        <f t="shared" ca="1" si="45"/>
        <v>0</v>
      </c>
      <c r="M1444" t="s">
        <v>1809</v>
      </c>
      <c r="N1444">
        <v>1</v>
      </c>
      <c r="O1444" t="s">
        <v>1812</v>
      </c>
      <c r="P1444" t="s">
        <v>1833</v>
      </c>
    </row>
    <row r="1445" spans="1:16" x14ac:dyDescent="0.3">
      <c r="A1445" t="s">
        <v>1456</v>
      </c>
      <c r="B1445" t="s">
        <v>1778</v>
      </c>
      <c r="C1445">
        <v>28</v>
      </c>
      <c r="D1445" t="s">
        <v>1783</v>
      </c>
      <c r="E1445" t="s">
        <v>1786</v>
      </c>
      <c r="F1445" t="s">
        <v>1797</v>
      </c>
      <c r="G1445" s="5">
        <v>71465</v>
      </c>
      <c r="H1445" t="s">
        <v>1805</v>
      </c>
      <c r="I1445" t="s">
        <v>1808</v>
      </c>
      <c r="J1445" s="2">
        <v>44800</v>
      </c>
      <c r="K1445">
        <f t="shared" ca="1" si="44"/>
        <v>3</v>
      </c>
      <c r="L1445">
        <f t="shared" ca="1" si="45"/>
        <v>3</v>
      </c>
      <c r="M1445" t="s">
        <v>1809</v>
      </c>
      <c r="N1445">
        <v>4</v>
      </c>
      <c r="O1445" t="s">
        <v>1815</v>
      </c>
      <c r="P1445" t="s">
        <v>1833</v>
      </c>
    </row>
    <row r="1446" spans="1:16" x14ac:dyDescent="0.3">
      <c r="A1446" t="s">
        <v>1457</v>
      </c>
      <c r="B1446" t="s">
        <v>1768</v>
      </c>
      <c r="C1446">
        <v>33</v>
      </c>
      <c r="D1446" t="s">
        <v>1785</v>
      </c>
      <c r="E1446" t="s">
        <v>1787</v>
      </c>
      <c r="F1446" t="s">
        <v>1799</v>
      </c>
      <c r="G1446" s="5">
        <v>43227</v>
      </c>
      <c r="H1446" t="s">
        <v>1805</v>
      </c>
      <c r="I1446" t="s">
        <v>1808</v>
      </c>
      <c r="J1446" s="2">
        <v>43848</v>
      </c>
      <c r="K1446">
        <f t="shared" ca="1" si="44"/>
        <v>5</v>
      </c>
      <c r="L1446">
        <f t="shared" ca="1" si="45"/>
        <v>10</v>
      </c>
      <c r="M1446" t="s">
        <v>1809</v>
      </c>
      <c r="N1446">
        <v>4</v>
      </c>
      <c r="O1446" t="s">
        <v>1811</v>
      </c>
      <c r="P1446" t="s">
        <v>1833</v>
      </c>
    </row>
    <row r="1447" spans="1:16" x14ac:dyDescent="0.3">
      <c r="A1447" t="s">
        <v>1458</v>
      </c>
      <c r="B1447" t="s">
        <v>1715</v>
      </c>
      <c r="C1447">
        <v>37</v>
      </c>
      <c r="D1447" t="s">
        <v>1783</v>
      </c>
      <c r="E1447" t="s">
        <v>1793</v>
      </c>
      <c r="F1447" t="s">
        <v>1800</v>
      </c>
      <c r="G1447" s="5">
        <v>110655</v>
      </c>
      <c r="H1447" t="s">
        <v>1804</v>
      </c>
      <c r="I1447" t="s">
        <v>1806</v>
      </c>
      <c r="J1447" s="2">
        <v>44917</v>
      </c>
      <c r="K1447">
        <f t="shared" ca="1" si="44"/>
        <v>3</v>
      </c>
      <c r="L1447">
        <f t="shared" ca="1" si="45"/>
        <v>11</v>
      </c>
      <c r="M1447" t="s">
        <v>1810</v>
      </c>
      <c r="N1447">
        <v>1</v>
      </c>
      <c r="O1447" t="s">
        <v>1813</v>
      </c>
      <c r="P1447" t="s">
        <v>1831</v>
      </c>
    </row>
    <row r="1448" spans="1:16" x14ac:dyDescent="0.3">
      <c r="A1448" t="s">
        <v>1459</v>
      </c>
      <c r="B1448" t="s">
        <v>1744</v>
      </c>
      <c r="C1448">
        <v>32</v>
      </c>
      <c r="D1448" t="s">
        <v>1785</v>
      </c>
      <c r="E1448" t="s">
        <v>1788</v>
      </c>
      <c r="F1448" t="s">
        <v>1798</v>
      </c>
      <c r="G1448" s="5">
        <v>108610</v>
      </c>
      <c r="H1448" t="s">
        <v>1805</v>
      </c>
      <c r="I1448" t="s">
        <v>1807</v>
      </c>
      <c r="J1448" s="2">
        <v>45773</v>
      </c>
      <c r="K1448">
        <f t="shared" ca="1" si="44"/>
        <v>0</v>
      </c>
      <c r="L1448">
        <f t="shared" ca="1" si="45"/>
        <v>7</v>
      </c>
      <c r="M1448" t="s">
        <v>1809</v>
      </c>
      <c r="N1448">
        <v>2</v>
      </c>
      <c r="O1448" t="s">
        <v>1816</v>
      </c>
      <c r="P1448" t="s">
        <v>1833</v>
      </c>
    </row>
    <row r="1449" spans="1:16" x14ac:dyDescent="0.3">
      <c r="A1449" t="s">
        <v>1460</v>
      </c>
      <c r="B1449" t="s">
        <v>1752</v>
      </c>
      <c r="C1449">
        <v>35</v>
      </c>
      <c r="D1449" t="s">
        <v>1785</v>
      </c>
      <c r="E1449" t="s">
        <v>1792</v>
      </c>
      <c r="F1449" t="s">
        <v>1797</v>
      </c>
      <c r="G1449" s="5">
        <v>113846</v>
      </c>
      <c r="H1449" t="s">
        <v>1803</v>
      </c>
      <c r="I1449" t="s">
        <v>1807</v>
      </c>
      <c r="J1449" s="2">
        <v>43331</v>
      </c>
      <c r="K1449">
        <f t="shared" ca="1" si="44"/>
        <v>7</v>
      </c>
      <c r="L1449">
        <f t="shared" ca="1" si="45"/>
        <v>3</v>
      </c>
      <c r="M1449" t="s">
        <v>1810</v>
      </c>
      <c r="N1449">
        <v>1</v>
      </c>
      <c r="O1449" t="s">
        <v>1818</v>
      </c>
      <c r="P1449" t="s">
        <v>1833</v>
      </c>
    </row>
    <row r="1450" spans="1:16" x14ac:dyDescent="0.3">
      <c r="A1450" t="s">
        <v>1461</v>
      </c>
      <c r="B1450" t="s">
        <v>1778</v>
      </c>
      <c r="C1450">
        <v>27</v>
      </c>
      <c r="D1450" t="s">
        <v>1785</v>
      </c>
      <c r="E1450" t="s">
        <v>1792</v>
      </c>
      <c r="F1450" t="s">
        <v>1797</v>
      </c>
      <c r="G1450" s="5">
        <v>72179</v>
      </c>
      <c r="H1450" t="s">
        <v>1804</v>
      </c>
      <c r="I1450" t="s">
        <v>1807</v>
      </c>
      <c r="J1450" s="2">
        <v>44269</v>
      </c>
      <c r="K1450">
        <f t="shared" ca="1" si="44"/>
        <v>4</v>
      </c>
      <c r="L1450">
        <f t="shared" ca="1" si="45"/>
        <v>8</v>
      </c>
      <c r="M1450" t="s">
        <v>1809</v>
      </c>
      <c r="N1450">
        <v>2</v>
      </c>
      <c r="O1450" t="s">
        <v>1813</v>
      </c>
      <c r="P1450" t="s">
        <v>1833</v>
      </c>
    </row>
    <row r="1451" spans="1:16" x14ac:dyDescent="0.3">
      <c r="A1451" t="s">
        <v>1462</v>
      </c>
      <c r="B1451" t="s">
        <v>1775</v>
      </c>
      <c r="C1451">
        <v>46</v>
      </c>
      <c r="D1451" t="s">
        <v>1784</v>
      </c>
      <c r="E1451" t="s">
        <v>1788</v>
      </c>
      <c r="F1451" t="s">
        <v>1794</v>
      </c>
      <c r="G1451" s="5">
        <v>76118</v>
      </c>
      <c r="H1451" t="s">
        <v>1802</v>
      </c>
      <c r="I1451" t="s">
        <v>1806</v>
      </c>
      <c r="J1451" s="2">
        <v>43035</v>
      </c>
      <c r="K1451">
        <f t="shared" ca="1" si="44"/>
        <v>8</v>
      </c>
      <c r="L1451">
        <f t="shared" ca="1" si="45"/>
        <v>1</v>
      </c>
      <c r="M1451" t="s">
        <v>1809</v>
      </c>
      <c r="N1451">
        <v>4</v>
      </c>
      <c r="O1451" t="s">
        <v>1817</v>
      </c>
      <c r="P1451" t="s">
        <v>1834</v>
      </c>
    </row>
    <row r="1452" spans="1:16" x14ac:dyDescent="0.3">
      <c r="A1452" t="s">
        <v>1463</v>
      </c>
      <c r="B1452" t="s">
        <v>1742</v>
      </c>
      <c r="C1452">
        <v>35</v>
      </c>
      <c r="D1452" t="s">
        <v>1784</v>
      </c>
      <c r="E1452" t="s">
        <v>1790</v>
      </c>
      <c r="F1452" t="s">
        <v>1800</v>
      </c>
      <c r="G1452" s="5">
        <v>53900</v>
      </c>
      <c r="H1452" t="s">
        <v>1801</v>
      </c>
      <c r="I1452" t="s">
        <v>1808</v>
      </c>
      <c r="J1452" s="2">
        <v>42450</v>
      </c>
      <c r="K1452">
        <f t="shared" ca="1" si="44"/>
        <v>9</v>
      </c>
      <c r="L1452">
        <f t="shared" ca="1" si="45"/>
        <v>8</v>
      </c>
      <c r="M1452" t="s">
        <v>1810</v>
      </c>
      <c r="N1452">
        <v>4</v>
      </c>
      <c r="O1452" t="s">
        <v>1816</v>
      </c>
      <c r="P1452" t="s">
        <v>1833</v>
      </c>
    </row>
    <row r="1453" spans="1:16" x14ac:dyDescent="0.3">
      <c r="A1453" t="s">
        <v>1464</v>
      </c>
      <c r="B1453" t="s">
        <v>1720</v>
      </c>
      <c r="C1453">
        <v>23</v>
      </c>
      <c r="D1453" t="s">
        <v>1785</v>
      </c>
      <c r="E1453" t="s">
        <v>1790</v>
      </c>
      <c r="F1453" t="s">
        <v>1796</v>
      </c>
      <c r="G1453" s="5">
        <v>86718</v>
      </c>
      <c r="H1453" t="s">
        <v>1802</v>
      </c>
      <c r="I1453" t="s">
        <v>1808</v>
      </c>
      <c r="J1453" s="2">
        <v>42890</v>
      </c>
      <c r="K1453">
        <f t="shared" ca="1" si="44"/>
        <v>8</v>
      </c>
      <c r="L1453">
        <f t="shared" ca="1" si="45"/>
        <v>6</v>
      </c>
      <c r="M1453" t="s">
        <v>1810</v>
      </c>
      <c r="N1453">
        <v>2</v>
      </c>
      <c r="O1453" t="s">
        <v>1814</v>
      </c>
      <c r="P1453" t="s">
        <v>1832</v>
      </c>
    </row>
    <row r="1454" spans="1:16" x14ac:dyDescent="0.3">
      <c r="A1454" t="s">
        <v>1465</v>
      </c>
      <c r="B1454" t="s">
        <v>1734</v>
      </c>
      <c r="C1454">
        <v>47</v>
      </c>
      <c r="D1454" t="s">
        <v>1783</v>
      </c>
      <c r="E1454" t="s">
        <v>1790</v>
      </c>
      <c r="F1454" t="s">
        <v>1795</v>
      </c>
      <c r="G1454" s="5">
        <v>117959</v>
      </c>
      <c r="H1454" t="s">
        <v>1801</v>
      </c>
      <c r="I1454" t="s">
        <v>1806</v>
      </c>
      <c r="J1454" s="2">
        <v>44299</v>
      </c>
      <c r="K1454">
        <f t="shared" ca="1" si="44"/>
        <v>4</v>
      </c>
      <c r="L1454">
        <f t="shared" ca="1" si="45"/>
        <v>7</v>
      </c>
      <c r="M1454" t="s">
        <v>1810</v>
      </c>
      <c r="N1454">
        <v>3</v>
      </c>
      <c r="O1454" t="s">
        <v>1815</v>
      </c>
      <c r="P1454" t="s">
        <v>1834</v>
      </c>
    </row>
    <row r="1455" spans="1:16" x14ac:dyDescent="0.3">
      <c r="A1455" t="s">
        <v>1466</v>
      </c>
      <c r="B1455" t="s">
        <v>1721</v>
      </c>
      <c r="C1455">
        <v>37</v>
      </c>
      <c r="D1455" t="s">
        <v>1784</v>
      </c>
      <c r="E1455" t="s">
        <v>1787</v>
      </c>
      <c r="F1455" t="s">
        <v>1798</v>
      </c>
      <c r="G1455" s="5">
        <v>53342</v>
      </c>
      <c r="H1455" t="s">
        <v>1803</v>
      </c>
      <c r="I1455" t="s">
        <v>1807</v>
      </c>
      <c r="J1455" s="2">
        <v>44232</v>
      </c>
      <c r="K1455">
        <f t="shared" ca="1" si="44"/>
        <v>4</v>
      </c>
      <c r="L1455">
        <f t="shared" ca="1" si="45"/>
        <v>10</v>
      </c>
      <c r="M1455" t="s">
        <v>1809</v>
      </c>
      <c r="N1455">
        <v>1</v>
      </c>
      <c r="O1455" t="s">
        <v>1815</v>
      </c>
      <c r="P1455" t="s">
        <v>1831</v>
      </c>
    </row>
    <row r="1456" spans="1:16" x14ac:dyDescent="0.3">
      <c r="A1456" t="s">
        <v>1467</v>
      </c>
      <c r="B1456" t="s">
        <v>1774</v>
      </c>
      <c r="C1456">
        <v>34</v>
      </c>
      <c r="D1456" t="s">
        <v>1785</v>
      </c>
      <c r="E1456" t="s">
        <v>1791</v>
      </c>
      <c r="F1456" t="s">
        <v>1796</v>
      </c>
      <c r="G1456" s="5">
        <v>32394</v>
      </c>
      <c r="H1456" t="s">
        <v>1804</v>
      </c>
      <c r="I1456" t="s">
        <v>1806</v>
      </c>
      <c r="J1456" s="2">
        <v>43481</v>
      </c>
      <c r="K1456">
        <f t="shared" ca="1" si="44"/>
        <v>6</v>
      </c>
      <c r="L1456">
        <f t="shared" ca="1" si="45"/>
        <v>10</v>
      </c>
      <c r="M1456" t="s">
        <v>1809</v>
      </c>
      <c r="N1456">
        <v>3</v>
      </c>
      <c r="O1456" t="s">
        <v>1814</v>
      </c>
      <c r="P1456" t="s">
        <v>1833</v>
      </c>
    </row>
    <row r="1457" spans="1:16" x14ac:dyDescent="0.3">
      <c r="A1457" t="s">
        <v>1468</v>
      </c>
      <c r="B1457" t="s">
        <v>1716</v>
      </c>
      <c r="C1457">
        <v>24</v>
      </c>
      <c r="D1457" t="s">
        <v>1785</v>
      </c>
      <c r="E1457" t="s">
        <v>1793</v>
      </c>
      <c r="F1457" t="s">
        <v>1796</v>
      </c>
      <c r="G1457" s="5">
        <v>49617</v>
      </c>
      <c r="H1457" t="s">
        <v>1804</v>
      </c>
      <c r="I1457" t="s">
        <v>1807</v>
      </c>
      <c r="J1457" s="2">
        <v>45541</v>
      </c>
      <c r="K1457">
        <f t="shared" ca="1" si="44"/>
        <v>1</v>
      </c>
      <c r="L1457">
        <f t="shared" ca="1" si="45"/>
        <v>3</v>
      </c>
      <c r="M1457" t="s">
        <v>1809</v>
      </c>
      <c r="N1457">
        <v>4</v>
      </c>
      <c r="O1457" t="s">
        <v>1818</v>
      </c>
      <c r="P1457" t="s">
        <v>1832</v>
      </c>
    </row>
    <row r="1458" spans="1:16" x14ac:dyDescent="0.3">
      <c r="A1458" t="s">
        <v>1469</v>
      </c>
      <c r="B1458" t="s">
        <v>1761</v>
      </c>
      <c r="C1458">
        <v>40</v>
      </c>
      <c r="D1458" t="s">
        <v>1785</v>
      </c>
      <c r="E1458" t="s">
        <v>1787</v>
      </c>
      <c r="F1458" t="s">
        <v>1796</v>
      </c>
      <c r="G1458" s="5">
        <v>92442</v>
      </c>
      <c r="H1458" t="s">
        <v>1801</v>
      </c>
      <c r="I1458" t="s">
        <v>1808</v>
      </c>
      <c r="J1458" s="2">
        <v>43230</v>
      </c>
      <c r="K1458">
        <f t="shared" ca="1" si="44"/>
        <v>7</v>
      </c>
      <c r="L1458">
        <f t="shared" ca="1" si="45"/>
        <v>7</v>
      </c>
      <c r="M1458" t="s">
        <v>1809</v>
      </c>
      <c r="N1458">
        <v>1</v>
      </c>
      <c r="O1458" t="s">
        <v>1814</v>
      </c>
      <c r="P1458" t="s">
        <v>1831</v>
      </c>
    </row>
    <row r="1459" spans="1:16" x14ac:dyDescent="0.3">
      <c r="A1459" t="s">
        <v>1470</v>
      </c>
      <c r="B1459" t="s">
        <v>1754</v>
      </c>
      <c r="C1459">
        <v>37</v>
      </c>
      <c r="D1459" t="s">
        <v>1785</v>
      </c>
      <c r="E1459" t="s">
        <v>1786</v>
      </c>
      <c r="F1459" t="s">
        <v>1800</v>
      </c>
      <c r="G1459" s="5">
        <v>100424</v>
      </c>
      <c r="H1459" t="s">
        <v>1805</v>
      </c>
      <c r="I1459" t="s">
        <v>1806</v>
      </c>
      <c r="J1459" s="2">
        <v>44748</v>
      </c>
      <c r="K1459">
        <f t="shared" ca="1" si="44"/>
        <v>3</v>
      </c>
      <c r="L1459">
        <f t="shared" ca="1" si="45"/>
        <v>5</v>
      </c>
      <c r="M1459" t="s">
        <v>1810</v>
      </c>
      <c r="N1459">
        <v>1</v>
      </c>
      <c r="O1459" t="s">
        <v>1811</v>
      </c>
      <c r="P1459" t="s">
        <v>1831</v>
      </c>
    </row>
    <row r="1460" spans="1:16" x14ac:dyDescent="0.3">
      <c r="A1460" t="s">
        <v>1471</v>
      </c>
      <c r="B1460" t="s">
        <v>1773</v>
      </c>
      <c r="C1460">
        <v>32</v>
      </c>
      <c r="D1460" t="s">
        <v>1783</v>
      </c>
      <c r="E1460" t="s">
        <v>1789</v>
      </c>
      <c r="F1460" t="s">
        <v>1799</v>
      </c>
      <c r="G1460" s="5">
        <v>24003</v>
      </c>
      <c r="H1460" t="s">
        <v>1804</v>
      </c>
      <c r="I1460" t="s">
        <v>1808</v>
      </c>
      <c r="J1460" s="2">
        <v>44368</v>
      </c>
      <c r="K1460">
        <f t="shared" ca="1" si="44"/>
        <v>4</v>
      </c>
      <c r="L1460">
        <f t="shared" ca="1" si="45"/>
        <v>5</v>
      </c>
      <c r="M1460" t="s">
        <v>1809</v>
      </c>
      <c r="N1460">
        <v>5</v>
      </c>
      <c r="O1460" t="s">
        <v>1817</v>
      </c>
      <c r="P1460" t="s">
        <v>1833</v>
      </c>
    </row>
    <row r="1461" spans="1:16" x14ac:dyDescent="0.3">
      <c r="A1461" t="s">
        <v>1472</v>
      </c>
      <c r="B1461" t="s">
        <v>1721</v>
      </c>
      <c r="C1461">
        <v>47</v>
      </c>
      <c r="D1461" t="s">
        <v>1785</v>
      </c>
      <c r="E1461" t="s">
        <v>1792</v>
      </c>
      <c r="F1461" t="s">
        <v>1797</v>
      </c>
      <c r="G1461" s="5">
        <v>108404</v>
      </c>
      <c r="H1461" t="s">
        <v>1801</v>
      </c>
      <c r="I1461" t="s">
        <v>1806</v>
      </c>
      <c r="J1461" s="2">
        <v>42999</v>
      </c>
      <c r="K1461">
        <f t="shared" ca="1" si="44"/>
        <v>8</v>
      </c>
      <c r="L1461">
        <f t="shared" ca="1" si="45"/>
        <v>2</v>
      </c>
      <c r="M1461" t="s">
        <v>1809</v>
      </c>
      <c r="N1461">
        <v>4</v>
      </c>
      <c r="O1461" t="s">
        <v>1818</v>
      </c>
      <c r="P1461" t="s">
        <v>1834</v>
      </c>
    </row>
    <row r="1462" spans="1:16" x14ac:dyDescent="0.3">
      <c r="A1462" t="s">
        <v>1473</v>
      </c>
      <c r="B1462" t="s">
        <v>1743</v>
      </c>
      <c r="C1462">
        <v>46</v>
      </c>
      <c r="D1462" t="s">
        <v>1785</v>
      </c>
      <c r="E1462" t="s">
        <v>1793</v>
      </c>
      <c r="F1462" t="s">
        <v>1794</v>
      </c>
      <c r="G1462" s="5">
        <v>31449</v>
      </c>
      <c r="H1462" t="s">
        <v>1805</v>
      </c>
      <c r="I1462" t="s">
        <v>1808</v>
      </c>
      <c r="J1462" s="2">
        <v>45380</v>
      </c>
      <c r="K1462">
        <f t="shared" ca="1" si="44"/>
        <v>1</v>
      </c>
      <c r="L1462">
        <f t="shared" ca="1" si="45"/>
        <v>8</v>
      </c>
      <c r="M1462" t="s">
        <v>1809</v>
      </c>
      <c r="N1462">
        <v>2</v>
      </c>
      <c r="O1462" t="s">
        <v>1815</v>
      </c>
      <c r="P1462" t="s">
        <v>1834</v>
      </c>
    </row>
    <row r="1463" spans="1:16" x14ac:dyDescent="0.3">
      <c r="A1463" t="s">
        <v>1474</v>
      </c>
      <c r="B1463" t="s">
        <v>1762</v>
      </c>
      <c r="C1463">
        <v>26</v>
      </c>
      <c r="D1463" t="s">
        <v>1783</v>
      </c>
      <c r="E1463" t="s">
        <v>1788</v>
      </c>
      <c r="F1463" t="s">
        <v>1795</v>
      </c>
      <c r="G1463" s="5">
        <v>19533</v>
      </c>
      <c r="H1463" t="s">
        <v>1803</v>
      </c>
      <c r="I1463" t="s">
        <v>1807</v>
      </c>
      <c r="J1463" s="2">
        <v>43586</v>
      </c>
      <c r="K1463">
        <f t="shared" ca="1" si="44"/>
        <v>6</v>
      </c>
      <c r="L1463">
        <f t="shared" ca="1" si="45"/>
        <v>7</v>
      </c>
      <c r="M1463" t="s">
        <v>1810</v>
      </c>
      <c r="N1463">
        <v>2</v>
      </c>
      <c r="O1463" t="s">
        <v>1813</v>
      </c>
      <c r="P1463" t="s">
        <v>1833</v>
      </c>
    </row>
    <row r="1464" spans="1:16" x14ac:dyDescent="0.3">
      <c r="A1464" t="s">
        <v>1475</v>
      </c>
      <c r="B1464" t="s">
        <v>1722</v>
      </c>
      <c r="C1464">
        <v>27</v>
      </c>
      <c r="D1464" t="s">
        <v>1783</v>
      </c>
      <c r="E1464" t="s">
        <v>1788</v>
      </c>
      <c r="F1464" t="s">
        <v>1795</v>
      </c>
      <c r="G1464" s="5">
        <v>96423</v>
      </c>
      <c r="H1464" t="s">
        <v>1802</v>
      </c>
      <c r="I1464" t="s">
        <v>1807</v>
      </c>
      <c r="J1464" s="2">
        <v>44387</v>
      </c>
      <c r="K1464">
        <f t="shared" ca="1" si="44"/>
        <v>4</v>
      </c>
      <c r="L1464">
        <f t="shared" ca="1" si="45"/>
        <v>5</v>
      </c>
      <c r="M1464" t="s">
        <v>1810</v>
      </c>
      <c r="N1464">
        <v>5</v>
      </c>
      <c r="O1464" t="s">
        <v>1816</v>
      </c>
      <c r="P1464" t="s">
        <v>1833</v>
      </c>
    </row>
    <row r="1465" spans="1:16" x14ac:dyDescent="0.3">
      <c r="A1465" t="s">
        <v>1476</v>
      </c>
      <c r="B1465" t="s">
        <v>1720</v>
      </c>
      <c r="C1465">
        <v>51</v>
      </c>
      <c r="D1465" t="s">
        <v>1783</v>
      </c>
      <c r="E1465" t="s">
        <v>1787</v>
      </c>
      <c r="F1465" t="s">
        <v>1797</v>
      </c>
      <c r="G1465" s="5">
        <v>61351</v>
      </c>
      <c r="H1465" t="s">
        <v>1801</v>
      </c>
      <c r="I1465" t="s">
        <v>1806</v>
      </c>
      <c r="J1465" s="2">
        <v>44825</v>
      </c>
      <c r="K1465">
        <f t="shared" ca="1" si="44"/>
        <v>3</v>
      </c>
      <c r="L1465">
        <f t="shared" ca="1" si="45"/>
        <v>2</v>
      </c>
      <c r="M1465" t="s">
        <v>1809</v>
      </c>
      <c r="N1465">
        <v>5</v>
      </c>
      <c r="O1465" t="s">
        <v>1814</v>
      </c>
      <c r="P1465" t="s">
        <v>1834</v>
      </c>
    </row>
    <row r="1466" spans="1:16" x14ac:dyDescent="0.3">
      <c r="A1466" t="s">
        <v>1477</v>
      </c>
      <c r="B1466" t="s">
        <v>1768</v>
      </c>
      <c r="C1466">
        <v>42</v>
      </c>
      <c r="D1466" t="s">
        <v>1784</v>
      </c>
      <c r="E1466" t="s">
        <v>1790</v>
      </c>
      <c r="F1466" t="s">
        <v>1794</v>
      </c>
      <c r="G1466" s="5">
        <v>90913</v>
      </c>
      <c r="H1466" t="s">
        <v>1802</v>
      </c>
      <c r="I1466" t="s">
        <v>1807</v>
      </c>
      <c r="J1466" s="2">
        <v>45464</v>
      </c>
      <c r="K1466">
        <f t="shared" ca="1" si="44"/>
        <v>1</v>
      </c>
      <c r="L1466">
        <f t="shared" ca="1" si="45"/>
        <v>5</v>
      </c>
      <c r="M1466" t="s">
        <v>1809</v>
      </c>
      <c r="N1466">
        <v>5</v>
      </c>
      <c r="O1466" t="s">
        <v>1818</v>
      </c>
      <c r="P1466" t="s">
        <v>1831</v>
      </c>
    </row>
    <row r="1467" spans="1:16" x14ac:dyDescent="0.3">
      <c r="A1467" t="s">
        <v>1478</v>
      </c>
      <c r="B1467" t="s">
        <v>1734</v>
      </c>
      <c r="C1467">
        <v>31</v>
      </c>
      <c r="D1467" t="s">
        <v>1783</v>
      </c>
      <c r="E1467" t="s">
        <v>1786</v>
      </c>
      <c r="F1467" t="s">
        <v>1797</v>
      </c>
      <c r="G1467" s="5">
        <v>114662</v>
      </c>
      <c r="H1467" t="s">
        <v>1802</v>
      </c>
      <c r="I1467" t="s">
        <v>1807</v>
      </c>
      <c r="J1467" s="2">
        <v>45826</v>
      </c>
      <c r="K1467">
        <f t="shared" ca="1" si="44"/>
        <v>0</v>
      </c>
      <c r="L1467">
        <f t="shared" ca="1" si="45"/>
        <v>5</v>
      </c>
      <c r="M1467" t="s">
        <v>1809</v>
      </c>
      <c r="N1467">
        <v>2</v>
      </c>
      <c r="O1467" t="s">
        <v>1816</v>
      </c>
      <c r="P1467" t="s">
        <v>1833</v>
      </c>
    </row>
    <row r="1468" spans="1:16" x14ac:dyDescent="0.3">
      <c r="A1468" t="s">
        <v>1479</v>
      </c>
      <c r="B1468" t="s">
        <v>1728</v>
      </c>
      <c r="C1468">
        <v>23</v>
      </c>
      <c r="D1468" t="s">
        <v>1785</v>
      </c>
      <c r="E1468" t="s">
        <v>1790</v>
      </c>
      <c r="F1468" t="s">
        <v>1795</v>
      </c>
      <c r="G1468" s="5">
        <v>47573</v>
      </c>
      <c r="H1468" t="s">
        <v>1802</v>
      </c>
      <c r="I1468" t="s">
        <v>1807</v>
      </c>
      <c r="J1468" s="2">
        <v>42920</v>
      </c>
      <c r="K1468">
        <f t="shared" ca="1" si="44"/>
        <v>8</v>
      </c>
      <c r="L1468">
        <f t="shared" ca="1" si="45"/>
        <v>5</v>
      </c>
      <c r="M1468" t="s">
        <v>1809</v>
      </c>
      <c r="N1468">
        <v>3</v>
      </c>
      <c r="O1468" t="s">
        <v>1814</v>
      </c>
      <c r="P1468" t="s">
        <v>1832</v>
      </c>
    </row>
    <row r="1469" spans="1:16" x14ac:dyDescent="0.3">
      <c r="A1469" t="s">
        <v>1480</v>
      </c>
      <c r="B1469" t="s">
        <v>1782</v>
      </c>
      <c r="C1469">
        <v>24</v>
      </c>
      <c r="D1469" t="s">
        <v>1783</v>
      </c>
      <c r="E1469" t="s">
        <v>1790</v>
      </c>
      <c r="F1469" t="s">
        <v>1797</v>
      </c>
      <c r="G1469" s="5">
        <v>67556</v>
      </c>
      <c r="H1469" t="s">
        <v>1802</v>
      </c>
      <c r="I1469" t="s">
        <v>1808</v>
      </c>
      <c r="J1469" s="2">
        <v>42581</v>
      </c>
      <c r="K1469">
        <f t="shared" ca="1" si="44"/>
        <v>9</v>
      </c>
      <c r="L1469">
        <f t="shared" ca="1" si="45"/>
        <v>4</v>
      </c>
      <c r="M1469" t="s">
        <v>1809</v>
      </c>
      <c r="N1469">
        <v>4</v>
      </c>
      <c r="O1469" t="s">
        <v>1813</v>
      </c>
      <c r="P1469" t="s">
        <v>1832</v>
      </c>
    </row>
    <row r="1470" spans="1:16" x14ac:dyDescent="0.3">
      <c r="A1470" t="s">
        <v>1481</v>
      </c>
      <c r="B1470" t="s">
        <v>1765</v>
      </c>
      <c r="C1470">
        <v>30</v>
      </c>
      <c r="D1470" t="s">
        <v>1783</v>
      </c>
      <c r="E1470" t="s">
        <v>1793</v>
      </c>
      <c r="F1470" t="s">
        <v>1800</v>
      </c>
      <c r="G1470" s="5">
        <v>38150</v>
      </c>
      <c r="H1470" t="s">
        <v>1801</v>
      </c>
      <c r="I1470" t="s">
        <v>1808</v>
      </c>
      <c r="J1470" s="2">
        <v>43377</v>
      </c>
      <c r="K1470">
        <f t="shared" ca="1" si="44"/>
        <v>7</v>
      </c>
      <c r="L1470">
        <f t="shared" ca="1" si="45"/>
        <v>2</v>
      </c>
      <c r="M1470" t="s">
        <v>1809</v>
      </c>
      <c r="N1470">
        <v>3</v>
      </c>
      <c r="O1470" t="s">
        <v>1817</v>
      </c>
      <c r="P1470" t="s">
        <v>1833</v>
      </c>
    </row>
    <row r="1471" spans="1:16" x14ac:dyDescent="0.3">
      <c r="A1471" t="s">
        <v>1482</v>
      </c>
      <c r="B1471" t="s">
        <v>1721</v>
      </c>
      <c r="C1471">
        <v>58</v>
      </c>
      <c r="D1471" t="s">
        <v>1785</v>
      </c>
      <c r="E1471" t="s">
        <v>1786</v>
      </c>
      <c r="F1471" t="s">
        <v>1800</v>
      </c>
      <c r="G1471" s="5">
        <v>76859</v>
      </c>
      <c r="H1471" t="s">
        <v>1802</v>
      </c>
      <c r="I1471" t="s">
        <v>1806</v>
      </c>
      <c r="J1471" s="2">
        <v>45865</v>
      </c>
      <c r="K1471">
        <f t="shared" ca="1" si="44"/>
        <v>0</v>
      </c>
      <c r="L1471">
        <f t="shared" ca="1" si="45"/>
        <v>4</v>
      </c>
      <c r="M1471" t="s">
        <v>1810</v>
      </c>
      <c r="N1471">
        <v>3</v>
      </c>
      <c r="O1471" t="s">
        <v>1817</v>
      </c>
      <c r="P1471" t="s">
        <v>1834</v>
      </c>
    </row>
    <row r="1472" spans="1:16" x14ac:dyDescent="0.3">
      <c r="A1472" t="s">
        <v>1483</v>
      </c>
      <c r="B1472" t="s">
        <v>1763</v>
      </c>
      <c r="C1472">
        <v>33</v>
      </c>
      <c r="D1472" t="s">
        <v>1785</v>
      </c>
      <c r="E1472" t="s">
        <v>1792</v>
      </c>
      <c r="F1472" t="s">
        <v>1800</v>
      </c>
      <c r="G1472" s="5">
        <v>43725</v>
      </c>
      <c r="H1472" t="s">
        <v>1804</v>
      </c>
      <c r="I1472" t="s">
        <v>1808</v>
      </c>
      <c r="J1472" s="2">
        <v>45602</v>
      </c>
      <c r="K1472">
        <f t="shared" ca="1" si="44"/>
        <v>1</v>
      </c>
      <c r="L1472">
        <f t="shared" ca="1" si="45"/>
        <v>1</v>
      </c>
      <c r="M1472" t="s">
        <v>1810</v>
      </c>
      <c r="N1472">
        <v>1</v>
      </c>
      <c r="O1472" t="s">
        <v>1813</v>
      </c>
      <c r="P1472" t="s">
        <v>1833</v>
      </c>
    </row>
    <row r="1473" spans="1:16" x14ac:dyDescent="0.3">
      <c r="A1473" t="s">
        <v>1484</v>
      </c>
      <c r="B1473" t="s">
        <v>1761</v>
      </c>
      <c r="C1473">
        <v>34</v>
      </c>
      <c r="D1473" t="s">
        <v>1785</v>
      </c>
      <c r="E1473" t="s">
        <v>1793</v>
      </c>
      <c r="F1473" t="s">
        <v>1800</v>
      </c>
      <c r="G1473" s="5">
        <v>91408</v>
      </c>
      <c r="H1473" t="s">
        <v>1803</v>
      </c>
      <c r="I1473" t="s">
        <v>1806</v>
      </c>
      <c r="J1473" s="2">
        <v>44816</v>
      </c>
      <c r="K1473">
        <f t="shared" ca="1" si="44"/>
        <v>3</v>
      </c>
      <c r="L1473">
        <f t="shared" ca="1" si="45"/>
        <v>2</v>
      </c>
      <c r="M1473" t="s">
        <v>1809</v>
      </c>
      <c r="N1473">
        <v>1</v>
      </c>
      <c r="O1473" t="s">
        <v>1816</v>
      </c>
      <c r="P1473" t="s">
        <v>1833</v>
      </c>
    </row>
    <row r="1474" spans="1:16" x14ac:dyDescent="0.3">
      <c r="A1474" t="s">
        <v>1485</v>
      </c>
      <c r="B1474" t="s">
        <v>1756</v>
      </c>
      <c r="C1474">
        <v>28</v>
      </c>
      <c r="D1474" t="s">
        <v>1783</v>
      </c>
      <c r="E1474" t="s">
        <v>1792</v>
      </c>
      <c r="F1474" t="s">
        <v>1799</v>
      </c>
      <c r="G1474" s="5">
        <v>84639</v>
      </c>
      <c r="H1474" t="s">
        <v>1805</v>
      </c>
      <c r="I1474" t="s">
        <v>1806</v>
      </c>
      <c r="J1474" s="2">
        <v>42741</v>
      </c>
      <c r="K1474">
        <f t="shared" ca="1" si="44"/>
        <v>8</v>
      </c>
      <c r="L1474">
        <f t="shared" ca="1" si="45"/>
        <v>11</v>
      </c>
      <c r="M1474" t="s">
        <v>1809</v>
      </c>
      <c r="N1474">
        <v>5</v>
      </c>
      <c r="O1474" t="s">
        <v>1813</v>
      </c>
      <c r="P1474" t="s">
        <v>1833</v>
      </c>
    </row>
    <row r="1475" spans="1:16" x14ac:dyDescent="0.3">
      <c r="A1475" t="s">
        <v>1486</v>
      </c>
      <c r="B1475" t="s">
        <v>1753</v>
      </c>
      <c r="C1475">
        <v>54</v>
      </c>
      <c r="D1475" t="s">
        <v>1783</v>
      </c>
      <c r="E1475" t="s">
        <v>1788</v>
      </c>
      <c r="F1475" t="s">
        <v>1796</v>
      </c>
      <c r="G1475" s="5">
        <v>52228</v>
      </c>
      <c r="H1475" t="s">
        <v>1805</v>
      </c>
      <c r="I1475" t="s">
        <v>1807</v>
      </c>
      <c r="J1475" s="2">
        <v>45829</v>
      </c>
      <c r="K1475">
        <f t="shared" ref="K1475:K1538" ca="1" si="46">YEAR(TODAY()) - YEAR(J1475)</f>
        <v>0</v>
      </c>
      <c r="L1475">
        <f t="shared" ref="L1475:L1538" ca="1" si="47">DATEDIF(J1475,TODAY(),"YM")</f>
        <v>5</v>
      </c>
      <c r="M1475" t="s">
        <v>1809</v>
      </c>
      <c r="N1475">
        <v>1</v>
      </c>
      <c r="O1475" t="s">
        <v>1811</v>
      </c>
      <c r="P1475" t="s">
        <v>1834</v>
      </c>
    </row>
    <row r="1476" spans="1:16" x14ac:dyDescent="0.3">
      <c r="A1476" t="s">
        <v>1487</v>
      </c>
      <c r="B1476" t="s">
        <v>1755</v>
      </c>
      <c r="C1476">
        <v>33</v>
      </c>
      <c r="D1476" t="s">
        <v>1783</v>
      </c>
      <c r="E1476" t="s">
        <v>1786</v>
      </c>
      <c r="F1476" t="s">
        <v>1794</v>
      </c>
      <c r="G1476" s="5">
        <v>109589</v>
      </c>
      <c r="H1476" t="s">
        <v>1801</v>
      </c>
      <c r="I1476" t="s">
        <v>1806</v>
      </c>
      <c r="J1476" s="2">
        <v>43043</v>
      </c>
      <c r="K1476">
        <f t="shared" ca="1" si="46"/>
        <v>8</v>
      </c>
      <c r="L1476">
        <f t="shared" ca="1" si="47"/>
        <v>1</v>
      </c>
      <c r="M1476" t="s">
        <v>1810</v>
      </c>
      <c r="N1476">
        <v>1</v>
      </c>
      <c r="O1476" t="s">
        <v>1811</v>
      </c>
      <c r="P1476" t="s">
        <v>1833</v>
      </c>
    </row>
    <row r="1477" spans="1:16" x14ac:dyDescent="0.3">
      <c r="A1477" t="s">
        <v>1488</v>
      </c>
      <c r="B1477" t="s">
        <v>1764</v>
      </c>
      <c r="C1477">
        <v>40</v>
      </c>
      <c r="D1477" t="s">
        <v>1784</v>
      </c>
      <c r="E1477" t="s">
        <v>1791</v>
      </c>
      <c r="F1477" t="s">
        <v>1796</v>
      </c>
      <c r="G1477" s="5">
        <v>107304</v>
      </c>
      <c r="H1477" t="s">
        <v>1804</v>
      </c>
      <c r="I1477" t="s">
        <v>1807</v>
      </c>
      <c r="J1477" s="2">
        <v>42573</v>
      </c>
      <c r="K1477">
        <f t="shared" ca="1" si="46"/>
        <v>9</v>
      </c>
      <c r="L1477">
        <f t="shared" ca="1" si="47"/>
        <v>4</v>
      </c>
      <c r="M1477" t="s">
        <v>1809</v>
      </c>
      <c r="N1477">
        <v>1</v>
      </c>
      <c r="O1477" t="s">
        <v>1818</v>
      </c>
      <c r="P1477" t="s">
        <v>1831</v>
      </c>
    </row>
    <row r="1478" spans="1:16" x14ac:dyDescent="0.3">
      <c r="A1478" t="s">
        <v>1489</v>
      </c>
      <c r="B1478" t="s">
        <v>1714</v>
      </c>
      <c r="C1478">
        <v>40</v>
      </c>
      <c r="D1478" t="s">
        <v>1783</v>
      </c>
      <c r="E1478" t="s">
        <v>1793</v>
      </c>
      <c r="F1478" t="s">
        <v>1794</v>
      </c>
      <c r="G1478" s="5">
        <v>28830</v>
      </c>
      <c r="H1478" t="s">
        <v>1802</v>
      </c>
      <c r="I1478" t="s">
        <v>1808</v>
      </c>
      <c r="J1478" s="2">
        <v>45736</v>
      </c>
      <c r="K1478">
        <f t="shared" ca="1" si="46"/>
        <v>0</v>
      </c>
      <c r="L1478">
        <f t="shared" ca="1" si="47"/>
        <v>8</v>
      </c>
      <c r="M1478" t="s">
        <v>1809</v>
      </c>
      <c r="N1478">
        <v>4</v>
      </c>
      <c r="O1478" t="s">
        <v>1817</v>
      </c>
      <c r="P1478" t="s">
        <v>1831</v>
      </c>
    </row>
    <row r="1479" spans="1:16" x14ac:dyDescent="0.3">
      <c r="A1479" t="s">
        <v>1490</v>
      </c>
      <c r="B1479" t="s">
        <v>1720</v>
      </c>
      <c r="C1479">
        <v>58</v>
      </c>
      <c r="D1479" t="s">
        <v>1783</v>
      </c>
      <c r="E1479" t="s">
        <v>1791</v>
      </c>
      <c r="F1479" t="s">
        <v>1796</v>
      </c>
      <c r="G1479" s="5">
        <v>64312</v>
      </c>
      <c r="H1479" t="s">
        <v>1803</v>
      </c>
      <c r="I1479" t="s">
        <v>1806</v>
      </c>
      <c r="J1479" s="2">
        <v>42909</v>
      </c>
      <c r="K1479">
        <f t="shared" ca="1" si="46"/>
        <v>8</v>
      </c>
      <c r="L1479">
        <f t="shared" ca="1" si="47"/>
        <v>5</v>
      </c>
      <c r="M1479" t="s">
        <v>1810</v>
      </c>
      <c r="N1479">
        <v>3</v>
      </c>
      <c r="O1479" t="s">
        <v>1814</v>
      </c>
      <c r="P1479" t="s">
        <v>1834</v>
      </c>
    </row>
    <row r="1480" spans="1:16" x14ac:dyDescent="0.3">
      <c r="A1480" t="s">
        <v>1491</v>
      </c>
      <c r="B1480" t="s">
        <v>1761</v>
      </c>
      <c r="C1480">
        <v>54</v>
      </c>
      <c r="D1480" t="s">
        <v>1783</v>
      </c>
      <c r="E1480" t="s">
        <v>1790</v>
      </c>
      <c r="F1480" t="s">
        <v>1800</v>
      </c>
      <c r="G1480" s="5">
        <v>55641</v>
      </c>
      <c r="H1480" t="s">
        <v>1805</v>
      </c>
      <c r="I1480" t="s">
        <v>1807</v>
      </c>
      <c r="J1480" s="2">
        <v>43054</v>
      </c>
      <c r="K1480">
        <f t="shared" ca="1" si="46"/>
        <v>8</v>
      </c>
      <c r="L1480">
        <f t="shared" ca="1" si="47"/>
        <v>0</v>
      </c>
      <c r="M1480" t="s">
        <v>1809</v>
      </c>
      <c r="N1480">
        <v>3</v>
      </c>
      <c r="O1480" t="s">
        <v>1818</v>
      </c>
      <c r="P1480" t="s">
        <v>1834</v>
      </c>
    </row>
    <row r="1481" spans="1:16" x14ac:dyDescent="0.3">
      <c r="A1481" t="s">
        <v>1492</v>
      </c>
      <c r="B1481" t="s">
        <v>1731</v>
      </c>
      <c r="C1481">
        <v>50</v>
      </c>
      <c r="D1481" t="s">
        <v>1783</v>
      </c>
      <c r="E1481" t="s">
        <v>1787</v>
      </c>
      <c r="F1481" t="s">
        <v>1797</v>
      </c>
      <c r="G1481" s="5">
        <v>79251</v>
      </c>
      <c r="H1481" t="s">
        <v>1801</v>
      </c>
      <c r="I1481" t="s">
        <v>1806</v>
      </c>
      <c r="J1481" s="2">
        <v>42638</v>
      </c>
      <c r="K1481">
        <f t="shared" ca="1" si="46"/>
        <v>9</v>
      </c>
      <c r="L1481">
        <f t="shared" ca="1" si="47"/>
        <v>2</v>
      </c>
      <c r="M1481" t="s">
        <v>1809</v>
      </c>
      <c r="N1481">
        <v>3</v>
      </c>
      <c r="O1481" t="s">
        <v>1815</v>
      </c>
      <c r="P1481" t="s">
        <v>1834</v>
      </c>
    </row>
    <row r="1482" spans="1:16" x14ac:dyDescent="0.3">
      <c r="A1482" t="s">
        <v>1493</v>
      </c>
      <c r="B1482" t="s">
        <v>1754</v>
      </c>
      <c r="C1482">
        <v>41</v>
      </c>
      <c r="D1482" t="s">
        <v>1783</v>
      </c>
      <c r="E1482" t="s">
        <v>1789</v>
      </c>
      <c r="F1482" t="s">
        <v>1795</v>
      </c>
      <c r="G1482" s="5">
        <v>112882</v>
      </c>
      <c r="H1482" t="s">
        <v>1804</v>
      </c>
      <c r="I1482" t="s">
        <v>1806</v>
      </c>
      <c r="J1482" s="2">
        <v>43052</v>
      </c>
      <c r="K1482">
        <f t="shared" ca="1" si="46"/>
        <v>8</v>
      </c>
      <c r="L1482">
        <f t="shared" ca="1" si="47"/>
        <v>0</v>
      </c>
      <c r="M1482" t="s">
        <v>1810</v>
      </c>
      <c r="N1482">
        <v>4</v>
      </c>
      <c r="O1482" t="s">
        <v>1813</v>
      </c>
      <c r="P1482" t="s">
        <v>1831</v>
      </c>
    </row>
    <row r="1483" spans="1:16" x14ac:dyDescent="0.3">
      <c r="A1483" t="s">
        <v>1494</v>
      </c>
      <c r="B1483" t="s">
        <v>1743</v>
      </c>
      <c r="C1483">
        <v>29</v>
      </c>
      <c r="D1483" t="s">
        <v>1784</v>
      </c>
      <c r="E1483" t="s">
        <v>1786</v>
      </c>
      <c r="F1483" t="s">
        <v>1796</v>
      </c>
      <c r="G1483" s="5">
        <v>60158</v>
      </c>
      <c r="H1483" t="s">
        <v>1801</v>
      </c>
      <c r="I1483" t="s">
        <v>1808</v>
      </c>
      <c r="J1483" s="2">
        <v>43708</v>
      </c>
      <c r="K1483">
        <f t="shared" ca="1" si="46"/>
        <v>6</v>
      </c>
      <c r="L1483">
        <f t="shared" ca="1" si="47"/>
        <v>3</v>
      </c>
      <c r="M1483" t="s">
        <v>1809</v>
      </c>
      <c r="N1483">
        <v>5</v>
      </c>
      <c r="O1483" t="s">
        <v>1811</v>
      </c>
      <c r="P1483" t="s">
        <v>1833</v>
      </c>
    </row>
    <row r="1484" spans="1:16" x14ac:dyDescent="0.3">
      <c r="A1484" t="s">
        <v>1495</v>
      </c>
      <c r="B1484" t="s">
        <v>1735</v>
      </c>
      <c r="C1484">
        <v>22</v>
      </c>
      <c r="D1484" t="s">
        <v>1785</v>
      </c>
      <c r="E1484" t="s">
        <v>1790</v>
      </c>
      <c r="F1484" t="s">
        <v>1800</v>
      </c>
      <c r="G1484" s="5">
        <v>24951</v>
      </c>
      <c r="H1484" t="s">
        <v>1802</v>
      </c>
      <c r="I1484" t="s">
        <v>1807</v>
      </c>
      <c r="J1484" s="2">
        <v>44118</v>
      </c>
      <c r="K1484">
        <f t="shared" ca="1" si="46"/>
        <v>5</v>
      </c>
      <c r="L1484">
        <f t="shared" ca="1" si="47"/>
        <v>1</v>
      </c>
      <c r="M1484" t="s">
        <v>1810</v>
      </c>
      <c r="N1484">
        <v>5</v>
      </c>
      <c r="O1484" t="s">
        <v>1817</v>
      </c>
      <c r="P1484" t="s">
        <v>1832</v>
      </c>
    </row>
    <row r="1485" spans="1:16" x14ac:dyDescent="0.3">
      <c r="A1485" t="s">
        <v>1496</v>
      </c>
      <c r="B1485" t="s">
        <v>1720</v>
      </c>
      <c r="C1485">
        <v>53</v>
      </c>
      <c r="D1485" t="s">
        <v>1783</v>
      </c>
      <c r="E1485" t="s">
        <v>1791</v>
      </c>
      <c r="F1485" t="s">
        <v>1797</v>
      </c>
      <c r="G1485" s="5">
        <v>26456</v>
      </c>
      <c r="H1485" t="s">
        <v>1804</v>
      </c>
      <c r="I1485" t="s">
        <v>1807</v>
      </c>
      <c r="J1485" s="2">
        <v>42939</v>
      </c>
      <c r="K1485">
        <f t="shared" ca="1" si="46"/>
        <v>8</v>
      </c>
      <c r="L1485">
        <f t="shared" ca="1" si="47"/>
        <v>4</v>
      </c>
      <c r="M1485" t="s">
        <v>1810</v>
      </c>
      <c r="N1485">
        <v>3</v>
      </c>
      <c r="O1485" t="s">
        <v>1813</v>
      </c>
      <c r="P1485" t="s">
        <v>1834</v>
      </c>
    </row>
    <row r="1486" spans="1:16" x14ac:dyDescent="0.3">
      <c r="A1486" t="s">
        <v>1497</v>
      </c>
      <c r="B1486" t="s">
        <v>1771</v>
      </c>
      <c r="C1486">
        <v>20</v>
      </c>
      <c r="D1486" t="s">
        <v>1784</v>
      </c>
      <c r="E1486" t="s">
        <v>1788</v>
      </c>
      <c r="F1486" t="s">
        <v>1798</v>
      </c>
      <c r="G1486" s="5">
        <v>102381</v>
      </c>
      <c r="H1486" t="s">
        <v>1805</v>
      </c>
      <c r="I1486" t="s">
        <v>1808</v>
      </c>
      <c r="J1486" s="2">
        <v>44479</v>
      </c>
      <c r="K1486">
        <f t="shared" ca="1" si="46"/>
        <v>4</v>
      </c>
      <c r="L1486">
        <f t="shared" ca="1" si="47"/>
        <v>2</v>
      </c>
      <c r="M1486" t="s">
        <v>1809</v>
      </c>
      <c r="N1486">
        <v>5</v>
      </c>
      <c r="O1486" t="s">
        <v>1815</v>
      </c>
      <c r="P1486" t="s">
        <v>1832</v>
      </c>
    </row>
    <row r="1487" spans="1:16" x14ac:dyDescent="0.3">
      <c r="A1487" t="s">
        <v>1498</v>
      </c>
      <c r="B1487" t="s">
        <v>1746</v>
      </c>
      <c r="C1487">
        <v>32</v>
      </c>
      <c r="D1487" t="s">
        <v>1785</v>
      </c>
      <c r="E1487" t="s">
        <v>1793</v>
      </c>
      <c r="F1487" t="s">
        <v>1796</v>
      </c>
      <c r="G1487" s="5">
        <v>70390</v>
      </c>
      <c r="H1487" t="s">
        <v>1802</v>
      </c>
      <c r="I1487" t="s">
        <v>1807</v>
      </c>
      <c r="J1487" s="2">
        <v>45194</v>
      </c>
      <c r="K1487">
        <f t="shared" ca="1" si="46"/>
        <v>2</v>
      </c>
      <c r="L1487">
        <f t="shared" ca="1" si="47"/>
        <v>2</v>
      </c>
      <c r="M1487" t="s">
        <v>1809</v>
      </c>
      <c r="N1487">
        <v>2</v>
      </c>
      <c r="O1487" t="s">
        <v>1811</v>
      </c>
      <c r="P1487" t="s">
        <v>1833</v>
      </c>
    </row>
    <row r="1488" spans="1:16" x14ac:dyDescent="0.3">
      <c r="A1488" t="s">
        <v>1499</v>
      </c>
      <c r="B1488" t="s">
        <v>1760</v>
      </c>
      <c r="C1488">
        <v>38</v>
      </c>
      <c r="D1488" t="s">
        <v>1785</v>
      </c>
      <c r="E1488" t="s">
        <v>1791</v>
      </c>
      <c r="F1488" t="s">
        <v>1795</v>
      </c>
      <c r="G1488" s="5">
        <v>86383</v>
      </c>
      <c r="H1488" t="s">
        <v>1804</v>
      </c>
      <c r="I1488" t="s">
        <v>1808</v>
      </c>
      <c r="J1488" s="2">
        <v>43656</v>
      </c>
      <c r="K1488">
        <f t="shared" ca="1" si="46"/>
        <v>6</v>
      </c>
      <c r="L1488">
        <f t="shared" ca="1" si="47"/>
        <v>5</v>
      </c>
      <c r="M1488" t="s">
        <v>1809</v>
      </c>
      <c r="N1488">
        <v>1</v>
      </c>
      <c r="O1488" t="s">
        <v>1815</v>
      </c>
      <c r="P1488" t="s">
        <v>1831</v>
      </c>
    </row>
    <row r="1489" spans="1:16" x14ac:dyDescent="0.3">
      <c r="A1489" t="s">
        <v>1500</v>
      </c>
      <c r="B1489" t="s">
        <v>1750</v>
      </c>
      <c r="C1489">
        <v>28</v>
      </c>
      <c r="D1489" t="s">
        <v>1784</v>
      </c>
      <c r="E1489" t="s">
        <v>1787</v>
      </c>
      <c r="F1489" t="s">
        <v>1797</v>
      </c>
      <c r="G1489" s="5">
        <v>46032</v>
      </c>
      <c r="H1489" t="s">
        <v>1804</v>
      </c>
      <c r="I1489" t="s">
        <v>1808</v>
      </c>
      <c r="J1489" s="2">
        <v>42774</v>
      </c>
      <c r="K1489">
        <f t="shared" ca="1" si="46"/>
        <v>8</v>
      </c>
      <c r="L1489">
        <f t="shared" ca="1" si="47"/>
        <v>10</v>
      </c>
      <c r="M1489" t="s">
        <v>1810</v>
      </c>
      <c r="N1489">
        <v>1</v>
      </c>
      <c r="O1489" t="s">
        <v>1811</v>
      </c>
      <c r="P1489" t="s">
        <v>1833</v>
      </c>
    </row>
    <row r="1490" spans="1:16" x14ac:dyDescent="0.3">
      <c r="A1490" t="s">
        <v>1501</v>
      </c>
      <c r="B1490" t="s">
        <v>1780</v>
      </c>
      <c r="C1490">
        <v>44</v>
      </c>
      <c r="D1490" t="s">
        <v>1783</v>
      </c>
      <c r="E1490" t="s">
        <v>1789</v>
      </c>
      <c r="F1490" t="s">
        <v>1796</v>
      </c>
      <c r="G1490" s="5">
        <v>116342</v>
      </c>
      <c r="H1490" t="s">
        <v>1804</v>
      </c>
      <c r="I1490" t="s">
        <v>1807</v>
      </c>
      <c r="J1490" s="2">
        <v>43202</v>
      </c>
      <c r="K1490">
        <f t="shared" ca="1" si="46"/>
        <v>7</v>
      </c>
      <c r="L1490">
        <f t="shared" ca="1" si="47"/>
        <v>7</v>
      </c>
      <c r="M1490" t="s">
        <v>1810</v>
      </c>
      <c r="N1490">
        <v>2</v>
      </c>
      <c r="O1490" t="s">
        <v>1817</v>
      </c>
      <c r="P1490" t="s">
        <v>1831</v>
      </c>
    </row>
    <row r="1491" spans="1:16" x14ac:dyDescent="0.3">
      <c r="A1491" t="s">
        <v>1502</v>
      </c>
      <c r="B1491" t="s">
        <v>1753</v>
      </c>
      <c r="C1491">
        <v>31</v>
      </c>
      <c r="D1491" t="s">
        <v>1784</v>
      </c>
      <c r="E1491" t="s">
        <v>1786</v>
      </c>
      <c r="F1491" t="s">
        <v>1797</v>
      </c>
      <c r="G1491" s="5">
        <v>113583</v>
      </c>
      <c r="H1491" t="s">
        <v>1801</v>
      </c>
      <c r="I1491" t="s">
        <v>1808</v>
      </c>
      <c r="J1491" s="2">
        <v>43983</v>
      </c>
      <c r="K1491">
        <f t="shared" ca="1" si="46"/>
        <v>5</v>
      </c>
      <c r="L1491">
        <f t="shared" ca="1" si="47"/>
        <v>6</v>
      </c>
      <c r="M1491" t="s">
        <v>1810</v>
      </c>
      <c r="N1491">
        <v>4</v>
      </c>
      <c r="O1491" t="s">
        <v>1814</v>
      </c>
      <c r="P1491" t="s">
        <v>1833</v>
      </c>
    </row>
    <row r="1492" spans="1:16" x14ac:dyDescent="0.3">
      <c r="A1492" t="s">
        <v>1503</v>
      </c>
      <c r="B1492" t="s">
        <v>1763</v>
      </c>
      <c r="C1492">
        <v>56</v>
      </c>
      <c r="D1492" t="s">
        <v>1785</v>
      </c>
      <c r="E1492" t="s">
        <v>1792</v>
      </c>
      <c r="F1492" t="s">
        <v>1798</v>
      </c>
      <c r="G1492" s="5">
        <v>119192</v>
      </c>
      <c r="H1492" t="s">
        <v>1801</v>
      </c>
      <c r="I1492" t="s">
        <v>1808</v>
      </c>
      <c r="J1492" s="2">
        <v>43426</v>
      </c>
      <c r="K1492">
        <f t="shared" ca="1" si="46"/>
        <v>7</v>
      </c>
      <c r="L1492">
        <f t="shared" ca="1" si="47"/>
        <v>0</v>
      </c>
      <c r="M1492" t="s">
        <v>1809</v>
      </c>
      <c r="N1492">
        <v>3</v>
      </c>
      <c r="O1492" t="s">
        <v>1817</v>
      </c>
      <c r="P1492" t="s">
        <v>1834</v>
      </c>
    </row>
    <row r="1493" spans="1:16" x14ac:dyDescent="0.3">
      <c r="A1493" t="s">
        <v>1504</v>
      </c>
      <c r="B1493" t="s">
        <v>1781</v>
      </c>
      <c r="C1493">
        <v>23</v>
      </c>
      <c r="D1493" t="s">
        <v>1785</v>
      </c>
      <c r="E1493" t="s">
        <v>1789</v>
      </c>
      <c r="F1493" t="s">
        <v>1796</v>
      </c>
      <c r="G1493" s="5">
        <v>22920</v>
      </c>
      <c r="H1493" t="s">
        <v>1801</v>
      </c>
      <c r="I1493" t="s">
        <v>1808</v>
      </c>
      <c r="J1493" s="2">
        <v>43416</v>
      </c>
      <c r="K1493">
        <f t="shared" ca="1" si="46"/>
        <v>7</v>
      </c>
      <c r="L1493">
        <f t="shared" ca="1" si="47"/>
        <v>0</v>
      </c>
      <c r="M1493" t="s">
        <v>1809</v>
      </c>
      <c r="N1493">
        <v>2</v>
      </c>
      <c r="O1493" t="s">
        <v>1815</v>
      </c>
      <c r="P1493" t="s">
        <v>1832</v>
      </c>
    </row>
    <row r="1494" spans="1:16" x14ac:dyDescent="0.3">
      <c r="A1494" t="s">
        <v>1505</v>
      </c>
      <c r="B1494" t="s">
        <v>1722</v>
      </c>
      <c r="C1494">
        <v>53</v>
      </c>
      <c r="D1494" t="s">
        <v>1784</v>
      </c>
      <c r="E1494" t="s">
        <v>1789</v>
      </c>
      <c r="F1494" t="s">
        <v>1797</v>
      </c>
      <c r="G1494" s="5">
        <v>110914</v>
      </c>
      <c r="H1494" t="s">
        <v>1803</v>
      </c>
      <c r="I1494" t="s">
        <v>1806</v>
      </c>
      <c r="J1494" s="2">
        <v>43346</v>
      </c>
      <c r="K1494">
        <f t="shared" ca="1" si="46"/>
        <v>7</v>
      </c>
      <c r="L1494">
        <f t="shared" ca="1" si="47"/>
        <v>3</v>
      </c>
      <c r="M1494" t="s">
        <v>1809</v>
      </c>
      <c r="N1494">
        <v>1</v>
      </c>
      <c r="O1494" t="s">
        <v>1813</v>
      </c>
      <c r="P1494" t="s">
        <v>1834</v>
      </c>
    </row>
    <row r="1495" spans="1:16" x14ac:dyDescent="0.3">
      <c r="A1495" t="s">
        <v>1506</v>
      </c>
      <c r="B1495" t="s">
        <v>1745</v>
      </c>
      <c r="C1495">
        <v>58</v>
      </c>
      <c r="D1495" t="s">
        <v>1784</v>
      </c>
      <c r="E1495" t="s">
        <v>1790</v>
      </c>
      <c r="F1495" t="s">
        <v>1799</v>
      </c>
      <c r="G1495" s="5">
        <v>112535</v>
      </c>
      <c r="H1495" t="s">
        <v>1801</v>
      </c>
      <c r="I1495" t="s">
        <v>1806</v>
      </c>
      <c r="J1495" s="2">
        <v>42635</v>
      </c>
      <c r="K1495">
        <f t="shared" ca="1" si="46"/>
        <v>9</v>
      </c>
      <c r="L1495">
        <f t="shared" ca="1" si="47"/>
        <v>2</v>
      </c>
      <c r="M1495" t="s">
        <v>1809</v>
      </c>
      <c r="N1495">
        <v>2</v>
      </c>
      <c r="O1495" t="s">
        <v>1813</v>
      </c>
      <c r="P1495" t="s">
        <v>1834</v>
      </c>
    </row>
    <row r="1496" spans="1:16" x14ac:dyDescent="0.3">
      <c r="A1496" t="s">
        <v>1507</v>
      </c>
      <c r="B1496" t="s">
        <v>1743</v>
      </c>
      <c r="C1496">
        <v>33</v>
      </c>
      <c r="D1496" t="s">
        <v>1783</v>
      </c>
      <c r="E1496" t="s">
        <v>1787</v>
      </c>
      <c r="F1496" t="s">
        <v>1796</v>
      </c>
      <c r="G1496" s="5">
        <v>102414</v>
      </c>
      <c r="H1496" t="s">
        <v>1802</v>
      </c>
      <c r="I1496" t="s">
        <v>1807</v>
      </c>
      <c r="J1496" s="2">
        <v>44103</v>
      </c>
      <c r="K1496">
        <f t="shared" ca="1" si="46"/>
        <v>5</v>
      </c>
      <c r="L1496">
        <f t="shared" ca="1" si="47"/>
        <v>2</v>
      </c>
      <c r="M1496" t="s">
        <v>1809</v>
      </c>
      <c r="N1496">
        <v>1</v>
      </c>
      <c r="O1496" t="s">
        <v>1813</v>
      </c>
      <c r="P1496" t="s">
        <v>1833</v>
      </c>
    </row>
    <row r="1497" spans="1:16" x14ac:dyDescent="0.3">
      <c r="A1497" t="s">
        <v>1508</v>
      </c>
      <c r="B1497" t="s">
        <v>1717</v>
      </c>
      <c r="C1497">
        <v>52</v>
      </c>
      <c r="D1497" t="s">
        <v>1784</v>
      </c>
      <c r="E1497" t="s">
        <v>1789</v>
      </c>
      <c r="F1497" t="s">
        <v>1797</v>
      </c>
      <c r="G1497" s="5">
        <v>69031</v>
      </c>
      <c r="H1497" t="s">
        <v>1803</v>
      </c>
      <c r="I1497" t="s">
        <v>1806</v>
      </c>
      <c r="J1497" s="2">
        <v>45953</v>
      </c>
      <c r="K1497">
        <f t="shared" ca="1" si="46"/>
        <v>0</v>
      </c>
      <c r="L1497">
        <f t="shared" ca="1" si="47"/>
        <v>1</v>
      </c>
      <c r="M1497" t="s">
        <v>1810</v>
      </c>
      <c r="N1497">
        <v>5</v>
      </c>
      <c r="O1497" t="s">
        <v>1818</v>
      </c>
      <c r="P1497" t="s">
        <v>1834</v>
      </c>
    </row>
    <row r="1498" spans="1:16" x14ac:dyDescent="0.3">
      <c r="A1498" t="s">
        <v>1509</v>
      </c>
      <c r="B1498" t="s">
        <v>1752</v>
      </c>
      <c r="C1498">
        <v>33</v>
      </c>
      <c r="D1498" t="s">
        <v>1783</v>
      </c>
      <c r="E1498" t="s">
        <v>1792</v>
      </c>
      <c r="F1498" t="s">
        <v>1797</v>
      </c>
      <c r="G1498" s="5">
        <v>94820</v>
      </c>
      <c r="H1498" t="s">
        <v>1804</v>
      </c>
      <c r="I1498" t="s">
        <v>1808</v>
      </c>
      <c r="J1498" s="2">
        <v>42896</v>
      </c>
      <c r="K1498">
        <f t="shared" ca="1" si="46"/>
        <v>8</v>
      </c>
      <c r="L1498">
        <f t="shared" ca="1" si="47"/>
        <v>6</v>
      </c>
      <c r="M1498" t="s">
        <v>1809</v>
      </c>
      <c r="N1498">
        <v>5</v>
      </c>
      <c r="O1498" t="s">
        <v>1818</v>
      </c>
      <c r="P1498" t="s">
        <v>1833</v>
      </c>
    </row>
    <row r="1499" spans="1:16" x14ac:dyDescent="0.3">
      <c r="A1499" t="s">
        <v>1510</v>
      </c>
      <c r="B1499" t="s">
        <v>1778</v>
      </c>
      <c r="C1499">
        <v>44</v>
      </c>
      <c r="D1499" t="s">
        <v>1784</v>
      </c>
      <c r="E1499" t="s">
        <v>1790</v>
      </c>
      <c r="F1499" t="s">
        <v>1794</v>
      </c>
      <c r="G1499" s="5">
        <v>101471</v>
      </c>
      <c r="H1499" t="s">
        <v>1803</v>
      </c>
      <c r="I1499" t="s">
        <v>1808</v>
      </c>
      <c r="J1499" s="2">
        <v>45425</v>
      </c>
      <c r="K1499">
        <f t="shared" ca="1" si="46"/>
        <v>1</v>
      </c>
      <c r="L1499">
        <f t="shared" ca="1" si="47"/>
        <v>6</v>
      </c>
      <c r="M1499" t="s">
        <v>1810</v>
      </c>
      <c r="N1499">
        <v>5</v>
      </c>
      <c r="O1499" t="s">
        <v>1813</v>
      </c>
      <c r="P1499" t="s">
        <v>1831</v>
      </c>
    </row>
    <row r="1500" spans="1:16" x14ac:dyDescent="0.3">
      <c r="A1500" t="s">
        <v>1511</v>
      </c>
      <c r="B1500" t="s">
        <v>1716</v>
      </c>
      <c r="C1500">
        <v>33</v>
      </c>
      <c r="D1500" t="s">
        <v>1784</v>
      </c>
      <c r="E1500" t="s">
        <v>1789</v>
      </c>
      <c r="F1500" t="s">
        <v>1799</v>
      </c>
      <c r="G1500" s="5">
        <v>97920</v>
      </c>
      <c r="H1500" t="s">
        <v>1804</v>
      </c>
      <c r="I1500" t="s">
        <v>1807</v>
      </c>
      <c r="J1500" s="2">
        <v>42675</v>
      </c>
      <c r="K1500">
        <f t="shared" ca="1" si="46"/>
        <v>9</v>
      </c>
      <c r="L1500">
        <f t="shared" ca="1" si="47"/>
        <v>1</v>
      </c>
      <c r="M1500" t="s">
        <v>1809</v>
      </c>
      <c r="N1500">
        <v>3</v>
      </c>
      <c r="O1500" t="s">
        <v>1813</v>
      </c>
      <c r="P1500" t="s">
        <v>1833</v>
      </c>
    </row>
    <row r="1501" spans="1:16" x14ac:dyDescent="0.3">
      <c r="A1501" t="s">
        <v>1512</v>
      </c>
      <c r="B1501" t="s">
        <v>1765</v>
      </c>
      <c r="C1501">
        <v>53</v>
      </c>
      <c r="D1501" t="s">
        <v>1785</v>
      </c>
      <c r="E1501" t="s">
        <v>1788</v>
      </c>
      <c r="F1501" t="s">
        <v>1795</v>
      </c>
      <c r="G1501" s="5">
        <v>32267</v>
      </c>
      <c r="H1501" t="s">
        <v>1804</v>
      </c>
      <c r="I1501" t="s">
        <v>1807</v>
      </c>
      <c r="J1501" s="2">
        <v>43385</v>
      </c>
      <c r="K1501">
        <f t="shared" ca="1" si="46"/>
        <v>7</v>
      </c>
      <c r="L1501">
        <f t="shared" ca="1" si="47"/>
        <v>1</v>
      </c>
      <c r="M1501" t="s">
        <v>1810</v>
      </c>
      <c r="N1501">
        <v>5</v>
      </c>
      <c r="O1501" t="s">
        <v>1812</v>
      </c>
      <c r="P1501" t="s">
        <v>1834</v>
      </c>
    </row>
    <row r="1502" spans="1:16" x14ac:dyDescent="0.3">
      <c r="A1502" t="s">
        <v>1513</v>
      </c>
      <c r="B1502" t="s">
        <v>1741</v>
      </c>
      <c r="C1502">
        <v>21</v>
      </c>
      <c r="D1502" t="s">
        <v>1785</v>
      </c>
      <c r="E1502" t="s">
        <v>1791</v>
      </c>
      <c r="F1502" t="s">
        <v>1800</v>
      </c>
      <c r="G1502" s="5">
        <v>117158</v>
      </c>
      <c r="H1502" t="s">
        <v>1802</v>
      </c>
      <c r="I1502" t="s">
        <v>1807</v>
      </c>
      <c r="J1502" s="2">
        <v>45776</v>
      </c>
      <c r="K1502">
        <f t="shared" ca="1" si="46"/>
        <v>0</v>
      </c>
      <c r="L1502">
        <f t="shared" ca="1" si="47"/>
        <v>7</v>
      </c>
      <c r="M1502" t="s">
        <v>1809</v>
      </c>
      <c r="N1502">
        <v>2</v>
      </c>
      <c r="O1502" t="s">
        <v>1816</v>
      </c>
      <c r="P1502" t="s">
        <v>1832</v>
      </c>
    </row>
    <row r="1503" spans="1:16" x14ac:dyDescent="0.3">
      <c r="A1503" t="s">
        <v>1514</v>
      </c>
      <c r="B1503" t="s">
        <v>1769</v>
      </c>
      <c r="C1503">
        <v>48</v>
      </c>
      <c r="D1503" t="s">
        <v>1784</v>
      </c>
      <c r="E1503" t="s">
        <v>1789</v>
      </c>
      <c r="F1503" t="s">
        <v>1800</v>
      </c>
      <c r="G1503" s="5">
        <v>62262</v>
      </c>
      <c r="H1503" t="s">
        <v>1801</v>
      </c>
      <c r="I1503" t="s">
        <v>1807</v>
      </c>
      <c r="J1503" s="2">
        <v>43483</v>
      </c>
      <c r="K1503">
        <f t="shared" ca="1" si="46"/>
        <v>6</v>
      </c>
      <c r="L1503">
        <f t="shared" ca="1" si="47"/>
        <v>10</v>
      </c>
      <c r="M1503" t="s">
        <v>1809</v>
      </c>
      <c r="N1503">
        <v>3</v>
      </c>
      <c r="O1503" t="s">
        <v>1816</v>
      </c>
      <c r="P1503" t="s">
        <v>1834</v>
      </c>
    </row>
    <row r="1504" spans="1:16" x14ac:dyDescent="0.3">
      <c r="A1504" t="s">
        <v>1515</v>
      </c>
      <c r="B1504" t="s">
        <v>1771</v>
      </c>
      <c r="C1504">
        <v>46</v>
      </c>
      <c r="D1504" t="s">
        <v>1785</v>
      </c>
      <c r="E1504" t="s">
        <v>1792</v>
      </c>
      <c r="F1504" t="s">
        <v>1794</v>
      </c>
      <c r="G1504" s="5">
        <v>66081</v>
      </c>
      <c r="H1504" t="s">
        <v>1801</v>
      </c>
      <c r="I1504" t="s">
        <v>1808</v>
      </c>
      <c r="J1504" s="2">
        <v>43411</v>
      </c>
      <c r="K1504">
        <f t="shared" ca="1" si="46"/>
        <v>7</v>
      </c>
      <c r="L1504">
        <f t="shared" ca="1" si="47"/>
        <v>1</v>
      </c>
      <c r="M1504" t="s">
        <v>1810</v>
      </c>
      <c r="N1504">
        <v>4</v>
      </c>
      <c r="O1504" t="s">
        <v>1811</v>
      </c>
      <c r="P1504" t="s">
        <v>1834</v>
      </c>
    </row>
    <row r="1505" spans="1:16" x14ac:dyDescent="0.3">
      <c r="A1505" t="s">
        <v>1516</v>
      </c>
      <c r="B1505" t="s">
        <v>1750</v>
      </c>
      <c r="C1505">
        <v>22</v>
      </c>
      <c r="D1505" t="s">
        <v>1785</v>
      </c>
      <c r="E1505" t="s">
        <v>1793</v>
      </c>
      <c r="F1505" t="s">
        <v>1794</v>
      </c>
      <c r="G1505" s="5">
        <v>33271</v>
      </c>
      <c r="H1505" t="s">
        <v>1802</v>
      </c>
      <c r="I1505" t="s">
        <v>1808</v>
      </c>
      <c r="J1505" s="2">
        <v>45634</v>
      </c>
      <c r="K1505">
        <f t="shared" ca="1" si="46"/>
        <v>1</v>
      </c>
      <c r="L1505">
        <f t="shared" ca="1" si="47"/>
        <v>0</v>
      </c>
      <c r="M1505" t="s">
        <v>1809</v>
      </c>
      <c r="N1505">
        <v>1</v>
      </c>
      <c r="O1505" t="s">
        <v>1815</v>
      </c>
      <c r="P1505" t="s">
        <v>1832</v>
      </c>
    </row>
    <row r="1506" spans="1:16" x14ac:dyDescent="0.3">
      <c r="A1506" t="s">
        <v>1517</v>
      </c>
      <c r="B1506" t="s">
        <v>1735</v>
      </c>
      <c r="C1506">
        <v>33</v>
      </c>
      <c r="D1506" t="s">
        <v>1784</v>
      </c>
      <c r="E1506" t="s">
        <v>1787</v>
      </c>
      <c r="F1506" t="s">
        <v>1795</v>
      </c>
      <c r="G1506" s="5">
        <v>70144</v>
      </c>
      <c r="H1506" t="s">
        <v>1801</v>
      </c>
      <c r="I1506" t="s">
        <v>1807</v>
      </c>
      <c r="J1506" s="2">
        <v>44020</v>
      </c>
      <c r="K1506">
        <f t="shared" ca="1" si="46"/>
        <v>5</v>
      </c>
      <c r="L1506">
        <f t="shared" ca="1" si="47"/>
        <v>5</v>
      </c>
      <c r="M1506" t="s">
        <v>1809</v>
      </c>
      <c r="N1506">
        <v>4</v>
      </c>
      <c r="O1506" t="s">
        <v>1813</v>
      </c>
      <c r="P1506" t="s">
        <v>1833</v>
      </c>
    </row>
    <row r="1507" spans="1:16" x14ac:dyDescent="0.3">
      <c r="A1507" t="s">
        <v>1518</v>
      </c>
      <c r="B1507" t="s">
        <v>1758</v>
      </c>
      <c r="C1507">
        <v>33</v>
      </c>
      <c r="D1507" t="s">
        <v>1783</v>
      </c>
      <c r="E1507" t="s">
        <v>1791</v>
      </c>
      <c r="F1507" t="s">
        <v>1798</v>
      </c>
      <c r="G1507" s="5">
        <v>118610</v>
      </c>
      <c r="H1507" t="s">
        <v>1804</v>
      </c>
      <c r="I1507" t="s">
        <v>1808</v>
      </c>
      <c r="J1507" s="2">
        <v>43895</v>
      </c>
      <c r="K1507">
        <f t="shared" ca="1" si="46"/>
        <v>5</v>
      </c>
      <c r="L1507">
        <f t="shared" ca="1" si="47"/>
        <v>9</v>
      </c>
      <c r="M1507" t="s">
        <v>1809</v>
      </c>
      <c r="N1507">
        <v>4</v>
      </c>
      <c r="O1507" t="s">
        <v>1816</v>
      </c>
      <c r="P1507" t="s">
        <v>1833</v>
      </c>
    </row>
    <row r="1508" spans="1:16" x14ac:dyDescent="0.3">
      <c r="A1508" t="s">
        <v>1519</v>
      </c>
      <c r="B1508" t="s">
        <v>1744</v>
      </c>
      <c r="C1508">
        <v>26</v>
      </c>
      <c r="D1508" t="s">
        <v>1784</v>
      </c>
      <c r="E1508" t="s">
        <v>1790</v>
      </c>
      <c r="F1508" t="s">
        <v>1799</v>
      </c>
      <c r="G1508" s="5">
        <v>73636</v>
      </c>
      <c r="H1508" t="s">
        <v>1805</v>
      </c>
      <c r="I1508" t="s">
        <v>1806</v>
      </c>
      <c r="J1508" s="2">
        <v>43022</v>
      </c>
      <c r="K1508">
        <f t="shared" ca="1" si="46"/>
        <v>8</v>
      </c>
      <c r="L1508">
        <f t="shared" ca="1" si="47"/>
        <v>1</v>
      </c>
      <c r="M1508" t="s">
        <v>1809</v>
      </c>
      <c r="N1508">
        <v>5</v>
      </c>
      <c r="O1508" t="s">
        <v>1814</v>
      </c>
      <c r="P1508" t="s">
        <v>1833</v>
      </c>
    </row>
    <row r="1509" spans="1:16" x14ac:dyDescent="0.3">
      <c r="A1509" t="s">
        <v>1520</v>
      </c>
      <c r="B1509" t="s">
        <v>1780</v>
      </c>
      <c r="C1509">
        <v>22</v>
      </c>
      <c r="D1509" t="s">
        <v>1783</v>
      </c>
      <c r="E1509" t="s">
        <v>1786</v>
      </c>
      <c r="F1509" t="s">
        <v>1795</v>
      </c>
      <c r="G1509" s="5">
        <v>57846</v>
      </c>
      <c r="H1509" t="s">
        <v>1801</v>
      </c>
      <c r="I1509" t="s">
        <v>1806</v>
      </c>
      <c r="J1509" s="2">
        <v>44270</v>
      </c>
      <c r="K1509">
        <f t="shared" ca="1" si="46"/>
        <v>4</v>
      </c>
      <c r="L1509">
        <f t="shared" ca="1" si="47"/>
        <v>8</v>
      </c>
      <c r="M1509" t="s">
        <v>1809</v>
      </c>
      <c r="N1509">
        <v>3</v>
      </c>
      <c r="O1509" t="s">
        <v>1814</v>
      </c>
      <c r="P1509" t="s">
        <v>1832</v>
      </c>
    </row>
    <row r="1510" spans="1:16" x14ac:dyDescent="0.3">
      <c r="A1510" t="s">
        <v>1521</v>
      </c>
      <c r="B1510" t="s">
        <v>1743</v>
      </c>
      <c r="C1510">
        <v>55</v>
      </c>
      <c r="D1510" t="s">
        <v>1785</v>
      </c>
      <c r="E1510" t="s">
        <v>1791</v>
      </c>
      <c r="F1510" t="s">
        <v>1797</v>
      </c>
      <c r="G1510" s="5">
        <v>71406</v>
      </c>
      <c r="H1510" t="s">
        <v>1802</v>
      </c>
      <c r="I1510" t="s">
        <v>1807</v>
      </c>
      <c r="J1510" s="2">
        <v>45080</v>
      </c>
      <c r="K1510">
        <f t="shared" ca="1" si="46"/>
        <v>2</v>
      </c>
      <c r="L1510">
        <f t="shared" ca="1" si="47"/>
        <v>6</v>
      </c>
      <c r="M1510" t="s">
        <v>1810</v>
      </c>
      <c r="N1510">
        <v>5</v>
      </c>
      <c r="O1510" t="s">
        <v>1813</v>
      </c>
      <c r="P1510" t="s">
        <v>1834</v>
      </c>
    </row>
    <row r="1511" spans="1:16" x14ac:dyDescent="0.3">
      <c r="A1511" t="s">
        <v>1522</v>
      </c>
      <c r="B1511" t="s">
        <v>1714</v>
      </c>
      <c r="C1511">
        <v>43</v>
      </c>
      <c r="D1511" t="s">
        <v>1784</v>
      </c>
      <c r="E1511" t="s">
        <v>1792</v>
      </c>
      <c r="F1511" t="s">
        <v>1799</v>
      </c>
      <c r="G1511" s="5">
        <v>97387</v>
      </c>
      <c r="H1511" t="s">
        <v>1801</v>
      </c>
      <c r="I1511" t="s">
        <v>1806</v>
      </c>
      <c r="J1511" s="2">
        <v>43946</v>
      </c>
      <c r="K1511">
        <f t="shared" ca="1" si="46"/>
        <v>5</v>
      </c>
      <c r="L1511">
        <f t="shared" ca="1" si="47"/>
        <v>7</v>
      </c>
      <c r="M1511" t="s">
        <v>1809</v>
      </c>
      <c r="N1511">
        <v>3</v>
      </c>
      <c r="O1511" t="s">
        <v>1814</v>
      </c>
      <c r="P1511" t="s">
        <v>1831</v>
      </c>
    </row>
    <row r="1512" spans="1:16" x14ac:dyDescent="0.3">
      <c r="A1512" t="s">
        <v>1523</v>
      </c>
      <c r="B1512" t="s">
        <v>1729</v>
      </c>
      <c r="C1512">
        <v>21</v>
      </c>
      <c r="D1512" t="s">
        <v>1785</v>
      </c>
      <c r="E1512" t="s">
        <v>1790</v>
      </c>
      <c r="F1512" t="s">
        <v>1795</v>
      </c>
      <c r="G1512" s="5">
        <v>51455</v>
      </c>
      <c r="H1512" t="s">
        <v>1802</v>
      </c>
      <c r="I1512" t="s">
        <v>1808</v>
      </c>
      <c r="J1512" s="2">
        <v>45535</v>
      </c>
      <c r="K1512">
        <f t="shared" ca="1" si="46"/>
        <v>1</v>
      </c>
      <c r="L1512">
        <f t="shared" ca="1" si="47"/>
        <v>3</v>
      </c>
      <c r="M1512" t="s">
        <v>1810</v>
      </c>
      <c r="N1512">
        <v>5</v>
      </c>
      <c r="O1512" t="s">
        <v>1811</v>
      </c>
      <c r="P1512" t="s">
        <v>1832</v>
      </c>
    </row>
    <row r="1513" spans="1:16" x14ac:dyDescent="0.3">
      <c r="A1513" t="s">
        <v>1524</v>
      </c>
      <c r="B1513" t="s">
        <v>1725</v>
      </c>
      <c r="C1513">
        <v>55</v>
      </c>
      <c r="D1513" t="s">
        <v>1785</v>
      </c>
      <c r="E1513" t="s">
        <v>1790</v>
      </c>
      <c r="F1513" t="s">
        <v>1795</v>
      </c>
      <c r="G1513" s="5">
        <v>29751</v>
      </c>
      <c r="H1513" t="s">
        <v>1804</v>
      </c>
      <c r="I1513" t="s">
        <v>1807</v>
      </c>
      <c r="J1513" s="2">
        <v>44630</v>
      </c>
      <c r="K1513">
        <f t="shared" ca="1" si="46"/>
        <v>3</v>
      </c>
      <c r="L1513">
        <f t="shared" ca="1" si="47"/>
        <v>9</v>
      </c>
      <c r="M1513" t="s">
        <v>1810</v>
      </c>
      <c r="N1513">
        <v>5</v>
      </c>
      <c r="O1513" t="s">
        <v>1811</v>
      </c>
      <c r="P1513" t="s">
        <v>1834</v>
      </c>
    </row>
    <row r="1514" spans="1:16" x14ac:dyDescent="0.3">
      <c r="A1514" t="s">
        <v>1525</v>
      </c>
      <c r="B1514" t="s">
        <v>1729</v>
      </c>
      <c r="C1514">
        <v>29</v>
      </c>
      <c r="D1514" t="s">
        <v>1784</v>
      </c>
      <c r="E1514" t="s">
        <v>1793</v>
      </c>
      <c r="F1514" t="s">
        <v>1797</v>
      </c>
      <c r="G1514" s="5">
        <v>56588</v>
      </c>
      <c r="H1514" t="s">
        <v>1805</v>
      </c>
      <c r="I1514" t="s">
        <v>1808</v>
      </c>
      <c r="J1514" s="2">
        <v>44770</v>
      </c>
      <c r="K1514">
        <f t="shared" ca="1" si="46"/>
        <v>3</v>
      </c>
      <c r="L1514">
        <f t="shared" ca="1" si="47"/>
        <v>4</v>
      </c>
      <c r="M1514" t="s">
        <v>1809</v>
      </c>
      <c r="N1514">
        <v>2</v>
      </c>
      <c r="O1514" t="s">
        <v>1815</v>
      </c>
      <c r="P1514" t="s">
        <v>1833</v>
      </c>
    </row>
    <row r="1515" spans="1:16" x14ac:dyDescent="0.3">
      <c r="A1515" t="s">
        <v>1526</v>
      </c>
      <c r="B1515" t="s">
        <v>1769</v>
      </c>
      <c r="C1515">
        <v>34</v>
      </c>
      <c r="D1515" t="s">
        <v>1784</v>
      </c>
      <c r="E1515" t="s">
        <v>1791</v>
      </c>
      <c r="F1515" t="s">
        <v>1800</v>
      </c>
      <c r="G1515" s="5">
        <v>119747</v>
      </c>
      <c r="H1515" t="s">
        <v>1803</v>
      </c>
      <c r="I1515" t="s">
        <v>1806</v>
      </c>
      <c r="J1515" s="2">
        <v>44731</v>
      </c>
      <c r="K1515">
        <f t="shared" ca="1" si="46"/>
        <v>3</v>
      </c>
      <c r="L1515">
        <f t="shared" ca="1" si="47"/>
        <v>5</v>
      </c>
      <c r="M1515" t="s">
        <v>1809</v>
      </c>
      <c r="N1515">
        <v>4</v>
      </c>
      <c r="O1515" t="s">
        <v>1818</v>
      </c>
      <c r="P1515" t="s">
        <v>1833</v>
      </c>
    </row>
    <row r="1516" spans="1:16" x14ac:dyDescent="0.3">
      <c r="A1516" t="s">
        <v>1527</v>
      </c>
      <c r="B1516" t="s">
        <v>1748</v>
      </c>
      <c r="C1516">
        <v>29</v>
      </c>
      <c r="D1516" t="s">
        <v>1784</v>
      </c>
      <c r="E1516" t="s">
        <v>1793</v>
      </c>
      <c r="F1516" t="s">
        <v>1799</v>
      </c>
      <c r="G1516" s="5">
        <v>77923</v>
      </c>
      <c r="H1516" t="s">
        <v>1803</v>
      </c>
      <c r="I1516" t="s">
        <v>1807</v>
      </c>
      <c r="J1516" s="2">
        <v>45067</v>
      </c>
      <c r="K1516">
        <f t="shared" ca="1" si="46"/>
        <v>2</v>
      </c>
      <c r="L1516">
        <f t="shared" ca="1" si="47"/>
        <v>6</v>
      </c>
      <c r="M1516" t="s">
        <v>1810</v>
      </c>
      <c r="N1516">
        <v>2</v>
      </c>
      <c r="O1516" t="s">
        <v>1815</v>
      </c>
      <c r="P1516" t="s">
        <v>1833</v>
      </c>
    </row>
    <row r="1517" spans="1:16" x14ac:dyDescent="0.3">
      <c r="A1517" t="s">
        <v>1528</v>
      </c>
      <c r="B1517" t="s">
        <v>1763</v>
      </c>
      <c r="C1517">
        <v>34</v>
      </c>
      <c r="D1517" t="s">
        <v>1785</v>
      </c>
      <c r="E1517" t="s">
        <v>1786</v>
      </c>
      <c r="F1517" t="s">
        <v>1794</v>
      </c>
      <c r="G1517" s="5">
        <v>60700</v>
      </c>
      <c r="H1517" t="s">
        <v>1805</v>
      </c>
      <c r="I1517" t="s">
        <v>1808</v>
      </c>
      <c r="J1517" s="2">
        <v>45101</v>
      </c>
      <c r="K1517">
        <f t="shared" ca="1" si="46"/>
        <v>2</v>
      </c>
      <c r="L1517">
        <f t="shared" ca="1" si="47"/>
        <v>5</v>
      </c>
      <c r="M1517" t="s">
        <v>1809</v>
      </c>
      <c r="N1517">
        <v>5</v>
      </c>
      <c r="O1517" t="s">
        <v>1816</v>
      </c>
      <c r="P1517" t="s">
        <v>1833</v>
      </c>
    </row>
    <row r="1518" spans="1:16" x14ac:dyDescent="0.3">
      <c r="A1518" t="s">
        <v>1529</v>
      </c>
      <c r="B1518" t="s">
        <v>1727</v>
      </c>
      <c r="C1518">
        <v>21</v>
      </c>
      <c r="D1518" t="s">
        <v>1784</v>
      </c>
      <c r="E1518" t="s">
        <v>1792</v>
      </c>
      <c r="F1518" t="s">
        <v>1800</v>
      </c>
      <c r="G1518" s="5">
        <v>63178</v>
      </c>
      <c r="H1518" t="s">
        <v>1801</v>
      </c>
      <c r="I1518" t="s">
        <v>1807</v>
      </c>
      <c r="J1518" s="2">
        <v>45285</v>
      </c>
      <c r="K1518">
        <f t="shared" ca="1" si="46"/>
        <v>2</v>
      </c>
      <c r="L1518">
        <f t="shared" ca="1" si="47"/>
        <v>11</v>
      </c>
      <c r="M1518" t="s">
        <v>1810</v>
      </c>
      <c r="N1518">
        <v>3</v>
      </c>
      <c r="O1518" t="s">
        <v>1818</v>
      </c>
      <c r="P1518" t="s">
        <v>1832</v>
      </c>
    </row>
    <row r="1519" spans="1:16" x14ac:dyDescent="0.3">
      <c r="A1519" t="s">
        <v>1530</v>
      </c>
      <c r="B1519" t="s">
        <v>1727</v>
      </c>
      <c r="C1519">
        <v>29</v>
      </c>
      <c r="D1519" t="s">
        <v>1784</v>
      </c>
      <c r="E1519" t="s">
        <v>1789</v>
      </c>
      <c r="F1519" t="s">
        <v>1794</v>
      </c>
      <c r="G1519" s="5">
        <v>89368</v>
      </c>
      <c r="H1519" t="s">
        <v>1802</v>
      </c>
      <c r="I1519" t="s">
        <v>1808</v>
      </c>
      <c r="J1519" s="2">
        <v>45145</v>
      </c>
      <c r="K1519">
        <f t="shared" ca="1" si="46"/>
        <v>2</v>
      </c>
      <c r="L1519">
        <f t="shared" ca="1" si="47"/>
        <v>4</v>
      </c>
      <c r="M1519" t="s">
        <v>1810</v>
      </c>
      <c r="N1519">
        <v>1</v>
      </c>
      <c r="O1519" t="s">
        <v>1811</v>
      </c>
      <c r="P1519" t="s">
        <v>1833</v>
      </c>
    </row>
    <row r="1520" spans="1:16" x14ac:dyDescent="0.3">
      <c r="A1520" t="s">
        <v>1531</v>
      </c>
      <c r="B1520" t="s">
        <v>1770</v>
      </c>
      <c r="C1520">
        <v>42</v>
      </c>
      <c r="D1520" t="s">
        <v>1784</v>
      </c>
      <c r="E1520" t="s">
        <v>1793</v>
      </c>
      <c r="F1520" t="s">
        <v>1797</v>
      </c>
      <c r="G1520" s="5">
        <v>46394</v>
      </c>
      <c r="H1520" t="s">
        <v>1805</v>
      </c>
      <c r="I1520" t="s">
        <v>1808</v>
      </c>
      <c r="J1520" s="2">
        <v>45750</v>
      </c>
      <c r="K1520">
        <f t="shared" ca="1" si="46"/>
        <v>0</v>
      </c>
      <c r="L1520">
        <f t="shared" ca="1" si="47"/>
        <v>8</v>
      </c>
      <c r="M1520" t="s">
        <v>1810</v>
      </c>
      <c r="N1520">
        <v>1</v>
      </c>
      <c r="O1520" t="s">
        <v>1816</v>
      </c>
      <c r="P1520" t="s">
        <v>1831</v>
      </c>
    </row>
    <row r="1521" spans="1:16" x14ac:dyDescent="0.3">
      <c r="A1521" t="s">
        <v>1532</v>
      </c>
      <c r="B1521" t="s">
        <v>1742</v>
      </c>
      <c r="C1521">
        <v>53</v>
      </c>
      <c r="D1521" t="s">
        <v>1784</v>
      </c>
      <c r="E1521" t="s">
        <v>1789</v>
      </c>
      <c r="F1521" t="s">
        <v>1797</v>
      </c>
      <c r="G1521" s="5">
        <v>116359</v>
      </c>
      <c r="H1521" t="s">
        <v>1804</v>
      </c>
      <c r="I1521" t="s">
        <v>1807</v>
      </c>
      <c r="J1521" s="2">
        <v>45621</v>
      </c>
      <c r="K1521">
        <f t="shared" ca="1" si="46"/>
        <v>1</v>
      </c>
      <c r="L1521">
        <f t="shared" ca="1" si="47"/>
        <v>0</v>
      </c>
      <c r="M1521" t="s">
        <v>1810</v>
      </c>
      <c r="N1521">
        <v>4</v>
      </c>
      <c r="O1521" t="s">
        <v>1816</v>
      </c>
      <c r="P1521" t="s">
        <v>1834</v>
      </c>
    </row>
    <row r="1522" spans="1:16" x14ac:dyDescent="0.3">
      <c r="A1522" t="s">
        <v>1533</v>
      </c>
      <c r="B1522" t="s">
        <v>1730</v>
      </c>
      <c r="C1522">
        <v>39</v>
      </c>
      <c r="D1522" t="s">
        <v>1785</v>
      </c>
      <c r="E1522" t="s">
        <v>1788</v>
      </c>
      <c r="F1522" t="s">
        <v>1797</v>
      </c>
      <c r="G1522" s="5">
        <v>100056</v>
      </c>
      <c r="H1522" t="s">
        <v>1801</v>
      </c>
      <c r="I1522" t="s">
        <v>1807</v>
      </c>
      <c r="J1522" s="2">
        <v>44397</v>
      </c>
      <c r="K1522">
        <f t="shared" ca="1" si="46"/>
        <v>4</v>
      </c>
      <c r="L1522">
        <f t="shared" ca="1" si="47"/>
        <v>4</v>
      </c>
      <c r="M1522" t="s">
        <v>1809</v>
      </c>
      <c r="N1522">
        <v>1</v>
      </c>
      <c r="O1522" t="s">
        <v>1818</v>
      </c>
      <c r="P1522" t="s">
        <v>1831</v>
      </c>
    </row>
    <row r="1523" spans="1:16" x14ac:dyDescent="0.3">
      <c r="A1523" t="s">
        <v>1534</v>
      </c>
      <c r="B1523" t="s">
        <v>1748</v>
      </c>
      <c r="C1523">
        <v>58</v>
      </c>
      <c r="D1523" t="s">
        <v>1784</v>
      </c>
      <c r="E1523" t="s">
        <v>1787</v>
      </c>
      <c r="F1523" t="s">
        <v>1797</v>
      </c>
      <c r="G1523" s="5">
        <v>26205</v>
      </c>
      <c r="H1523" t="s">
        <v>1801</v>
      </c>
      <c r="I1523" t="s">
        <v>1808</v>
      </c>
      <c r="J1523" s="2">
        <v>44501</v>
      </c>
      <c r="K1523">
        <f t="shared" ca="1" si="46"/>
        <v>4</v>
      </c>
      <c r="L1523">
        <f t="shared" ca="1" si="47"/>
        <v>1</v>
      </c>
      <c r="M1523" t="s">
        <v>1809</v>
      </c>
      <c r="N1523">
        <v>1</v>
      </c>
      <c r="O1523" t="s">
        <v>1813</v>
      </c>
      <c r="P1523" t="s">
        <v>1834</v>
      </c>
    </row>
    <row r="1524" spans="1:16" x14ac:dyDescent="0.3">
      <c r="A1524" t="s">
        <v>1535</v>
      </c>
      <c r="B1524" t="s">
        <v>1742</v>
      </c>
      <c r="C1524">
        <v>41</v>
      </c>
      <c r="D1524" t="s">
        <v>1783</v>
      </c>
      <c r="E1524" t="s">
        <v>1792</v>
      </c>
      <c r="F1524" t="s">
        <v>1800</v>
      </c>
      <c r="G1524" s="5">
        <v>26679</v>
      </c>
      <c r="H1524" t="s">
        <v>1805</v>
      </c>
      <c r="I1524" t="s">
        <v>1807</v>
      </c>
      <c r="J1524" s="2">
        <v>44945</v>
      </c>
      <c r="K1524">
        <f t="shared" ca="1" si="46"/>
        <v>2</v>
      </c>
      <c r="L1524">
        <f t="shared" ca="1" si="47"/>
        <v>10</v>
      </c>
      <c r="M1524" t="s">
        <v>1810</v>
      </c>
      <c r="N1524">
        <v>1</v>
      </c>
      <c r="O1524" t="s">
        <v>1814</v>
      </c>
      <c r="P1524" t="s">
        <v>1831</v>
      </c>
    </row>
    <row r="1525" spans="1:16" x14ac:dyDescent="0.3">
      <c r="A1525" t="s">
        <v>1536</v>
      </c>
      <c r="B1525" t="s">
        <v>1736</v>
      </c>
      <c r="C1525">
        <v>40</v>
      </c>
      <c r="D1525" t="s">
        <v>1783</v>
      </c>
      <c r="E1525" t="s">
        <v>1790</v>
      </c>
      <c r="F1525" t="s">
        <v>1799</v>
      </c>
      <c r="G1525" s="5">
        <v>71449</v>
      </c>
      <c r="H1525" t="s">
        <v>1802</v>
      </c>
      <c r="I1525" t="s">
        <v>1806</v>
      </c>
      <c r="J1525" s="2">
        <v>44575</v>
      </c>
      <c r="K1525">
        <f t="shared" ca="1" si="46"/>
        <v>3</v>
      </c>
      <c r="L1525">
        <f t="shared" ca="1" si="47"/>
        <v>10</v>
      </c>
      <c r="M1525" t="s">
        <v>1809</v>
      </c>
      <c r="N1525">
        <v>5</v>
      </c>
      <c r="O1525" t="s">
        <v>1812</v>
      </c>
      <c r="P1525" t="s">
        <v>1831</v>
      </c>
    </row>
    <row r="1526" spans="1:16" x14ac:dyDescent="0.3">
      <c r="A1526" t="s">
        <v>1537</v>
      </c>
      <c r="B1526" t="s">
        <v>1746</v>
      </c>
      <c r="C1526">
        <v>29</v>
      </c>
      <c r="D1526" t="s">
        <v>1783</v>
      </c>
      <c r="E1526" t="s">
        <v>1789</v>
      </c>
      <c r="F1526" t="s">
        <v>1794</v>
      </c>
      <c r="G1526" s="5">
        <v>46902</v>
      </c>
      <c r="H1526" t="s">
        <v>1804</v>
      </c>
      <c r="I1526" t="s">
        <v>1808</v>
      </c>
      <c r="J1526" s="2">
        <v>42506</v>
      </c>
      <c r="K1526">
        <f t="shared" ca="1" si="46"/>
        <v>9</v>
      </c>
      <c r="L1526">
        <f t="shared" ca="1" si="47"/>
        <v>6</v>
      </c>
      <c r="M1526" t="s">
        <v>1810</v>
      </c>
      <c r="N1526">
        <v>4</v>
      </c>
      <c r="O1526" t="s">
        <v>1812</v>
      </c>
      <c r="P1526" t="s">
        <v>1833</v>
      </c>
    </row>
    <row r="1527" spans="1:16" x14ac:dyDescent="0.3">
      <c r="A1527" t="s">
        <v>1538</v>
      </c>
      <c r="B1527" t="s">
        <v>1715</v>
      </c>
      <c r="C1527">
        <v>45</v>
      </c>
      <c r="D1527" t="s">
        <v>1783</v>
      </c>
      <c r="E1527" t="s">
        <v>1792</v>
      </c>
      <c r="F1527" t="s">
        <v>1800</v>
      </c>
      <c r="G1527" s="5">
        <v>111626</v>
      </c>
      <c r="H1527" t="s">
        <v>1802</v>
      </c>
      <c r="I1527" t="s">
        <v>1806</v>
      </c>
      <c r="J1527" s="2">
        <v>44089</v>
      </c>
      <c r="K1527">
        <f t="shared" ca="1" si="46"/>
        <v>5</v>
      </c>
      <c r="L1527">
        <f t="shared" ca="1" si="47"/>
        <v>2</v>
      </c>
      <c r="M1527" t="s">
        <v>1810</v>
      </c>
      <c r="N1527">
        <v>2</v>
      </c>
      <c r="O1527" t="s">
        <v>1816</v>
      </c>
      <c r="P1527" t="s">
        <v>1831</v>
      </c>
    </row>
    <row r="1528" spans="1:16" x14ac:dyDescent="0.3">
      <c r="A1528" t="s">
        <v>1539</v>
      </c>
      <c r="B1528" t="s">
        <v>1724</v>
      </c>
      <c r="C1528">
        <v>55</v>
      </c>
      <c r="D1528" t="s">
        <v>1783</v>
      </c>
      <c r="E1528" t="s">
        <v>1790</v>
      </c>
      <c r="F1528" t="s">
        <v>1794</v>
      </c>
      <c r="G1528" s="5">
        <v>113025</v>
      </c>
      <c r="H1528" t="s">
        <v>1803</v>
      </c>
      <c r="I1528" t="s">
        <v>1808</v>
      </c>
      <c r="J1528" s="2">
        <v>42633</v>
      </c>
      <c r="K1528">
        <f t="shared" ca="1" si="46"/>
        <v>9</v>
      </c>
      <c r="L1528">
        <f t="shared" ca="1" si="47"/>
        <v>2</v>
      </c>
      <c r="M1528" t="s">
        <v>1809</v>
      </c>
      <c r="N1528">
        <v>5</v>
      </c>
      <c r="O1528" t="s">
        <v>1813</v>
      </c>
      <c r="P1528" t="s">
        <v>1834</v>
      </c>
    </row>
    <row r="1529" spans="1:16" x14ac:dyDescent="0.3">
      <c r="A1529" t="s">
        <v>1540</v>
      </c>
      <c r="B1529" t="s">
        <v>1767</v>
      </c>
      <c r="C1529">
        <v>45</v>
      </c>
      <c r="D1529" t="s">
        <v>1785</v>
      </c>
      <c r="E1529" t="s">
        <v>1788</v>
      </c>
      <c r="F1529" t="s">
        <v>1798</v>
      </c>
      <c r="G1529" s="5">
        <v>26802</v>
      </c>
      <c r="H1529" t="s">
        <v>1802</v>
      </c>
      <c r="I1529" t="s">
        <v>1807</v>
      </c>
      <c r="J1529" s="2">
        <v>44297</v>
      </c>
      <c r="K1529">
        <f t="shared" ca="1" si="46"/>
        <v>4</v>
      </c>
      <c r="L1529">
        <f t="shared" ca="1" si="47"/>
        <v>7</v>
      </c>
      <c r="M1529" t="s">
        <v>1809</v>
      </c>
      <c r="N1529">
        <v>1</v>
      </c>
      <c r="O1529" t="s">
        <v>1816</v>
      </c>
      <c r="P1529" t="s">
        <v>1831</v>
      </c>
    </row>
    <row r="1530" spans="1:16" x14ac:dyDescent="0.3">
      <c r="A1530" t="s">
        <v>1541</v>
      </c>
      <c r="B1530" t="s">
        <v>1775</v>
      </c>
      <c r="C1530">
        <v>30</v>
      </c>
      <c r="D1530" t="s">
        <v>1783</v>
      </c>
      <c r="E1530" t="s">
        <v>1789</v>
      </c>
      <c r="F1530" t="s">
        <v>1797</v>
      </c>
      <c r="G1530" s="5">
        <v>70600</v>
      </c>
      <c r="H1530" t="s">
        <v>1803</v>
      </c>
      <c r="I1530" t="s">
        <v>1806</v>
      </c>
      <c r="J1530" s="2">
        <v>42762</v>
      </c>
      <c r="K1530">
        <f t="shared" ca="1" si="46"/>
        <v>8</v>
      </c>
      <c r="L1530">
        <f t="shared" ca="1" si="47"/>
        <v>10</v>
      </c>
      <c r="M1530" t="s">
        <v>1810</v>
      </c>
      <c r="N1530">
        <v>1</v>
      </c>
      <c r="O1530" t="s">
        <v>1815</v>
      </c>
      <c r="P1530" t="s">
        <v>1833</v>
      </c>
    </row>
    <row r="1531" spans="1:16" x14ac:dyDescent="0.3">
      <c r="A1531" t="s">
        <v>1542</v>
      </c>
      <c r="B1531" t="s">
        <v>1749</v>
      </c>
      <c r="C1531">
        <v>26</v>
      </c>
      <c r="D1531" t="s">
        <v>1783</v>
      </c>
      <c r="E1531" t="s">
        <v>1791</v>
      </c>
      <c r="F1531" t="s">
        <v>1800</v>
      </c>
      <c r="G1531" s="5">
        <v>18060</v>
      </c>
      <c r="H1531" t="s">
        <v>1801</v>
      </c>
      <c r="I1531" t="s">
        <v>1807</v>
      </c>
      <c r="J1531" s="2">
        <v>45511</v>
      </c>
      <c r="K1531">
        <f t="shared" ca="1" si="46"/>
        <v>1</v>
      </c>
      <c r="L1531">
        <f t="shared" ca="1" si="47"/>
        <v>4</v>
      </c>
      <c r="M1531" t="s">
        <v>1810</v>
      </c>
      <c r="N1531">
        <v>2</v>
      </c>
      <c r="O1531" t="s">
        <v>1817</v>
      </c>
      <c r="P1531" t="s">
        <v>1833</v>
      </c>
    </row>
    <row r="1532" spans="1:16" x14ac:dyDescent="0.3">
      <c r="A1532" t="s">
        <v>1543</v>
      </c>
      <c r="B1532" t="s">
        <v>1781</v>
      </c>
      <c r="C1532">
        <v>51</v>
      </c>
      <c r="D1532" t="s">
        <v>1785</v>
      </c>
      <c r="E1532" t="s">
        <v>1789</v>
      </c>
      <c r="F1532" t="s">
        <v>1797</v>
      </c>
      <c r="G1532" s="5">
        <v>67280</v>
      </c>
      <c r="H1532" t="s">
        <v>1802</v>
      </c>
      <c r="I1532" t="s">
        <v>1807</v>
      </c>
      <c r="J1532" s="2">
        <v>44270</v>
      </c>
      <c r="K1532">
        <f t="shared" ca="1" si="46"/>
        <v>4</v>
      </c>
      <c r="L1532">
        <f t="shared" ca="1" si="47"/>
        <v>8</v>
      </c>
      <c r="M1532" t="s">
        <v>1809</v>
      </c>
      <c r="N1532">
        <v>5</v>
      </c>
      <c r="O1532" t="s">
        <v>1814</v>
      </c>
      <c r="P1532" t="s">
        <v>1834</v>
      </c>
    </row>
    <row r="1533" spans="1:16" x14ac:dyDescent="0.3">
      <c r="A1533" t="s">
        <v>1544</v>
      </c>
      <c r="B1533" t="s">
        <v>1766</v>
      </c>
      <c r="C1533">
        <v>57</v>
      </c>
      <c r="D1533" t="s">
        <v>1783</v>
      </c>
      <c r="E1533" t="s">
        <v>1791</v>
      </c>
      <c r="F1533" t="s">
        <v>1796</v>
      </c>
      <c r="G1533" s="5">
        <v>93865</v>
      </c>
      <c r="H1533" t="s">
        <v>1801</v>
      </c>
      <c r="I1533" t="s">
        <v>1807</v>
      </c>
      <c r="J1533" s="2">
        <v>45977</v>
      </c>
      <c r="K1533">
        <f t="shared" ca="1" si="46"/>
        <v>0</v>
      </c>
      <c r="L1533">
        <f t="shared" ca="1" si="47"/>
        <v>0</v>
      </c>
      <c r="M1533" t="s">
        <v>1810</v>
      </c>
      <c r="N1533">
        <v>3</v>
      </c>
      <c r="O1533" t="s">
        <v>1818</v>
      </c>
      <c r="P1533" t="s">
        <v>1834</v>
      </c>
    </row>
    <row r="1534" spans="1:16" x14ac:dyDescent="0.3">
      <c r="A1534" t="s">
        <v>1545</v>
      </c>
      <c r="B1534" t="s">
        <v>1718</v>
      </c>
      <c r="C1534">
        <v>37</v>
      </c>
      <c r="D1534" t="s">
        <v>1784</v>
      </c>
      <c r="E1534" t="s">
        <v>1792</v>
      </c>
      <c r="F1534" t="s">
        <v>1800</v>
      </c>
      <c r="G1534" s="5">
        <v>48999</v>
      </c>
      <c r="H1534" t="s">
        <v>1802</v>
      </c>
      <c r="I1534" t="s">
        <v>1806</v>
      </c>
      <c r="J1534" s="2">
        <v>43462</v>
      </c>
      <c r="K1534">
        <f t="shared" ca="1" si="46"/>
        <v>7</v>
      </c>
      <c r="L1534">
        <f t="shared" ca="1" si="47"/>
        <v>11</v>
      </c>
      <c r="M1534" t="s">
        <v>1809</v>
      </c>
      <c r="N1534">
        <v>4</v>
      </c>
      <c r="O1534" t="s">
        <v>1812</v>
      </c>
      <c r="P1534" t="s">
        <v>1831</v>
      </c>
    </row>
    <row r="1535" spans="1:16" x14ac:dyDescent="0.3">
      <c r="A1535" t="s">
        <v>1546</v>
      </c>
      <c r="B1535" t="s">
        <v>1764</v>
      </c>
      <c r="C1535">
        <v>29</v>
      </c>
      <c r="D1535" t="s">
        <v>1784</v>
      </c>
      <c r="E1535" t="s">
        <v>1790</v>
      </c>
      <c r="F1535" t="s">
        <v>1795</v>
      </c>
      <c r="G1535" s="5">
        <v>105461</v>
      </c>
      <c r="H1535" t="s">
        <v>1802</v>
      </c>
      <c r="I1535" t="s">
        <v>1807</v>
      </c>
      <c r="J1535" s="2">
        <v>42745</v>
      </c>
      <c r="K1535">
        <f t="shared" ca="1" si="46"/>
        <v>8</v>
      </c>
      <c r="L1535">
        <f t="shared" ca="1" si="47"/>
        <v>11</v>
      </c>
      <c r="M1535" t="s">
        <v>1809</v>
      </c>
      <c r="N1535">
        <v>2</v>
      </c>
      <c r="O1535" t="s">
        <v>1813</v>
      </c>
      <c r="P1535" t="s">
        <v>1833</v>
      </c>
    </row>
    <row r="1536" spans="1:16" x14ac:dyDescent="0.3">
      <c r="A1536" t="s">
        <v>1547</v>
      </c>
      <c r="B1536" t="s">
        <v>1755</v>
      </c>
      <c r="C1536">
        <v>57</v>
      </c>
      <c r="D1536" t="s">
        <v>1785</v>
      </c>
      <c r="E1536" t="s">
        <v>1791</v>
      </c>
      <c r="F1536" t="s">
        <v>1794</v>
      </c>
      <c r="G1536" s="5">
        <v>31413</v>
      </c>
      <c r="H1536" t="s">
        <v>1802</v>
      </c>
      <c r="I1536" t="s">
        <v>1808</v>
      </c>
      <c r="J1536" s="2">
        <v>44565</v>
      </c>
      <c r="K1536">
        <f t="shared" ca="1" si="46"/>
        <v>3</v>
      </c>
      <c r="L1536">
        <f t="shared" ca="1" si="47"/>
        <v>11</v>
      </c>
      <c r="M1536" t="s">
        <v>1810</v>
      </c>
      <c r="N1536">
        <v>2</v>
      </c>
      <c r="O1536" t="s">
        <v>1817</v>
      </c>
      <c r="P1536" t="s">
        <v>1834</v>
      </c>
    </row>
    <row r="1537" spans="1:16" x14ac:dyDescent="0.3">
      <c r="A1537" t="s">
        <v>1548</v>
      </c>
      <c r="B1537" t="s">
        <v>1755</v>
      </c>
      <c r="C1537">
        <v>58</v>
      </c>
      <c r="D1537" t="s">
        <v>1784</v>
      </c>
      <c r="E1537" t="s">
        <v>1786</v>
      </c>
      <c r="F1537" t="s">
        <v>1800</v>
      </c>
      <c r="G1537" s="5">
        <v>117336</v>
      </c>
      <c r="H1537" t="s">
        <v>1802</v>
      </c>
      <c r="I1537" t="s">
        <v>1806</v>
      </c>
      <c r="J1537" s="2">
        <v>43433</v>
      </c>
      <c r="K1537">
        <f t="shared" ca="1" si="46"/>
        <v>7</v>
      </c>
      <c r="L1537">
        <f t="shared" ca="1" si="47"/>
        <v>0</v>
      </c>
      <c r="M1537" t="s">
        <v>1809</v>
      </c>
      <c r="N1537">
        <v>5</v>
      </c>
      <c r="O1537" t="s">
        <v>1816</v>
      </c>
      <c r="P1537" t="s">
        <v>1834</v>
      </c>
    </row>
    <row r="1538" spans="1:16" x14ac:dyDescent="0.3">
      <c r="A1538" t="s">
        <v>1549</v>
      </c>
      <c r="B1538" t="s">
        <v>1719</v>
      </c>
      <c r="C1538">
        <v>40</v>
      </c>
      <c r="D1538" t="s">
        <v>1784</v>
      </c>
      <c r="E1538" t="s">
        <v>1792</v>
      </c>
      <c r="F1538" t="s">
        <v>1798</v>
      </c>
      <c r="G1538" s="5">
        <v>62364</v>
      </c>
      <c r="H1538" t="s">
        <v>1805</v>
      </c>
      <c r="I1538" t="s">
        <v>1808</v>
      </c>
      <c r="J1538" s="2">
        <v>45464</v>
      </c>
      <c r="K1538">
        <f t="shared" ca="1" si="46"/>
        <v>1</v>
      </c>
      <c r="L1538">
        <f t="shared" ca="1" si="47"/>
        <v>5</v>
      </c>
      <c r="M1538" t="s">
        <v>1809</v>
      </c>
      <c r="N1538">
        <v>4</v>
      </c>
      <c r="O1538" t="s">
        <v>1811</v>
      </c>
      <c r="P1538" t="s">
        <v>1831</v>
      </c>
    </row>
    <row r="1539" spans="1:16" x14ac:dyDescent="0.3">
      <c r="A1539" t="s">
        <v>1550</v>
      </c>
      <c r="B1539" t="s">
        <v>1746</v>
      </c>
      <c r="C1539">
        <v>27</v>
      </c>
      <c r="D1539" t="s">
        <v>1784</v>
      </c>
      <c r="E1539" t="s">
        <v>1790</v>
      </c>
      <c r="F1539" t="s">
        <v>1797</v>
      </c>
      <c r="G1539" s="5">
        <v>109765</v>
      </c>
      <c r="H1539" t="s">
        <v>1803</v>
      </c>
      <c r="I1539" t="s">
        <v>1808</v>
      </c>
      <c r="J1539" s="2">
        <v>43404</v>
      </c>
      <c r="K1539">
        <f t="shared" ref="K1539:K1602" ca="1" si="48">YEAR(TODAY()) - YEAR(J1539)</f>
        <v>7</v>
      </c>
      <c r="L1539">
        <f t="shared" ref="L1539:L1602" ca="1" si="49">DATEDIF(J1539,TODAY(),"YM")</f>
        <v>1</v>
      </c>
      <c r="M1539" t="s">
        <v>1810</v>
      </c>
      <c r="N1539">
        <v>5</v>
      </c>
      <c r="O1539" t="s">
        <v>1816</v>
      </c>
      <c r="P1539" t="s">
        <v>1833</v>
      </c>
    </row>
    <row r="1540" spans="1:16" x14ac:dyDescent="0.3">
      <c r="A1540" t="s">
        <v>1551</v>
      </c>
      <c r="B1540" t="s">
        <v>1740</v>
      </c>
      <c r="C1540">
        <v>20</v>
      </c>
      <c r="D1540" t="s">
        <v>1784</v>
      </c>
      <c r="E1540" t="s">
        <v>1791</v>
      </c>
      <c r="F1540" t="s">
        <v>1794</v>
      </c>
      <c r="G1540" s="5">
        <v>29056</v>
      </c>
      <c r="H1540" t="s">
        <v>1802</v>
      </c>
      <c r="I1540" t="s">
        <v>1807</v>
      </c>
      <c r="J1540" s="2">
        <v>43355</v>
      </c>
      <c r="K1540">
        <f t="shared" ca="1" si="48"/>
        <v>7</v>
      </c>
      <c r="L1540">
        <f t="shared" ca="1" si="49"/>
        <v>2</v>
      </c>
      <c r="M1540" t="s">
        <v>1810</v>
      </c>
      <c r="N1540">
        <v>3</v>
      </c>
      <c r="O1540" t="s">
        <v>1816</v>
      </c>
      <c r="P1540" t="s">
        <v>1832</v>
      </c>
    </row>
    <row r="1541" spans="1:16" x14ac:dyDescent="0.3">
      <c r="A1541" t="s">
        <v>1552</v>
      </c>
      <c r="B1541" t="s">
        <v>1718</v>
      </c>
      <c r="C1541">
        <v>43</v>
      </c>
      <c r="D1541" t="s">
        <v>1783</v>
      </c>
      <c r="E1541" t="s">
        <v>1789</v>
      </c>
      <c r="F1541" t="s">
        <v>1800</v>
      </c>
      <c r="G1541" s="5">
        <v>88657</v>
      </c>
      <c r="H1541" t="s">
        <v>1801</v>
      </c>
      <c r="I1541" t="s">
        <v>1806</v>
      </c>
      <c r="J1541" s="2">
        <v>43523</v>
      </c>
      <c r="K1541">
        <f t="shared" ca="1" si="48"/>
        <v>6</v>
      </c>
      <c r="L1541">
        <f t="shared" ca="1" si="49"/>
        <v>9</v>
      </c>
      <c r="M1541" t="s">
        <v>1810</v>
      </c>
      <c r="N1541">
        <v>5</v>
      </c>
      <c r="O1541" t="s">
        <v>1816</v>
      </c>
      <c r="P1541" t="s">
        <v>1831</v>
      </c>
    </row>
    <row r="1542" spans="1:16" x14ac:dyDescent="0.3">
      <c r="A1542" t="s">
        <v>1553</v>
      </c>
      <c r="B1542" t="s">
        <v>1777</v>
      </c>
      <c r="C1542">
        <v>31</v>
      </c>
      <c r="D1542" t="s">
        <v>1783</v>
      </c>
      <c r="E1542" t="s">
        <v>1791</v>
      </c>
      <c r="F1542" t="s">
        <v>1795</v>
      </c>
      <c r="G1542" s="5">
        <v>60911</v>
      </c>
      <c r="H1542" t="s">
        <v>1803</v>
      </c>
      <c r="I1542" t="s">
        <v>1808</v>
      </c>
      <c r="J1542" s="2">
        <v>45530</v>
      </c>
      <c r="K1542">
        <f t="shared" ca="1" si="48"/>
        <v>1</v>
      </c>
      <c r="L1542">
        <f t="shared" ca="1" si="49"/>
        <v>3</v>
      </c>
      <c r="M1542" t="s">
        <v>1809</v>
      </c>
      <c r="N1542">
        <v>5</v>
      </c>
      <c r="O1542" t="s">
        <v>1814</v>
      </c>
      <c r="P1542" t="s">
        <v>1833</v>
      </c>
    </row>
    <row r="1543" spans="1:16" x14ac:dyDescent="0.3">
      <c r="A1543" t="s">
        <v>1554</v>
      </c>
      <c r="B1543" t="s">
        <v>1743</v>
      </c>
      <c r="C1543">
        <v>58</v>
      </c>
      <c r="D1543" t="s">
        <v>1785</v>
      </c>
      <c r="E1543" t="s">
        <v>1788</v>
      </c>
      <c r="F1543" t="s">
        <v>1799</v>
      </c>
      <c r="G1543" s="5">
        <v>89660</v>
      </c>
      <c r="H1543" t="s">
        <v>1801</v>
      </c>
      <c r="I1543" t="s">
        <v>1807</v>
      </c>
      <c r="J1543" s="2">
        <v>42957</v>
      </c>
      <c r="K1543">
        <f t="shared" ca="1" si="48"/>
        <v>8</v>
      </c>
      <c r="L1543">
        <f t="shared" ca="1" si="49"/>
        <v>4</v>
      </c>
      <c r="M1543" t="s">
        <v>1809</v>
      </c>
      <c r="N1543">
        <v>3</v>
      </c>
      <c r="O1543" t="s">
        <v>1818</v>
      </c>
      <c r="P1543" t="s">
        <v>1834</v>
      </c>
    </row>
    <row r="1544" spans="1:16" x14ac:dyDescent="0.3">
      <c r="A1544" t="s">
        <v>1555</v>
      </c>
      <c r="B1544" t="s">
        <v>1760</v>
      </c>
      <c r="C1544">
        <v>34</v>
      </c>
      <c r="D1544" t="s">
        <v>1785</v>
      </c>
      <c r="E1544" t="s">
        <v>1787</v>
      </c>
      <c r="F1544" t="s">
        <v>1795</v>
      </c>
      <c r="G1544" s="5">
        <v>112265</v>
      </c>
      <c r="H1544" t="s">
        <v>1804</v>
      </c>
      <c r="I1544" t="s">
        <v>1806</v>
      </c>
      <c r="J1544" s="2">
        <v>43633</v>
      </c>
      <c r="K1544">
        <f t="shared" ca="1" si="48"/>
        <v>6</v>
      </c>
      <c r="L1544">
        <f t="shared" ca="1" si="49"/>
        <v>5</v>
      </c>
      <c r="M1544" t="s">
        <v>1809</v>
      </c>
      <c r="N1544">
        <v>3</v>
      </c>
      <c r="O1544" t="s">
        <v>1817</v>
      </c>
      <c r="P1544" t="s">
        <v>1833</v>
      </c>
    </row>
    <row r="1545" spans="1:16" x14ac:dyDescent="0.3">
      <c r="A1545" t="s">
        <v>1556</v>
      </c>
      <c r="B1545" t="s">
        <v>1759</v>
      </c>
      <c r="C1545">
        <v>55</v>
      </c>
      <c r="D1545" t="s">
        <v>1785</v>
      </c>
      <c r="E1545" t="s">
        <v>1793</v>
      </c>
      <c r="F1545" t="s">
        <v>1797</v>
      </c>
      <c r="G1545" s="5">
        <v>102839</v>
      </c>
      <c r="H1545" t="s">
        <v>1804</v>
      </c>
      <c r="I1545" t="s">
        <v>1808</v>
      </c>
      <c r="J1545" s="2">
        <v>44288</v>
      </c>
      <c r="K1545">
        <f t="shared" ca="1" si="48"/>
        <v>4</v>
      </c>
      <c r="L1545">
        <f t="shared" ca="1" si="49"/>
        <v>8</v>
      </c>
      <c r="M1545" t="s">
        <v>1810</v>
      </c>
      <c r="N1545">
        <v>1</v>
      </c>
      <c r="O1545" t="s">
        <v>1812</v>
      </c>
      <c r="P1545" t="s">
        <v>1834</v>
      </c>
    </row>
    <row r="1546" spans="1:16" x14ac:dyDescent="0.3">
      <c r="A1546" t="s">
        <v>1557</v>
      </c>
      <c r="B1546" t="s">
        <v>1757</v>
      </c>
      <c r="C1546">
        <v>31</v>
      </c>
      <c r="D1546" t="s">
        <v>1783</v>
      </c>
      <c r="E1546" t="s">
        <v>1787</v>
      </c>
      <c r="F1546" t="s">
        <v>1800</v>
      </c>
      <c r="G1546" s="5">
        <v>76665</v>
      </c>
      <c r="H1546" t="s">
        <v>1803</v>
      </c>
      <c r="I1546" t="s">
        <v>1807</v>
      </c>
      <c r="J1546" s="2">
        <v>44646</v>
      </c>
      <c r="K1546">
        <f t="shared" ca="1" si="48"/>
        <v>3</v>
      </c>
      <c r="L1546">
        <f t="shared" ca="1" si="49"/>
        <v>8</v>
      </c>
      <c r="M1546" t="s">
        <v>1809</v>
      </c>
      <c r="N1546">
        <v>1</v>
      </c>
      <c r="O1546" t="s">
        <v>1812</v>
      </c>
      <c r="P1546" t="s">
        <v>1833</v>
      </c>
    </row>
    <row r="1547" spans="1:16" x14ac:dyDescent="0.3">
      <c r="A1547" t="s">
        <v>1558</v>
      </c>
      <c r="B1547" t="s">
        <v>1728</v>
      </c>
      <c r="C1547">
        <v>24</v>
      </c>
      <c r="D1547" t="s">
        <v>1785</v>
      </c>
      <c r="E1547" t="s">
        <v>1793</v>
      </c>
      <c r="F1547" t="s">
        <v>1794</v>
      </c>
      <c r="G1547" s="5">
        <v>112294</v>
      </c>
      <c r="H1547" t="s">
        <v>1803</v>
      </c>
      <c r="I1547" t="s">
        <v>1808</v>
      </c>
      <c r="J1547" s="2">
        <v>44938</v>
      </c>
      <c r="K1547">
        <f t="shared" ca="1" si="48"/>
        <v>2</v>
      </c>
      <c r="L1547">
        <f t="shared" ca="1" si="49"/>
        <v>10</v>
      </c>
      <c r="M1547" t="s">
        <v>1810</v>
      </c>
      <c r="N1547">
        <v>4</v>
      </c>
      <c r="O1547" t="s">
        <v>1816</v>
      </c>
      <c r="P1547" t="s">
        <v>1832</v>
      </c>
    </row>
    <row r="1548" spans="1:16" x14ac:dyDescent="0.3">
      <c r="A1548" t="s">
        <v>1559</v>
      </c>
      <c r="B1548" t="s">
        <v>1759</v>
      </c>
      <c r="C1548">
        <v>47</v>
      </c>
      <c r="D1548" t="s">
        <v>1785</v>
      </c>
      <c r="E1548" t="s">
        <v>1790</v>
      </c>
      <c r="F1548" t="s">
        <v>1799</v>
      </c>
      <c r="G1548" s="5">
        <v>112180</v>
      </c>
      <c r="H1548" t="s">
        <v>1802</v>
      </c>
      <c r="I1548" t="s">
        <v>1807</v>
      </c>
      <c r="J1548" s="2">
        <v>43749</v>
      </c>
      <c r="K1548">
        <f t="shared" ca="1" si="48"/>
        <v>6</v>
      </c>
      <c r="L1548">
        <f t="shared" ca="1" si="49"/>
        <v>1</v>
      </c>
      <c r="M1548" t="s">
        <v>1809</v>
      </c>
      <c r="N1548">
        <v>4</v>
      </c>
      <c r="O1548" t="s">
        <v>1818</v>
      </c>
      <c r="P1548" t="s">
        <v>1834</v>
      </c>
    </row>
    <row r="1549" spans="1:16" x14ac:dyDescent="0.3">
      <c r="A1549" t="s">
        <v>1560</v>
      </c>
      <c r="B1549" t="s">
        <v>1739</v>
      </c>
      <c r="C1549">
        <v>53</v>
      </c>
      <c r="D1549" t="s">
        <v>1783</v>
      </c>
      <c r="E1549" t="s">
        <v>1787</v>
      </c>
      <c r="F1549" t="s">
        <v>1798</v>
      </c>
      <c r="G1549" s="5">
        <v>102351</v>
      </c>
      <c r="H1549" t="s">
        <v>1802</v>
      </c>
      <c r="I1549" t="s">
        <v>1808</v>
      </c>
      <c r="J1549" s="2">
        <v>42650</v>
      </c>
      <c r="K1549">
        <f t="shared" ca="1" si="48"/>
        <v>9</v>
      </c>
      <c r="L1549">
        <f t="shared" ca="1" si="49"/>
        <v>2</v>
      </c>
      <c r="M1549" t="s">
        <v>1810</v>
      </c>
      <c r="N1549">
        <v>1</v>
      </c>
      <c r="O1549" t="s">
        <v>1817</v>
      </c>
      <c r="P1549" t="s">
        <v>1834</v>
      </c>
    </row>
    <row r="1550" spans="1:16" x14ac:dyDescent="0.3">
      <c r="A1550" t="s">
        <v>1561</v>
      </c>
      <c r="B1550" t="s">
        <v>1723</v>
      </c>
      <c r="C1550">
        <v>41</v>
      </c>
      <c r="D1550" t="s">
        <v>1785</v>
      </c>
      <c r="E1550" t="s">
        <v>1790</v>
      </c>
      <c r="F1550" t="s">
        <v>1797</v>
      </c>
      <c r="G1550" s="5">
        <v>92605</v>
      </c>
      <c r="H1550" t="s">
        <v>1801</v>
      </c>
      <c r="I1550" t="s">
        <v>1806</v>
      </c>
      <c r="J1550" s="2">
        <v>42949</v>
      </c>
      <c r="K1550">
        <f t="shared" ca="1" si="48"/>
        <v>8</v>
      </c>
      <c r="L1550">
        <f t="shared" ca="1" si="49"/>
        <v>4</v>
      </c>
      <c r="M1550" t="s">
        <v>1809</v>
      </c>
      <c r="N1550">
        <v>3</v>
      </c>
      <c r="O1550" t="s">
        <v>1816</v>
      </c>
      <c r="P1550" t="s">
        <v>1831</v>
      </c>
    </row>
    <row r="1551" spans="1:16" x14ac:dyDescent="0.3">
      <c r="A1551" t="s">
        <v>1562</v>
      </c>
      <c r="B1551" t="s">
        <v>1741</v>
      </c>
      <c r="C1551">
        <v>43</v>
      </c>
      <c r="D1551" t="s">
        <v>1784</v>
      </c>
      <c r="E1551" t="s">
        <v>1788</v>
      </c>
      <c r="F1551" t="s">
        <v>1795</v>
      </c>
      <c r="G1551" s="5">
        <v>41927</v>
      </c>
      <c r="H1551" t="s">
        <v>1803</v>
      </c>
      <c r="I1551" t="s">
        <v>1808</v>
      </c>
      <c r="J1551" s="2">
        <v>44869</v>
      </c>
      <c r="K1551">
        <f t="shared" ca="1" si="48"/>
        <v>3</v>
      </c>
      <c r="L1551">
        <f t="shared" ca="1" si="49"/>
        <v>1</v>
      </c>
      <c r="M1551" t="s">
        <v>1810</v>
      </c>
      <c r="N1551">
        <v>2</v>
      </c>
      <c r="O1551" t="s">
        <v>1816</v>
      </c>
      <c r="P1551" t="s">
        <v>1831</v>
      </c>
    </row>
    <row r="1552" spans="1:16" x14ac:dyDescent="0.3">
      <c r="A1552" t="s">
        <v>1563</v>
      </c>
      <c r="B1552" t="s">
        <v>1741</v>
      </c>
      <c r="C1552">
        <v>38</v>
      </c>
      <c r="D1552" t="s">
        <v>1783</v>
      </c>
      <c r="E1552" t="s">
        <v>1786</v>
      </c>
      <c r="F1552" t="s">
        <v>1798</v>
      </c>
      <c r="G1552" s="5">
        <v>101092</v>
      </c>
      <c r="H1552" t="s">
        <v>1805</v>
      </c>
      <c r="I1552" t="s">
        <v>1806</v>
      </c>
      <c r="J1552" s="2">
        <v>44797</v>
      </c>
      <c r="K1552">
        <f t="shared" ca="1" si="48"/>
        <v>3</v>
      </c>
      <c r="L1552">
        <f t="shared" ca="1" si="49"/>
        <v>3</v>
      </c>
      <c r="M1552" t="s">
        <v>1810</v>
      </c>
      <c r="N1552">
        <v>4</v>
      </c>
      <c r="O1552" t="s">
        <v>1815</v>
      </c>
      <c r="P1552" t="s">
        <v>1831</v>
      </c>
    </row>
    <row r="1553" spans="1:16" x14ac:dyDescent="0.3">
      <c r="A1553" t="s">
        <v>1564</v>
      </c>
      <c r="B1553" t="s">
        <v>1730</v>
      </c>
      <c r="C1553">
        <v>56</v>
      </c>
      <c r="D1553" t="s">
        <v>1783</v>
      </c>
      <c r="E1553" t="s">
        <v>1789</v>
      </c>
      <c r="F1553" t="s">
        <v>1798</v>
      </c>
      <c r="G1553" s="5">
        <v>71071</v>
      </c>
      <c r="H1553" t="s">
        <v>1804</v>
      </c>
      <c r="I1553" t="s">
        <v>1807</v>
      </c>
      <c r="J1553" s="2">
        <v>45241</v>
      </c>
      <c r="K1553">
        <f t="shared" ca="1" si="48"/>
        <v>2</v>
      </c>
      <c r="L1553">
        <f t="shared" ca="1" si="49"/>
        <v>0</v>
      </c>
      <c r="M1553" t="s">
        <v>1810</v>
      </c>
      <c r="N1553">
        <v>2</v>
      </c>
      <c r="O1553" t="s">
        <v>1817</v>
      </c>
      <c r="P1553" t="s">
        <v>1834</v>
      </c>
    </row>
    <row r="1554" spans="1:16" x14ac:dyDescent="0.3">
      <c r="A1554" t="s">
        <v>1565</v>
      </c>
      <c r="B1554" t="s">
        <v>1721</v>
      </c>
      <c r="C1554">
        <v>41</v>
      </c>
      <c r="D1554" t="s">
        <v>1784</v>
      </c>
      <c r="E1554" t="s">
        <v>1791</v>
      </c>
      <c r="F1554" t="s">
        <v>1798</v>
      </c>
      <c r="G1554" s="5">
        <v>93424</v>
      </c>
      <c r="H1554" t="s">
        <v>1803</v>
      </c>
      <c r="I1554" t="s">
        <v>1806</v>
      </c>
      <c r="J1554" s="2">
        <v>43345</v>
      </c>
      <c r="K1554">
        <f t="shared" ca="1" si="48"/>
        <v>7</v>
      </c>
      <c r="L1554">
        <f t="shared" ca="1" si="49"/>
        <v>3</v>
      </c>
      <c r="M1554" t="s">
        <v>1809</v>
      </c>
      <c r="N1554">
        <v>3</v>
      </c>
      <c r="O1554" t="s">
        <v>1817</v>
      </c>
      <c r="P1554" t="s">
        <v>1831</v>
      </c>
    </row>
    <row r="1555" spans="1:16" x14ac:dyDescent="0.3">
      <c r="A1555" t="s">
        <v>1566</v>
      </c>
      <c r="B1555" t="s">
        <v>1769</v>
      </c>
      <c r="C1555">
        <v>52</v>
      </c>
      <c r="D1555" t="s">
        <v>1783</v>
      </c>
      <c r="E1555" t="s">
        <v>1787</v>
      </c>
      <c r="F1555" t="s">
        <v>1796</v>
      </c>
      <c r="G1555" s="5">
        <v>66395</v>
      </c>
      <c r="H1555" t="s">
        <v>1801</v>
      </c>
      <c r="I1555" t="s">
        <v>1806</v>
      </c>
      <c r="J1555" s="2">
        <v>44443</v>
      </c>
      <c r="K1555">
        <f t="shared" ca="1" si="48"/>
        <v>4</v>
      </c>
      <c r="L1555">
        <f t="shared" ca="1" si="49"/>
        <v>3</v>
      </c>
      <c r="M1555" t="s">
        <v>1810</v>
      </c>
      <c r="N1555">
        <v>4</v>
      </c>
      <c r="O1555" t="s">
        <v>1817</v>
      </c>
      <c r="P1555" t="s">
        <v>1834</v>
      </c>
    </row>
    <row r="1556" spans="1:16" x14ac:dyDescent="0.3">
      <c r="A1556" t="s">
        <v>1567</v>
      </c>
      <c r="B1556" t="s">
        <v>1735</v>
      </c>
      <c r="C1556">
        <v>40</v>
      </c>
      <c r="D1556" t="s">
        <v>1784</v>
      </c>
      <c r="E1556" t="s">
        <v>1788</v>
      </c>
      <c r="F1556" t="s">
        <v>1798</v>
      </c>
      <c r="G1556" s="5">
        <v>52302</v>
      </c>
      <c r="H1556" t="s">
        <v>1801</v>
      </c>
      <c r="I1556" t="s">
        <v>1807</v>
      </c>
      <c r="J1556" s="2">
        <v>43693</v>
      </c>
      <c r="K1556">
        <f t="shared" ca="1" si="48"/>
        <v>6</v>
      </c>
      <c r="L1556">
        <f t="shared" ca="1" si="49"/>
        <v>3</v>
      </c>
      <c r="M1556" t="s">
        <v>1809</v>
      </c>
      <c r="N1556">
        <v>5</v>
      </c>
      <c r="O1556" t="s">
        <v>1813</v>
      </c>
      <c r="P1556" t="s">
        <v>1831</v>
      </c>
    </row>
    <row r="1557" spans="1:16" x14ac:dyDescent="0.3">
      <c r="A1557" t="s">
        <v>1568</v>
      </c>
      <c r="B1557" t="s">
        <v>1718</v>
      </c>
      <c r="C1557">
        <v>58</v>
      </c>
      <c r="D1557" t="s">
        <v>1784</v>
      </c>
      <c r="E1557" t="s">
        <v>1791</v>
      </c>
      <c r="F1557" t="s">
        <v>1798</v>
      </c>
      <c r="G1557" s="5">
        <v>24145</v>
      </c>
      <c r="H1557" t="s">
        <v>1805</v>
      </c>
      <c r="I1557" t="s">
        <v>1806</v>
      </c>
      <c r="J1557" s="2">
        <v>43804</v>
      </c>
      <c r="K1557">
        <f t="shared" ca="1" si="48"/>
        <v>6</v>
      </c>
      <c r="L1557">
        <f t="shared" ca="1" si="49"/>
        <v>0</v>
      </c>
      <c r="M1557" t="s">
        <v>1809</v>
      </c>
      <c r="N1557">
        <v>3</v>
      </c>
      <c r="O1557" t="s">
        <v>1818</v>
      </c>
      <c r="P1557" t="s">
        <v>1834</v>
      </c>
    </row>
    <row r="1558" spans="1:16" x14ac:dyDescent="0.3">
      <c r="A1558" t="s">
        <v>1569</v>
      </c>
      <c r="B1558" t="s">
        <v>1765</v>
      </c>
      <c r="C1558">
        <v>43</v>
      </c>
      <c r="D1558" t="s">
        <v>1783</v>
      </c>
      <c r="E1558" t="s">
        <v>1787</v>
      </c>
      <c r="F1558" t="s">
        <v>1797</v>
      </c>
      <c r="G1558" s="5">
        <v>58315</v>
      </c>
      <c r="H1558" t="s">
        <v>1804</v>
      </c>
      <c r="I1558" t="s">
        <v>1808</v>
      </c>
      <c r="J1558" s="2">
        <v>44296</v>
      </c>
      <c r="K1558">
        <f t="shared" ca="1" si="48"/>
        <v>4</v>
      </c>
      <c r="L1558">
        <f t="shared" ca="1" si="49"/>
        <v>8</v>
      </c>
      <c r="M1558" t="s">
        <v>1809</v>
      </c>
      <c r="N1558">
        <v>3</v>
      </c>
      <c r="O1558" t="s">
        <v>1817</v>
      </c>
      <c r="P1558" t="s">
        <v>1831</v>
      </c>
    </row>
    <row r="1559" spans="1:16" x14ac:dyDescent="0.3">
      <c r="A1559" t="s">
        <v>1570</v>
      </c>
      <c r="B1559" t="s">
        <v>1779</v>
      </c>
      <c r="C1559">
        <v>33</v>
      </c>
      <c r="D1559" t="s">
        <v>1785</v>
      </c>
      <c r="E1559" t="s">
        <v>1791</v>
      </c>
      <c r="F1559" t="s">
        <v>1795</v>
      </c>
      <c r="G1559" s="5">
        <v>65986</v>
      </c>
      <c r="H1559" t="s">
        <v>1802</v>
      </c>
      <c r="I1559" t="s">
        <v>1808</v>
      </c>
      <c r="J1559" s="2">
        <v>44387</v>
      </c>
      <c r="K1559">
        <f t="shared" ca="1" si="48"/>
        <v>4</v>
      </c>
      <c r="L1559">
        <f t="shared" ca="1" si="49"/>
        <v>5</v>
      </c>
      <c r="M1559" t="s">
        <v>1809</v>
      </c>
      <c r="N1559">
        <v>2</v>
      </c>
      <c r="O1559" t="s">
        <v>1811</v>
      </c>
      <c r="P1559" t="s">
        <v>1833</v>
      </c>
    </row>
    <row r="1560" spans="1:16" x14ac:dyDescent="0.3">
      <c r="A1560" t="s">
        <v>1571</v>
      </c>
      <c r="B1560" t="s">
        <v>1755</v>
      </c>
      <c r="C1560">
        <v>40</v>
      </c>
      <c r="D1560" t="s">
        <v>1783</v>
      </c>
      <c r="E1560" t="s">
        <v>1792</v>
      </c>
      <c r="F1560" t="s">
        <v>1796</v>
      </c>
      <c r="G1560" s="5">
        <v>99365</v>
      </c>
      <c r="H1560" t="s">
        <v>1802</v>
      </c>
      <c r="I1560" t="s">
        <v>1806</v>
      </c>
      <c r="J1560" s="2">
        <v>45978</v>
      </c>
      <c r="K1560">
        <f t="shared" ca="1" si="48"/>
        <v>0</v>
      </c>
      <c r="L1560">
        <f t="shared" ca="1" si="49"/>
        <v>0</v>
      </c>
      <c r="M1560" t="s">
        <v>1809</v>
      </c>
      <c r="N1560">
        <v>3</v>
      </c>
      <c r="O1560" t="s">
        <v>1813</v>
      </c>
      <c r="P1560" t="s">
        <v>1831</v>
      </c>
    </row>
    <row r="1561" spans="1:16" x14ac:dyDescent="0.3">
      <c r="A1561" t="s">
        <v>1572</v>
      </c>
      <c r="B1561" t="s">
        <v>1720</v>
      </c>
      <c r="C1561">
        <v>42</v>
      </c>
      <c r="D1561" t="s">
        <v>1783</v>
      </c>
      <c r="E1561" t="s">
        <v>1790</v>
      </c>
      <c r="F1561" t="s">
        <v>1795</v>
      </c>
      <c r="G1561" s="5">
        <v>68191</v>
      </c>
      <c r="H1561" t="s">
        <v>1805</v>
      </c>
      <c r="I1561" t="s">
        <v>1807</v>
      </c>
      <c r="J1561" s="2">
        <v>45289</v>
      </c>
      <c r="K1561">
        <f t="shared" ca="1" si="48"/>
        <v>2</v>
      </c>
      <c r="L1561">
        <f t="shared" ca="1" si="49"/>
        <v>11</v>
      </c>
      <c r="M1561" t="s">
        <v>1810</v>
      </c>
      <c r="N1561">
        <v>5</v>
      </c>
      <c r="O1561" t="s">
        <v>1818</v>
      </c>
      <c r="P1561" t="s">
        <v>1831</v>
      </c>
    </row>
    <row r="1562" spans="1:16" x14ac:dyDescent="0.3">
      <c r="A1562" t="s">
        <v>1573</v>
      </c>
      <c r="B1562" t="s">
        <v>1760</v>
      </c>
      <c r="C1562">
        <v>28</v>
      </c>
      <c r="D1562" t="s">
        <v>1784</v>
      </c>
      <c r="E1562" t="s">
        <v>1792</v>
      </c>
      <c r="F1562" t="s">
        <v>1796</v>
      </c>
      <c r="G1562" s="5">
        <v>53609</v>
      </c>
      <c r="H1562" t="s">
        <v>1802</v>
      </c>
      <c r="I1562" t="s">
        <v>1807</v>
      </c>
      <c r="J1562" s="2">
        <v>45897</v>
      </c>
      <c r="K1562">
        <f t="shared" ca="1" si="48"/>
        <v>0</v>
      </c>
      <c r="L1562">
        <f t="shared" ca="1" si="49"/>
        <v>3</v>
      </c>
      <c r="M1562" t="s">
        <v>1810</v>
      </c>
      <c r="N1562">
        <v>4</v>
      </c>
      <c r="O1562" t="s">
        <v>1816</v>
      </c>
      <c r="P1562" t="s">
        <v>1833</v>
      </c>
    </row>
    <row r="1563" spans="1:16" x14ac:dyDescent="0.3">
      <c r="A1563" t="s">
        <v>1574</v>
      </c>
      <c r="B1563" t="s">
        <v>1738</v>
      </c>
      <c r="C1563">
        <v>55</v>
      </c>
      <c r="D1563" t="s">
        <v>1784</v>
      </c>
      <c r="E1563" t="s">
        <v>1787</v>
      </c>
      <c r="F1563" t="s">
        <v>1796</v>
      </c>
      <c r="G1563" s="5">
        <v>25650</v>
      </c>
      <c r="H1563" t="s">
        <v>1805</v>
      </c>
      <c r="I1563" t="s">
        <v>1806</v>
      </c>
      <c r="J1563" s="2">
        <v>44139</v>
      </c>
      <c r="K1563">
        <f t="shared" ca="1" si="48"/>
        <v>5</v>
      </c>
      <c r="L1563">
        <f t="shared" ca="1" si="49"/>
        <v>1</v>
      </c>
      <c r="M1563" t="s">
        <v>1810</v>
      </c>
      <c r="N1563">
        <v>5</v>
      </c>
      <c r="O1563" t="s">
        <v>1812</v>
      </c>
      <c r="P1563" t="s">
        <v>1834</v>
      </c>
    </row>
    <row r="1564" spans="1:16" x14ac:dyDescent="0.3">
      <c r="A1564" t="s">
        <v>1575</v>
      </c>
      <c r="B1564" t="s">
        <v>1766</v>
      </c>
      <c r="C1564">
        <v>30</v>
      </c>
      <c r="D1564" t="s">
        <v>1783</v>
      </c>
      <c r="E1564" t="s">
        <v>1790</v>
      </c>
      <c r="F1564" t="s">
        <v>1796</v>
      </c>
      <c r="G1564" s="5">
        <v>110550</v>
      </c>
      <c r="H1564" t="s">
        <v>1805</v>
      </c>
      <c r="I1564" t="s">
        <v>1808</v>
      </c>
      <c r="J1564" s="2">
        <v>45472</v>
      </c>
      <c r="K1564">
        <f t="shared" ca="1" si="48"/>
        <v>1</v>
      </c>
      <c r="L1564">
        <f t="shared" ca="1" si="49"/>
        <v>5</v>
      </c>
      <c r="M1564" t="s">
        <v>1810</v>
      </c>
      <c r="N1564">
        <v>5</v>
      </c>
      <c r="O1564" t="s">
        <v>1817</v>
      </c>
      <c r="P1564" t="s">
        <v>1833</v>
      </c>
    </row>
    <row r="1565" spans="1:16" x14ac:dyDescent="0.3">
      <c r="A1565" t="s">
        <v>1576</v>
      </c>
      <c r="B1565" t="s">
        <v>1770</v>
      </c>
      <c r="C1565">
        <v>43</v>
      </c>
      <c r="D1565" t="s">
        <v>1784</v>
      </c>
      <c r="E1565" t="s">
        <v>1788</v>
      </c>
      <c r="F1565" t="s">
        <v>1795</v>
      </c>
      <c r="G1565" s="5">
        <v>41301</v>
      </c>
      <c r="H1565" t="s">
        <v>1802</v>
      </c>
      <c r="I1565" t="s">
        <v>1808</v>
      </c>
      <c r="J1565" s="2">
        <v>44954</v>
      </c>
      <c r="K1565">
        <f t="shared" ca="1" si="48"/>
        <v>2</v>
      </c>
      <c r="L1565">
        <f t="shared" ca="1" si="49"/>
        <v>10</v>
      </c>
      <c r="M1565" t="s">
        <v>1809</v>
      </c>
      <c r="N1565">
        <v>1</v>
      </c>
      <c r="O1565" t="s">
        <v>1811</v>
      </c>
      <c r="P1565" t="s">
        <v>1831</v>
      </c>
    </row>
    <row r="1566" spans="1:16" x14ac:dyDescent="0.3">
      <c r="A1566" t="s">
        <v>1577</v>
      </c>
      <c r="B1566" t="s">
        <v>1724</v>
      </c>
      <c r="C1566">
        <v>28</v>
      </c>
      <c r="D1566" t="s">
        <v>1783</v>
      </c>
      <c r="E1566" t="s">
        <v>1792</v>
      </c>
      <c r="F1566" t="s">
        <v>1798</v>
      </c>
      <c r="G1566" s="5">
        <v>23619</v>
      </c>
      <c r="H1566" t="s">
        <v>1804</v>
      </c>
      <c r="I1566" t="s">
        <v>1808</v>
      </c>
      <c r="J1566" s="2">
        <v>45056</v>
      </c>
      <c r="K1566">
        <f t="shared" ca="1" si="48"/>
        <v>2</v>
      </c>
      <c r="L1566">
        <f t="shared" ca="1" si="49"/>
        <v>7</v>
      </c>
      <c r="M1566" t="s">
        <v>1809</v>
      </c>
      <c r="N1566">
        <v>5</v>
      </c>
      <c r="O1566" t="s">
        <v>1815</v>
      </c>
      <c r="P1566" t="s">
        <v>1833</v>
      </c>
    </row>
    <row r="1567" spans="1:16" x14ac:dyDescent="0.3">
      <c r="A1567" t="s">
        <v>1578</v>
      </c>
      <c r="B1567" t="s">
        <v>1769</v>
      </c>
      <c r="C1567">
        <v>28</v>
      </c>
      <c r="D1567" t="s">
        <v>1785</v>
      </c>
      <c r="E1567" t="s">
        <v>1793</v>
      </c>
      <c r="F1567" t="s">
        <v>1799</v>
      </c>
      <c r="G1567" s="5">
        <v>60726</v>
      </c>
      <c r="H1567" t="s">
        <v>1804</v>
      </c>
      <c r="I1567" t="s">
        <v>1807</v>
      </c>
      <c r="J1567" s="2">
        <v>43291</v>
      </c>
      <c r="K1567">
        <f t="shared" ca="1" si="48"/>
        <v>7</v>
      </c>
      <c r="L1567">
        <f t="shared" ca="1" si="49"/>
        <v>5</v>
      </c>
      <c r="M1567" t="s">
        <v>1809</v>
      </c>
      <c r="N1567">
        <v>3</v>
      </c>
      <c r="O1567" t="s">
        <v>1817</v>
      </c>
      <c r="P1567" t="s">
        <v>1833</v>
      </c>
    </row>
    <row r="1568" spans="1:16" x14ac:dyDescent="0.3">
      <c r="A1568" t="s">
        <v>1579</v>
      </c>
      <c r="B1568" t="s">
        <v>1726</v>
      </c>
      <c r="C1568">
        <v>53</v>
      </c>
      <c r="D1568" t="s">
        <v>1783</v>
      </c>
      <c r="E1568" t="s">
        <v>1787</v>
      </c>
      <c r="F1568" t="s">
        <v>1794</v>
      </c>
      <c r="G1568" s="5">
        <v>90816</v>
      </c>
      <c r="H1568" t="s">
        <v>1802</v>
      </c>
      <c r="I1568" t="s">
        <v>1806</v>
      </c>
      <c r="J1568" s="2">
        <v>42849</v>
      </c>
      <c r="K1568">
        <f t="shared" ca="1" si="48"/>
        <v>8</v>
      </c>
      <c r="L1568">
        <f t="shared" ca="1" si="49"/>
        <v>7</v>
      </c>
      <c r="M1568" t="s">
        <v>1810</v>
      </c>
      <c r="N1568">
        <v>3</v>
      </c>
      <c r="O1568" t="s">
        <v>1814</v>
      </c>
      <c r="P1568" t="s">
        <v>1834</v>
      </c>
    </row>
    <row r="1569" spans="1:16" x14ac:dyDescent="0.3">
      <c r="A1569" t="s">
        <v>1580</v>
      </c>
      <c r="B1569" t="s">
        <v>1771</v>
      </c>
      <c r="C1569">
        <v>44</v>
      </c>
      <c r="D1569" t="s">
        <v>1784</v>
      </c>
      <c r="E1569" t="s">
        <v>1790</v>
      </c>
      <c r="F1569" t="s">
        <v>1800</v>
      </c>
      <c r="G1569" s="5">
        <v>36883</v>
      </c>
      <c r="H1569" t="s">
        <v>1802</v>
      </c>
      <c r="I1569" t="s">
        <v>1808</v>
      </c>
      <c r="J1569" s="2">
        <v>44277</v>
      </c>
      <c r="K1569">
        <f t="shared" ca="1" si="48"/>
        <v>4</v>
      </c>
      <c r="L1569">
        <f t="shared" ca="1" si="49"/>
        <v>8</v>
      </c>
      <c r="M1569" t="s">
        <v>1810</v>
      </c>
      <c r="N1569">
        <v>3</v>
      </c>
      <c r="O1569" t="s">
        <v>1811</v>
      </c>
      <c r="P1569" t="s">
        <v>1831</v>
      </c>
    </row>
    <row r="1570" spans="1:16" x14ac:dyDescent="0.3">
      <c r="A1570" t="s">
        <v>1581</v>
      </c>
      <c r="B1570" t="s">
        <v>1749</v>
      </c>
      <c r="C1570">
        <v>20</v>
      </c>
      <c r="D1570" t="s">
        <v>1783</v>
      </c>
      <c r="E1570" t="s">
        <v>1789</v>
      </c>
      <c r="F1570" t="s">
        <v>1794</v>
      </c>
      <c r="G1570" s="5">
        <v>85543</v>
      </c>
      <c r="H1570" t="s">
        <v>1802</v>
      </c>
      <c r="I1570" t="s">
        <v>1808</v>
      </c>
      <c r="J1570" s="2">
        <v>43617</v>
      </c>
      <c r="K1570">
        <f t="shared" ca="1" si="48"/>
        <v>6</v>
      </c>
      <c r="L1570">
        <f t="shared" ca="1" si="49"/>
        <v>6</v>
      </c>
      <c r="M1570" t="s">
        <v>1809</v>
      </c>
      <c r="N1570">
        <v>1</v>
      </c>
      <c r="O1570" t="s">
        <v>1815</v>
      </c>
      <c r="P1570" t="s">
        <v>1832</v>
      </c>
    </row>
    <row r="1571" spans="1:16" x14ac:dyDescent="0.3">
      <c r="A1571" t="s">
        <v>1582</v>
      </c>
      <c r="B1571" t="s">
        <v>1749</v>
      </c>
      <c r="C1571">
        <v>54</v>
      </c>
      <c r="D1571" t="s">
        <v>1783</v>
      </c>
      <c r="E1571" t="s">
        <v>1791</v>
      </c>
      <c r="F1571" t="s">
        <v>1799</v>
      </c>
      <c r="G1571" s="5">
        <v>42959</v>
      </c>
      <c r="H1571" t="s">
        <v>1801</v>
      </c>
      <c r="I1571" t="s">
        <v>1807</v>
      </c>
      <c r="J1571" s="2">
        <v>43257</v>
      </c>
      <c r="K1571">
        <f t="shared" ca="1" si="48"/>
        <v>7</v>
      </c>
      <c r="L1571">
        <f t="shared" ca="1" si="49"/>
        <v>6</v>
      </c>
      <c r="M1571" t="s">
        <v>1809</v>
      </c>
      <c r="N1571">
        <v>1</v>
      </c>
      <c r="O1571" t="s">
        <v>1814</v>
      </c>
      <c r="P1571" t="s">
        <v>1834</v>
      </c>
    </row>
    <row r="1572" spans="1:16" x14ac:dyDescent="0.3">
      <c r="A1572" t="s">
        <v>1583</v>
      </c>
      <c r="B1572" t="s">
        <v>1736</v>
      </c>
      <c r="C1572">
        <v>23</v>
      </c>
      <c r="D1572" t="s">
        <v>1784</v>
      </c>
      <c r="E1572" t="s">
        <v>1792</v>
      </c>
      <c r="F1572" t="s">
        <v>1795</v>
      </c>
      <c r="G1572" s="5">
        <v>29776</v>
      </c>
      <c r="H1572" t="s">
        <v>1802</v>
      </c>
      <c r="I1572" t="s">
        <v>1808</v>
      </c>
      <c r="J1572" s="2">
        <v>43512</v>
      </c>
      <c r="K1572">
        <f t="shared" ca="1" si="48"/>
        <v>6</v>
      </c>
      <c r="L1572">
        <f t="shared" ca="1" si="49"/>
        <v>9</v>
      </c>
      <c r="M1572" t="s">
        <v>1810</v>
      </c>
      <c r="N1572">
        <v>2</v>
      </c>
      <c r="O1572" t="s">
        <v>1815</v>
      </c>
      <c r="P1572" t="s">
        <v>1832</v>
      </c>
    </row>
    <row r="1573" spans="1:16" x14ac:dyDescent="0.3">
      <c r="A1573" t="s">
        <v>1584</v>
      </c>
      <c r="B1573" t="s">
        <v>1748</v>
      </c>
      <c r="C1573">
        <v>42</v>
      </c>
      <c r="D1573" t="s">
        <v>1783</v>
      </c>
      <c r="E1573" t="s">
        <v>1791</v>
      </c>
      <c r="F1573" t="s">
        <v>1800</v>
      </c>
      <c r="G1573" s="5">
        <v>118523</v>
      </c>
      <c r="H1573" t="s">
        <v>1803</v>
      </c>
      <c r="I1573" t="s">
        <v>1806</v>
      </c>
      <c r="J1573" s="2">
        <v>45330</v>
      </c>
      <c r="K1573">
        <f t="shared" ca="1" si="48"/>
        <v>1</v>
      </c>
      <c r="L1573">
        <f t="shared" ca="1" si="49"/>
        <v>10</v>
      </c>
      <c r="M1573" t="s">
        <v>1809</v>
      </c>
      <c r="N1573">
        <v>4</v>
      </c>
      <c r="O1573" t="s">
        <v>1816</v>
      </c>
      <c r="P1573" t="s">
        <v>1831</v>
      </c>
    </row>
    <row r="1574" spans="1:16" x14ac:dyDescent="0.3">
      <c r="A1574" t="s">
        <v>1585</v>
      </c>
      <c r="B1574" t="s">
        <v>1738</v>
      </c>
      <c r="C1574">
        <v>50</v>
      </c>
      <c r="D1574" t="s">
        <v>1784</v>
      </c>
      <c r="E1574" t="s">
        <v>1789</v>
      </c>
      <c r="F1574" t="s">
        <v>1794</v>
      </c>
      <c r="G1574" s="5">
        <v>52123</v>
      </c>
      <c r="H1574" t="s">
        <v>1804</v>
      </c>
      <c r="I1574" t="s">
        <v>1806</v>
      </c>
      <c r="J1574" s="2">
        <v>45009</v>
      </c>
      <c r="K1574">
        <f t="shared" ca="1" si="48"/>
        <v>2</v>
      </c>
      <c r="L1574">
        <f t="shared" ca="1" si="49"/>
        <v>8</v>
      </c>
      <c r="M1574" t="s">
        <v>1810</v>
      </c>
      <c r="N1574">
        <v>4</v>
      </c>
      <c r="O1574" t="s">
        <v>1816</v>
      </c>
      <c r="P1574" t="s">
        <v>1834</v>
      </c>
    </row>
    <row r="1575" spans="1:16" x14ac:dyDescent="0.3">
      <c r="A1575" t="s">
        <v>1586</v>
      </c>
      <c r="B1575" t="s">
        <v>1782</v>
      </c>
      <c r="C1575">
        <v>56</v>
      </c>
      <c r="D1575" t="s">
        <v>1783</v>
      </c>
      <c r="E1575" t="s">
        <v>1789</v>
      </c>
      <c r="F1575" t="s">
        <v>1795</v>
      </c>
      <c r="G1575" s="5">
        <v>36670</v>
      </c>
      <c r="H1575" t="s">
        <v>1801</v>
      </c>
      <c r="I1575" t="s">
        <v>1806</v>
      </c>
      <c r="J1575" s="2">
        <v>45783</v>
      </c>
      <c r="K1575">
        <f t="shared" ca="1" si="48"/>
        <v>0</v>
      </c>
      <c r="L1575">
        <f t="shared" ca="1" si="49"/>
        <v>7</v>
      </c>
      <c r="M1575" t="s">
        <v>1810</v>
      </c>
      <c r="N1575">
        <v>4</v>
      </c>
      <c r="O1575" t="s">
        <v>1815</v>
      </c>
      <c r="P1575" t="s">
        <v>1834</v>
      </c>
    </row>
    <row r="1576" spans="1:16" x14ac:dyDescent="0.3">
      <c r="A1576" t="s">
        <v>1587</v>
      </c>
      <c r="B1576" t="s">
        <v>1718</v>
      </c>
      <c r="C1576">
        <v>23</v>
      </c>
      <c r="D1576" t="s">
        <v>1785</v>
      </c>
      <c r="E1576" t="s">
        <v>1791</v>
      </c>
      <c r="F1576" t="s">
        <v>1800</v>
      </c>
      <c r="G1576" s="5">
        <v>112147</v>
      </c>
      <c r="H1576" t="s">
        <v>1801</v>
      </c>
      <c r="I1576" t="s">
        <v>1806</v>
      </c>
      <c r="J1576" s="2">
        <v>44358</v>
      </c>
      <c r="K1576">
        <f t="shared" ca="1" si="48"/>
        <v>4</v>
      </c>
      <c r="L1576">
        <f t="shared" ca="1" si="49"/>
        <v>5</v>
      </c>
      <c r="M1576" t="s">
        <v>1809</v>
      </c>
      <c r="N1576">
        <v>1</v>
      </c>
      <c r="O1576" t="s">
        <v>1812</v>
      </c>
      <c r="P1576" t="s">
        <v>1832</v>
      </c>
    </row>
    <row r="1577" spans="1:16" x14ac:dyDescent="0.3">
      <c r="A1577" t="s">
        <v>1588</v>
      </c>
      <c r="B1577" t="s">
        <v>1732</v>
      </c>
      <c r="C1577">
        <v>48</v>
      </c>
      <c r="D1577" t="s">
        <v>1785</v>
      </c>
      <c r="E1577" t="s">
        <v>1786</v>
      </c>
      <c r="F1577" t="s">
        <v>1794</v>
      </c>
      <c r="G1577" s="5">
        <v>91988</v>
      </c>
      <c r="H1577" t="s">
        <v>1805</v>
      </c>
      <c r="I1577" t="s">
        <v>1807</v>
      </c>
      <c r="J1577" s="2">
        <v>45869</v>
      </c>
      <c r="K1577">
        <f t="shared" ca="1" si="48"/>
        <v>0</v>
      </c>
      <c r="L1577">
        <f t="shared" ca="1" si="49"/>
        <v>4</v>
      </c>
      <c r="M1577" t="s">
        <v>1809</v>
      </c>
      <c r="N1577">
        <v>3</v>
      </c>
      <c r="O1577" t="s">
        <v>1816</v>
      </c>
      <c r="P1577" t="s">
        <v>1834</v>
      </c>
    </row>
    <row r="1578" spans="1:16" x14ac:dyDescent="0.3">
      <c r="A1578" t="s">
        <v>1589</v>
      </c>
      <c r="B1578" t="s">
        <v>1776</v>
      </c>
      <c r="C1578">
        <v>56</v>
      </c>
      <c r="D1578" t="s">
        <v>1785</v>
      </c>
      <c r="E1578" t="s">
        <v>1786</v>
      </c>
      <c r="F1578" t="s">
        <v>1800</v>
      </c>
      <c r="G1578" s="5">
        <v>115123</v>
      </c>
      <c r="H1578" t="s">
        <v>1802</v>
      </c>
      <c r="I1578" t="s">
        <v>1807</v>
      </c>
      <c r="J1578" s="2">
        <v>45439</v>
      </c>
      <c r="K1578">
        <f t="shared" ca="1" si="48"/>
        <v>1</v>
      </c>
      <c r="L1578">
        <f t="shared" ca="1" si="49"/>
        <v>6</v>
      </c>
      <c r="M1578" t="s">
        <v>1810</v>
      </c>
      <c r="N1578">
        <v>3</v>
      </c>
      <c r="O1578" t="s">
        <v>1813</v>
      </c>
      <c r="P1578" t="s">
        <v>1834</v>
      </c>
    </row>
    <row r="1579" spans="1:16" x14ac:dyDescent="0.3">
      <c r="A1579" t="s">
        <v>1590</v>
      </c>
      <c r="B1579" t="s">
        <v>1734</v>
      </c>
      <c r="C1579">
        <v>55</v>
      </c>
      <c r="D1579" t="s">
        <v>1785</v>
      </c>
      <c r="E1579" t="s">
        <v>1791</v>
      </c>
      <c r="F1579" t="s">
        <v>1798</v>
      </c>
      <c r="G1579" s="5">
        <v>48992</v>
      </c>
      <c r="H1579" t="s">
        <v>1804</v>
      </c>
      <c r="I1579" t="s">
        <v>1806</v>
      </c>
      <c r="J1579" s="2">
        <v>43927</v>
      </c>
      <c r="K1579">
        <f t="shared" ca="1" si="48"/>
        <v>5</v>
      </c>
      <c r="L1579">
        <f t="shared" ca="1" si="49"/>
        <v>8</v>
      </c>
      <c r="M1579" t="s">
        <v>1809</v>
      </c>
      <c r="N1579">
        <v>5</v>
      </c>
      <c r="O1579" t="s">
        <v>1815</v>
      </c>
      <c r="P1579" t="s">
        <v>1834</v>
      </c>
    </row>
    <row r="1580" spans="1:16" x14ac:dyDescent="0.3">
      <c r="A1580" t="s">
        <v>1591</v>
      </c>
      <c r="B1580" t="s">
        <v>1753</v>
      </c>
      <c r="C1580">
        <v>39</v>
      </c>
      <c r="D1580" t="s">
        <v>1784</v>
      </c>
      <c r="E1580" t="s">
        <v>1787</v>
      </c>
      <c r="F1580" t="s">
        <v>1800</v>
      </c>
      <c r="G1580" s="5">
        <v>34011</v>
      </c>
      <c r="H1580" t="s">
        <v>1803</v>
      </c>
      <c r="I1580" t="s">
        <v>1806</v>
      </c>
      <c r="J1580" s="2">
        <v>45484</v>
      </c>
      <c r="K1580">
        <f t="shared" ca="1" si="48"/>
        <v>1</v>
      </c>
      <c r="L1580">
        <f t="shared" ca="1" si="49"/>
        <v>4</v>
      </c>
      <c r="M1580" t="s">
        <v>1810</v>
      </c>
      <c r="N1580">
        <v>2</v>
      </c>
      <c r="O1580" t="s">
        <v>1816</v>
      </c>
      <c r="P1580" t="s">
        <v>1831</v>
      </c>
    </row>
    <row r="1581" spans="1:16" x14ac:dyDescent="0.3">
      <c r="A1581" t="s">
        <v>1592</v>
      </c>
      <c r="B1581" t="s">
        <v>1754</v>
      </c>
      <c r="C1581">
        <v>35</v>
      </c>
      <c r="D1581" t="s">
        <v>1783</v>
      </c>
      <c r="E1581" t="s">
        <v>1789</v>
      </c>
      <c r="F1581" t="s">
        <v>1799</v>
      </c>
      <c r="G1581" s="5">
        <v>52214</v>
      </c>
      <c r="H1581" t="s">
        <v>1804</v>
      </c>
      <c r="I1581" t="s">
        <v>1806</v>
      </c>
      <c r="J1581" s="2">
        <v>45758</v>
      </c>
      <c r="K1581">
        <f t="shared" ca="1" si="48"/>
        <v>0</v>
      </c>
      <c r="L1581">
        <f t="shared" ca="1" si="49"/>
        <v>7</v>
      </c>
      <c r="M1581" t="s">
        <v>1810</v>
      </c>
      <c r="N1581">
        <v>5</v>
      </c>
      <c r="O1581" t="s">
        <v>1813</v>
      </c>
      <c r="P1581" t="s">
        <v>1833</v>
      </c>
    </row>
    <row r="1582" spans="1:16" x14ac:dyDescent="0.3">
      <c r="A1582" t="s">
        <v>1593</v>
      </c>
      <c r="B1582" t="s">
        <v>1781</v>
      </c>
      <c r="C1582">
        <v>58</v>
      </c>
      <c r="D1582" t="s">
        <v>1785</v>
      </c>
      <c r="E1582" t="s">
        <v>1790</v>
      </c>
      <c r="F1582" t="s">
        <v>1798</v>
      </c>
      <c r="G1582" s="5">
        <v>18352</v>
      </c>
      <c r="H1582" t="s">
        <v>1805</v>
      </c>
      <c r="I1582" t="s">
        <v>1807</v>
      </c>
      <c r="J1582" s="2">
        <v>44240</v>
      </c>
      <c r="K1582">
        <f t="shared" ca="1" si="48"/>
        <v>4</v>
      </c>
      <c r="L1582">
        <f t="shared" ca="1" si="49"/>
        <v>9</v>
      </c>
      <c r="M1582" t="s">
        <v>1809</v>
      </c>
      <c r="N1582">
        <v>2</v>
      </c>
      <c r="O1582" t="s">
        <v>1818</v>
      </c>
      <c r="P1582" t="s">
        <v>1834</v>
      </c>
    </row>
    <row r="1583" spans="1:16" x14ac:dyDescent="0.3">
      <c r="A1583" t="s">
        <v>1594</v>
      </c>
      <c r="B1583" t="s">
        <v>1722</v>
      </c>
      <c r="C1583">
        <v>58</v>
      </c>
      <c r="D1583" t="s">
        <v>1784</v>
      </c>
      <c r="E1583" t="s">
        <v>1790</v>
      </c>
      <c r="F1583" t="s">
        <v>1797</v>
      </c>
      <c r="G1583" s="5">
        <v>112209</v>
      </c>
      <c r="H1583" t="s">
        <v>1802</v>
      </c>
      <c r="I1583" t="s">
        <v>1808</v>
      </c>
      <c r="J1583" s="2">
        <v>45337</v>
      </c>
      <c r="K1583">
        <f t="shared" ca="1" si="48"/>
        <v>1</v>
      </c>
      <c r="L1583">
        <f t="shared" ca="1" si="49"/>
        <v>9</v>
      </c>
      <c r="M1583" t="s">
        <v>1810</v>
      </c>
      <c r="N1583">
        <v>2</v>
      </c>
      <c r="O1583" t="s">
        <v>1815</v>
      </c>
      <c r="P1583" t="s">
        <v>1834</v>
      </c>
    </row>
    <row r="1584" spans="1:16" x14ac:dyDescent="0.3">
      <c r="A1584" t="s">
        <v>1595</v>
      </c>
      <c r="B1584" t="s">
        <v>1776</v>
      </c>
      <c r="C1584">
        <v>21</v>
      </c>
      <c r="D1584" t="s">
        <v>1785</v>
      </c>
      <c r="E1584" t="s">
        <v>1793</v>
      </c>
      <c r="F1584" t="s">
        <v>1799</v>
      </c>
      <c r="G1584" s="5">
        <v>35657</v>
      </c>
      <c r="H1584" t="s">
        <v>1804</v>
      </c>
      <c r="I1584" t="s">
        <v>1808</v>
      </c>
      <c r="J1584" s="2">
        <v>45424</v>
      </c>
      <c r="K1584">
        <f t="shared" ca="1" si="48"/>
        <v>1</v>
      </c>
      <c r="L1584">
        <f t="shared" ca="1" si="49"/>
        <v>6</v>
      </c>
      <c r="M1584" t="s">
        <v>1809</v>
      </c>
      <c r="N1584">
        <v>5</v>
      </c>
      <c r="O1584" t="s">
        <v>1815</v>
      </c>
      <c r="P1584" t="s">
        <v>1832</v>
      </c>
    </row>
    <row r="1585" spans="1:16" x14ac:dyDescent="0.3">
      <c r="A1585" t="s">
        <v>1596</v>
      </c>
      <c r="B1585" t="s">
        <v>1761</v>
      </c>
      <c r="C1585">
        <v>22</v>
      </c>
      <c r="D1585" t="s">
        <v>1784</v>
      </c>
      <c r="E1585" t="s">
        <v>1790</v>
      </c>
      <c r="F1585" t="s">
        <v>1799</v>
      </c>
      <c r="G1585" s="5">
        <v>97505</v>
      </c>
      <c r="H1585" t="s">
        <v>1803</v>
      </c>
      <c r="I1585" t="s">
        <v>1806</v>
      </c>
      <c r="J1585" s="2">
        <v>44500</v>
      </c>
      <c r="K1585">
        <f t="shared" ca="1" si="48"/>
        <v>4</v>
      </c>
      <c r="L1585">
        <f t="shared" ca="1" si="49"/>
        <v>1</v>
      </c>
      <c r="M1585" t="s">
        <v>1810</v>
      </c>
      <c r="N1585">
        <v>3</v>
      </c>
      <c r="O1585" t="s">
        <v>1815</v>
      </c>
      <c r="P1585" t="s">
        <v>1832</v>
      </c>
    </row>
    <row r="1586" spans="1:16" x14ac:dyDescent="0.3">
      <c r="A1586" t="s">
        <v>1597</v>
      </c>
      <c r="B1586" t="s">
        <v>1758</v>
      </c>
      <c r="C1586">
        <v>52</v>
      </c>
      <c r="D1586" t="s">
        <v>1784</v>
      </c>
      <c r="E1586" t="s">
        <v>1791</v>
      </c>
      <c r="F1586" t="s">
        <v>1794</v>
      </c>
      <c r="G1586" s="5">
        <v>49037</v>
      </c>
      <c r="H1586" t="s">
        <v>1805</v>
      </c>
      <c r="I1586" t="s">
        <v>1808</v>
      </c>
      <c r="J1586" s="2">
        <v>42687</v>
      </c>
      <c r="K1586">
        <f t="shared" ca="1" si="48"/>
        <v>9</v>
      </c>
      <c r="L1586">
        <f t="shared" ca="1" si="49"/>
        <v>0</v>
      </c>
      <c r="M1586" t="s">
        <v>1809</v>
      </c>
      <c r="N1586">
        <v>2</v>
      </c>
      <c r="O1586" t="s">
        <v>1818</v>
      </c>
      <c r="P1586" t="s">
        <v>1834</v>
      </c>
    </row>
    <row r="1587" spans="1:16" x14ac:dyDescent="0.3">
      <c r="A1587" t="s">
        <v>1598</v>
      </c>
      <c r="B1587" t="s">
        <v>1766</v>
      </c>
      <c r="C1587">
        <v>35</v>
      </c>
      <c r="D1587" t="s">
        <v>1784</v>
      </c>
      <c r="E1587" t="s">
        <v>1793</v>
      </c>
      <c r="F1587" t="s">
        <v>1799</v>
      </c>
      <c r="G1587" s="5">
        <v>93060</v>
      </c>
      <c r="H1587" t="s">
        <v>1805</v>
      </c>
      <c r="I1587" t="s">
        <v>1808</v>
      </c>
      <c r="J1587" s="2">
        <v>42886</v>
      </c>
      <c r="K1587">
        <f t="shared" ca="1" si="48"/>
        <v>8</v>
      </c>
      <c r="L1587">
        <f t="shared" ca="1" si="49"/>
        <v>6</v>
      </c>
      <c r="M1587" t="s">
        <v>1810</v>
      </c>
      <c r="N1587">
        <v>1</v>
      </c>
      <c r="O1587" t="s">
        <v>1817</v>
      </c>
      <c r="P1587" t="s">
        <v>1833</v>
      </c>
    </row>
    <row r="1588" spans="1:16" x14ac:dyDescent="0.3">
      <c r="A1588" t="s">
        <v>1599</v>
      </c>
      <c r="B1588" t="s">
        <v>1776</v>
      </c>
      <c r="C1588">
        <v>56</v>
      </c>
      <c r="D1588" t="s">
        <v>1783</v>
      </c>
      <c r="E1588" t="s">
        <v>1792</v>
      </c>
      <c r="F1588" t="s">
        <v>1794</v>
      </c>
      <c r="G1588" s="5">
        <v>37557</v>
      </c>
      <c r="H1588" t="s">
        <v>1805</v>
      </c>
      <c r="I1588" t="s">
        <v>1807</v>
      </c>
      <c r="J1588" s="2">
        <v>45629</v>
      </c>
      <c r="K1588">
        <f t="shared" ca="1" si="48"/>
        <v>1</v>
      </c>
      <c r="L1588">
        <f t="shared" ca="1" si="49"/>
        <v>0</v>
      </c>
      <c r="M1588" t="s">
        <v>1810</v>
      </c>
      <c r="N1588">
        <v>1</v>
      </c>
      <c r="O1588" t="s">
        <v>1813</v>
      </c>
      <c r="P1588" t="s">
        <v>1834</v>
      </c>
    </row>
    <row r="1589" spans="1:16" x14ac:dyDescent="0.3">
      <c r="A1589" t="s">
        <v>1600</v>
      </c>
      <c r="B1589" t="s">
        <v>1734</v>
      </c>
      <c r="C1589">
        <v>50</v>
      </c>
      <c r="D1589" t="s">
        <v>1784</v>
      </c>
      <c r="E1589" t="s">
        <v>1786</v>
      </c>
      <c r="F1589" t="s">
        <v>1795</v>
      </c>
      <c r="G1589" s="5">
        <v>25430</v>
      </c>
      <c r="H1589" t="s">
        <v>1802</v>
      </c>
      <c r="I1589" t="s">
        <v>1807</v>
      </c>
      <c r="J1589" s="2">
        <v>44799</v>
      </c>
      <c r="K1589">
        <f t="shared" ca="1" si="48"/>
        <v>3</v>
      </c>
      <c r="L1589">
        <f t="shared" ca="1" si="49"/>
        <v>3</v>
      </c>
      <c r="M1589" t="s">
        <v>1810</v>
      </c>
      <c r="N1589">
        <v>4</v>
      </c>
      <c r="O1589" t="s">
        <v>1813</v>
      </c>
      <c r="P1589" t="s">
        <v>1834</v>
      </c>
    </row>
    <row r="1590" spans="1:16" x14ac:dyDescent="0.3">
      <c r="A1590" t="s">
        <v>1601</v>
      </c>
      <c r="B1590" t="s">
        <v>1778</v>
      </c>
      <c r="C1590">
        <v>57</v>
      </c>
      <c r="D1590" t="s">
        <v>1784</v>
      </c>
      <c r="E1590" t="s">
        <v>1793</v>
      </c>
      <c r="F1590" t="s">
        <v>1797</v>
      </c>
      <c r="G1590" s="5">
        <v>97783</v>
      </c>
      <c r="H1590" t="s">
        <v>1802</v>
      </c>
      <c r="I1590" t="s">
        <v>1808</v>
      </c>
      <c r="J1590" s="2">
        <v>42636</v>
      </c>
      <c r="K1590">
        <f t="shared" ca="1" si="48"/>
        <v>9</v>
      </c>
      <c r="L1590">
        <f t="shared" ca="1" si="49"/>
        <v>2</v>
      </c>
      <c r="M1590" t="s">
        <v>1809</v>
      </c>
      <c r="N1590">
        <v>2</v>
      </c>
      <c r="O1590" t="s">
        <v>1813</v>
      </c>
      <c r="P1590" t="s">
        <v>1834</v>
      </c>
    </row>
    <row r="1591" spans="1:16" x14ac:dyDescent="0.3">
      <c r="A1591" t="s">
        <v>1602</v>
      </c>
      <c r="B1591" t="s">
        <v>1732</v>
      </c>
      <c r="C1591">
        <v>27</v>
      </c>
      <c r="D1591" t="s">
        <v>1785</v>
      </c>
      <c r="E1591" t="s">
        <v>1790</v>
      </c>
      <c r="F1591" t="s">
        <v>1800</v>
      </c>
      <c r="G1591" s="5">
        <v>71754</v>
      </c>
      <c r="H1591" t="s">
        <v>1802</v>
      </c>
      <c r="I1591" t="s">
        <v>1807</v>
      </c>
      <c r="J1591" s="2">
        <v>42909</v>
      </c>
      <c r="K1591">
        <f t="shared" ca="1" si="48"/>
        <v>8</v>
      </c>
      <c r="L1591">
        <f t="shared" ca="1" si="49"/>
        <v>5</v>
      </c>
      <c r="M1591" t="s">
        <v>1809</v>
      </c>
      <c r="N1591">
        <v>1</v>
      </c>
      <c r="O1591" t="s">
        <v>1813</v>
      </c>
      <c r="P1591" t="s">
        <v>1833</v>
      </c>
    </row>
    <row r="1592" spans="1:16" x14ac:dyDescent="0.3">
      <c r="A1592" t="s">
        <v>1603</v>
      </c>
      <c r="B1592" t="s">
        <v>1723</v>
      </c>
      <c r="C1592">
        <v>26</v>
      </c>
      <c r="D1592" t="s">
        <v>1783</v>
      </c>
      <c r="E1592" t="s">
        <v>1791</v>
      </c>
      <c r="F1592" t="s">
        <v>1797</v>
      </c>
      <c r="G1592" s="5">
        <v>23485</v>
      </c>
      <c r="H1592" t="s">
        <v>1805</v>
      </c>
      <c r="I1592" t="s">
        <v>1806</v>
      </c>
      <c r="J1592" s="2">
        <v>42568</v>
      </c>
      <c r="K1592">
        <f t="shared" ca="1" si="48"/>
        <v>9</v>
      </c>
      <c r="L1592">
        <f t="shared" ca="1" si="49"/>
        <v>4</v>
      </c>
      <c r="M1592" t="s">
        <v>1810</v>
      </c>
      <c r="N1592">
        <v>2</v>
      </c>
      <c r="O1592" t="s">
        <v>1817</v>
      </c>
      <c r="P1592" t="s">
        <v>1833</v>
      </c>
    </row>
    <row r="1593" spans="1:16" x14ac:dyDescent="0.3">
      <c r="A1593" t="s">
        <v>1604</v>
      </c>
      <c r="B1593" t="s">
        <v>1727</v>
      </c>
      <c r="C1593">
        <v>48</v>
      </c>
      <c r="D1593" t="s">
        <v>1783</v>
      </c>
      <c r="E1593" t="s">
        <v>1786</v>
      </c>
      <c r="F1593" t="s">
        <v>1794</v>
      </c>
      <c r="G1593" s="5">
        <v>99654</v>
      </c>
      <c r="H1593" t="s">
        <v>1802</v>
      </c>
      <c r="I1593" t="s">
        <v>1807</v>
      </c>
      <c r="J1593" s="2">
        <v>43640</v>
      </c>
      <c r="K1593">
        <f t="shared" ca="1" si="48"/>
        <v>6</v>
      </c>
      <c r="L1593">
        <f t="shared" ca="1" si="49"/>
        <v>5</v>
      </c>
      <c r="M1593" t="s">
        <v>1809</v>
      </c>
      <c r="N1593">
        <v>4</v>
      </c>
      <c r="O1593" t="s">
        <v>1811</v>
      </c>
      <c r="P1593" t="s">
        <v>1834</v>
      </c>
    </row>
    <row r="1594" spans="1:16" x14ac:dyDescent="0.3">
      <c r="A1594" t="s">
        <v>1605</v>
      </c>
      <c r="B1594" t="s">
        <v>1722</v>
      </c>
      <c r="C1594">
        <v>54</v>
      </c>
      <c r="D1594" t="s">
        <v>1783</v>
      </c>
      <c r="E1594" t="s">
        <v>1791</v>
      </c>
      <c r="F1594" t="s">
        <v>1794</v>
      </c>
      <c r="G1594" s="5">
        <v>77682</v>
      </c>
      <c r="H1594" t="s">
        <v>1804</v>
      </c>
      <c r="I1594" t="s">
        <v>1806</v>
      </c>
      <c r="J1594" s="2">
        <v>42862</v>
      </c>
      <c r="K1594">
        <f t="shared" ca="1" si="48"/>
        <v>8</v>
      </c>
      <c r="L1594">
        <f t="shared" ca="1" si="49"/>
        <v>7</v>
      </c>
      <c r="M1594" t="s">
        <v>1809</v>
      </c>
      <c r="N1594">
        <v>3</v>
      </c>
      <c r="O1594" t="s">
        <v>1816</v>
      </c>
      <c r="P1594" t="s">
        <v>1834</v>
      </c>
    </row>
    <row r="1595" spans="1:16" x14ac:dyDescent="0.3">
      <c r="A1595" t="s">
        <v>1606</v>
      </c>
      <c r="B1595" t="s">
        <v>1713</v>
      </c>
      <c r="C1595">
        <v>38</v>
      </c>
      <c r="D1595" t="s">
        <v>1783</v>
      </c>
      <c r="E1595" t="s">
        <v>1787</v>
      </c>
      <c r="F1595" t="s">
        <v>1795</v>
      </c>
      <c r="G1595" s="5">
        <v>99965</v>
      </c>
      <c r="H1595" t="s">
        <v>1802</v>
      </c>
      <c r="I1595" t="s">
        <v>1808</v>
      </c>
      <c r="J1595" s="2">
        <v>45959</v>
      </c>
      <c r="K1595">
        <f t="shared" ca="1" si="48"/>
        <v>0</v>
      </c>
      <c r="L1595">
        <f t="shared" ca="1" si="49"/>
        <v>1</v>
      </c>
      <c r="M1595" t="s">
        <v>1809</v>
      </c>
      <c r="N1595">
        <v>5</v>
      </c>
      <c r="O1595" t="s">
        <v>1817</v>
      </c>
      <c r="P1595" t="s">
        <v>1831</v>
      </c>
    </row>
    <row r="1596" spans="1:16" x14ac:dyDescent="0.3">
      <c r="A1596" t="s">
        <v>1607</v>
      </c>
      <c r="B1596" t="s">
        <v>1776</v>
      </c>
      <c r="C1596">
        <v>58</v>
      </c>
      <c r="D1596" t="s">
        <v>1784</v>
      </c>
      <c r="E1596" t="s">
        <v>1787</v>
      </c>
      <c r="F1596" t="s">
        <v>1797</v>
      </c>
      <c r="G1596" s="5">
        <v>34883</v>
      </c>
      <c r="H1596" t="s">
        <v>1805</v>
      </c>
      <c r="I1596" t="s">
        <v>1807</v>
      </c>
      <c r="J1596" s="2">
        <v>45307</v>
      </c>
      <c r="K1596">
        <f t="shared" ca="1" si="48"/>
        <v>1</v>
      </c>
      <c r="L1596">
        <f t="shared" ca="1" si="49"/>
        <v>10</v>
      </c>
      <c r="M1596" t="s">
        <v>1810</v>
      </c>
      <c r="N1596">
        <v>3</v>
      </c>
      <c r="O1596" t="s">
        <v>1811</v>
      </c>
      <c r="P1596" t="s">
        <v>1834</v>
      </c>
    </row>
    <row r="1597" spans="1:16" x14ac:dyDescent="0.3">
      <c r="A1597" t="s">
        <v>1608</v>
      </c>
      <c r="B1597" t="s">
        <v>1765</v>
      </c>
      <c r="C1597">
        <v>20</v>
      </c>
      <c r="D1597" t="s">
        <v>1783</v>
      </c>
      <c r="E1597" t="s">
        <v>1789</v>
      </c>
      <c r="F1597" t="s">
        <v>1799</v>
      </c>
      <c r="G1597" s="5">
        <v>34803</v>
      </c>
      <c r="H1597" t="s">
        <v>1805</v>
      </c>
      <c r="I1597" t="s">
        <v>1808</v>
      </c>
      <c r="J1597" s="2">
        <v>45811</v>
      </c>
      <c r="K1597">
        <f t="shared" ca="1" si="48"/>
        <v>0</v>
      </c>
      <c r="L1597">
        <f t="shared" ca="1" si="49"/>
        <v>6</v>
      </c>
      <c r="M1597" t="s">
        <v>1809</v>
      </c>
      <c r="N1597">
        <v>1</v>
      </c>
      <c r="O1597" t="s">
        <v>1815</v>
      </c>
      <c r="P1597" t="s">
        <v>1832</v>
      </c>
    </row>
    <row r="1598" spans="1:16" x14ac:dyDescent="0.3">
      <c r="A1598" t="s">
        <v>1609</v>
      </c>
      <c r="B1598" t="s">
        <v>1726</v>
      </c>
      <c r="C1598">
        <v>29</v>
      </c>
      <c r="D1598" t="s">
        <v>1784</v>
      </c>
      <c r="E1598" t="s">
        <v>1786</v>
      </c>
      <c r="F1598" t="s">
        <v>1796</v>
      </c>
      <c r="G1598" s="5">
        <v>73556</v>
      </c>
      <c r="H1598" t="s">
        <v>1805</v>
      </c>
      <c r="I1598" t="s">
        <v>1808</v>
      </c>
      <c r="J1598" s="2">
        <v>44648</v>
      </c>
      <c r="K1598">
        <f t="shared" ca="1" si="48"/>
        <v>3</v>
      </c>
      <c r="L1598">
        <f t="shared" ca="1" si="49"/>
        <v>8</v>
      </c>
      <c r="M1598" t="s">
        <v>1810</v>
      </c>
      <c r="N1598">
        <v>4</v>
      </c>
      <c r="O1598" t="s">
        <v>1814</v>
      </c>
      <c r="P1598" t="s">
        <v>1833</v>
      </c>
    </row>
    <row r="1599" spans="1:16" x14ac:dyDescent="0.3">
      <c r="A1599" t="s">
        <v>1610</v>
      </c>
      <c r="B1599" t="s">
        <v>1776</v>
      </c>
      <c r="C1599">
        <v>21</v>
      </c>
      <c r="D1599" t="s">
        <v>1784</v>
      </c>
      <c r="E1599" t="s">
        <v>1793</v>
      </c>
      <c r="F1599" t="s">
        <v>1799</v>
      </c>
      <c r="G1599" s="5">
        <v>115340</v>
      </c>
      <c r="H1599" t="s">
        <v>1802</v>
      </c>
      <c r="I1599" t="s">
        <v>1807</v>
      </c>
      <c r="J1599" s="2">
        <v>43014</v>
      </c>
      <c r="K1599">
        <f t="shared" ca="1" si="48"/>
        <v>8</v>
      </c>
      <c r="L1599">
        <f t="shared" ca="1" si="49"/>
        <v>2</v>
      </c>
      <c r="M1599" t="s">
        <v>1810</v>
      </c>
      <c r="N1599">
        <v>1</v>
      </c>
      <c r="O1599" t="s">
        <v>1811</v>
      </c>
      <c r="P1599" t="s">
        <v>1832</v>
      </c>
    </row>
    <row r="1600" spans="1:16" x14ac:dyDescent="0.3">
      <c r="A1600" t="s">
        <v>1611</v>
      </c>
      <c r="B1600" t="s">
        <v>1757</v>
      </c>
      <c r="C1600">
        <v>30</v>
      </c>
      <c r="D1600" t="s">
        <v>1784</v>
      </c>
      <c r="E1600" t="s">
        <v>1786</v>
      </c>
      <c r="F1600" t="s">
        <v>1800</v>
      </c>
      <c r="G1600" s="5">
        <v>91076</v>
      </c>
      <c r="H1600" t="s">
        <v>1804</v>
      </c>
      <c r="I1600" t="s">
        <v>1807</v>
      </c>
      <c r="J1600" s="2">
        <v>43119</v>
      </c>
      <c r="K1600">
        <f t="shared" ca="1" si="48"/>
        <v>7</v>
      </c>
      <c r="L1600">
        <f t="shared" ca="1" si="49"/>
        <v>10</v>
      </c>
      <c r="M1600" t="s">
        <v>1809</v>
      </c>
      <c r="N1600">
        <v>4</v>
      </c>
      <c r="O1600" t="s">
        <v>1813</v>
      </c>
      <c r="P1600" t="s">
        <v>1833</v>
      </c>
    </row>
    <row r="1601" spans="1:16" x14ac:dyDescent="0.3">
      <c r="A1601" t="s">
        <v>1612</v>
      </c>
      <c r="B1601" t="s">
        <v>1723</v>
      </c>
      <c r="C1601">
        <v>57</v>
      </c>
      <c r="D1601" t="s">
        <v>1783</v>
      </c>
      <c r="E1601" t="s">
        <v>1787</v>
      </c>
      <c r="F1601" t="s">
        <v>1798</v>
      </c>
      <c r="G1601" s="5">
        <v>47910</v>
      </c>
      <c r="H1601" t="s">
        <v>1802</v>
      </c>
      <c r="I1601" t="s">
        <v>1808</v>
      </c>
      <c r="J1601" s="2">
        <v>44613</v>
      </c>
      <c r="K1601">
        <f t="shared" ca="1" si="48"/>
        <v>3</v>
      </c>
      <c r="L1601">
        <f t="shared" ca="1" si="49"/>
        <v>9</v>
      </c>
      <c r="M1601" t="s">
        <v>1809</v>
      </c>
      <c r="N1601">
        <v>3</v>
      </c>
      <c r="O1601" t="s">
        <v>1817</v>
      </c>
      <c r="P1601" t="s">
        <v>1834</v>
      </c>
    </row>
    <row r="1602" spans="1:16" x14ac:dyDescent="0.3">
      <c r="A1602" t="s">
        <v>1613</v>
      </c>
      <c r="B1602" t="s">
        <v>1725</v>
      </c>
      <c r="C1602">
        <v>30</v>
      </c>
      <c r="D1602" t="s">
        <v>1785</v>
      </c>
      <c r="E1602" t="s">
        <v>1792</v>
      </c>
      <c r="F1602" t="s">
        <v>1794</v>
      </c>
      <c r="G1602" s="5">
        <v>47076</v>
      </c>
      <c r="H1602" t="s">
        <v>1804</v>
      </c>
      <c r="I1602" t="s">
        <v>1807</v>
      </c>
      <c r="J1602" s="2">
        <v>43460</v>
      </c>
      <c r="K1602">
        <f t="shared" ca="1" si="48"/>
        <v>7</v>
      </c>
      <c r="L1602">
        <f t="shared" ca="1" si="49"/>
        <v>11</v>
      </c>
      <c r="M1602" t="s">
        <v>1809</v>
      </c>
      <c r="N1602">
        <v>1</v>
      </c>
      <c r="O1602" t="s">
        <v>1818</v>
      </c>
      <c r="P1602" t="s">
        <v>1833</v>
      </c>
    </row>
    <row r="1603" spans="1:16" x14ac:dyDescent="0.3">
      <c r="A1603" t="s">
        <v>1614</v>
      </c>
      <c r="B1603" t="s">
        <v>1715</v>
      </c>
      <c r="C1603">
        <v>45</v>
      </c>
      <c r="D1603" t="s">
        <v>1784</v>
      </c>
      <c r="E1603" t="s">
        <v>1790</v>
      </c>
      <c r="F1603" t="s">
        <v>1800</v>
      </c>
      <c r="G1603" s="5">
        <v>66308</v>
      </c>
      <c r="H1603" t="s">
        <v>1804</v>
      </c>
      <c r="I1603" t="s">
        <v>1806</v>
      </c>
      <c r="J1603" s="2">
        <v>42703</v>
      </c>
      <c r="K1603">
        <f t="shared" ref="K1603:K1666" ca="1" si="50">YEAR(TODAY()) - YEAR(J1603)</f>
        <v>9</v>
      </c>
      <c r="L1603">
        <f t="shared" ref="L1603:L1666" ca="1" si="51">DATEDIF(J1603,TODAY(),"YM")</f>
        <v>0</v>
      </c>
      <c r="M1603" t="s">
        <v>1810</v>
      </c>
      <c r="N1603">
        <v>4</v>
      </c>
      <c r="O1603" t="s">
        <v>1817</v>
      </c>
      <c r="P1603" t="s">
        <v>1831</v>
      </c>
    </row>
    <row r="1604" spans="1:16" x14ac:dyDescent="0.3">
      <c r="A1604" t="s">
        <v>1615</v>
      </c>
      <c r="B1604" t="s">
        <v>1775</v>
      </c>
      <c r="C1604">
        <v>47</v>
      </c>
      <c r="D1604" t="s">
        <v>1783</v>
      </c>
      <c r="E1604" t="s">
        <v>1786</v>
      </c>
      <c r="F1604" t="s">
        <v>1800</v>
      </c>
      <c r="G1604" s="5">
        <v>50935</v>
      </c>
      <c r="H1604" t="s">
        <v>1801</v>
      </c>
      <c r="I1604" t="s">
        <v>1807</v>
      </c>
      <c r="J1604" s="2">
        <v>45865</v>
      </c>
      <c r="K1604">
        <f t="shared" ca="1" si="50"/>
        <v>0</v>
      </c>
      <c r="L1604">
        <f t="shared" ca="1" si="51"/>
        <v>4</v>
      </c>
      <c r="M1604" t="s">
        <v>1810</v>
      </c>
      <c r="N1604">
        <v>4</v>
      </c>
      <c r="O1604" t="s">
        <v>1811</v>
      </c>
      <c r="P1604" t="s">
        <v>1834</v>
      </c>
    </row>
    <row r="1605" spans="1:16" x14ac:dyDescent="0.3">
      <c r="A1605" t="s">
        <v>1616</v>
      </c>
      <c r="B1605" t="s">
        <v>1714</v>
      </c>
      <c r="C1605">
        <v>22</v>
      </c>
      <c r="D1605" t="s">
        <v>1785</v>
      </c>
      <c r="E1605" t="s">
        <v>1792</v>
      </c>
      <c r="F1605" t="s">
        <v>1797</v>
      </c>
      <c r="G1605" s="5">
        <v>118814</v>
      </c>
      <c r="H1605" t="s">
        <v>1805</v>
      </c>
      <c r="I1605" t="s">
        <v>1807</v>
      </c>
      <c r="J1605" s="2">
        <v>42596</v>
      </c>
      <c r="K1605">
        <f t="shared" ca="1" si="50"/>
        <v>9</v>
      </c>
      <c r="L1605">
        <f t="shared" ca="1" si="51"/>
        <v>3</v>
      </c>
      <c r="M1605" t="s">
        <v>1809</v>
      </c>
      <c r="N1605">
        <v>1</v>
      </c>
      <c r="O1605" t="s">
        <v>1811</v>
      </c>
      <c r="P1605" t="s">
        <v>1832</v>
      </c>
    </row>
    <row r="1606" spans="1:16" x14ac:dyDescent="0.3">
      <c r="A1606" t="s">
        <v>1617</v>
      </c>
      <c r="B1606" t="s">
        <v>1756</v>
      </c>
      <c r="C1606">
        <v>26</v>
      </c>
      <c r="D1606" t="s">
        <v>1784</v>
      </c>
      <c r="E1606" t="s">
        <v>1787</v>
      </c>
      <c r="F1606" t="s">
        <v>1799</v>
      </c>
      <c r="G1606" s="5">
        <v>54198</v>
      </c>
      <c r="H1606" t="s">
        <v>1801</v>
      </c>
      <c r="I1606" t="s">
        <v>1808</v>
      </c>
      <c r="J1606" s="2">
        <v>43101</v>
      </c>
      <c r="K1606">
        <f t="shared" ca="1" si="50"/>
        <v>7</v>
      </c>
      <c r="L1606">
        <f t="shared" ca="1" si="51"/>
        <v>11</v>
      </c>
      <c r="M1606" t="s">
        <v>1810</v>
      </c>
      <c r="N1606">
        <v>5</v>
      </c>
      <c r="O1606" t="s">
        <v>1818</v>
      </c>
      <c r="P1606" t="s">
        <v>1833</v>
      </c>
    </row>
    <row r="1607" spans="1:16" x14ac:dyDescent="0.3">
      <c r="A1607" t="s">
        <v>1618</v>
      </c>
      <c r="B1607" t="s">
        <v>1764</v>
      </c>
      <c r="C1607">
        <v>53</v>
      </c>
      <c r="D1607" t="s">
        <v>1783</v>
      </c>
      <c r="E1607" t="s">
        <v>1789</v>
      </c>
      <c r="F1607" t="s">
        <v>1797</v>
      </c>
      <c r="G1607" s="5">
        <v>76688</v>
      </c>
      <c r="H1607" t="s">
        <v>1802</v>
      </c>
      <c r="I1607" t="s">
        <v>1806</v>
      </c>
      <c r="J1607" s="2">
        <v>42562</v>
      </c>
      <c r="K1607">
        <f t="shared" ca="1" si="50"/>
        <v>9</v>
      </c>
      <c r="L1607">
        <f t="shared" ca="1" si="51"/>
        <v>4</v>
      </c>
      <c r="M1607" t="s">
        <v>1809</v>
      </c>
      <c r="N1607">
        <v>3</v>
      </c>
      <c r="O1607" t="s">
        <v>1818</v>
      </c>
      <c r="P1607" t="s">
        <v>1834</v>
      </c>
    </row>
    <row r="1608" spans="1:16" x14ac:dyDescent="0.3">
      <c r="A1608" t="s">
        <v>1619</v>
      </c>
      <c r="B1608" t="s">
        <v>1726</v>
      </c>
      <c r="C1608">
        <v>32</v>
      </c>
      <c r="D1608" t="s">
        <v>1785</v>
      </c>
      <c r="E1608" t="s">
        <v>1792</v>
      </c>
      <c r="F1608" t="s">
        <v>1800</v>
      </c>
      <c r="G1608" s="5">
        <v>71554</v>
      </c>
      <c r="H1608" t="s">
        <v>1801</v>
      </c>
      <c r="I1608" t="s">
        <v>1807</v>
      </c>
      <c r="J1608" s="2">
        <v>42658</v>
      </c>
      <c r="K1608">
        <f t="shared" ca="1" si="50"/>
        <v>9</v>
      </c>
      <c r="L1608">
        <f t="shared" ca="1" si="51"/>
        <v>1</v>
      </c>
      <c r="M1608" t="s">
        <v>1810</v>
      </c>
      <c r="N1608">
        <v>2</v>
      </c>
      <c r="O1608" t="s">
        <v>1817</v>
      </c>
      <c r="P1608" t="s">
        <v>1833</v>
      </c>
    </row>
    <row r="1609" spans="1:16" x14ac:dyDescent="0.3">
      <c r="A1609" t="s">
        <v>1620</v>
      </c>
      <c r="B1609" t="s">
        <v>1713</v>
      </c>
      <c r="C1609">
        <v>38</v>
      </c>
      <c r="D1609" t="s">
        <v>1784</v>
      </c>
      <c r="E1609" t="s">
        <v>1788</v>
      </c>
      <c r="F1609" t="s">
        <v>1796</v>
      </c>
      <c r="G1609" s="5">
        <v>82491</v>
      </c>
      <c r="H1609" t="s">
        <v>1802</v>
      </c>
      <c r="I1609" t="s">
        <v>1808</v>
      </c>
      <c r="J1609" s="2">
        <v>43154</v>
      </c>
      <c r="K1609">
        <f t="shared" ca="1" si="50"/>
        <v>7</v>
      </c>
      <c r="L1609">
        <f t="shared" ca="1" si="51"/>
        <v>9</v>
      </c>
      <c r="M1609" t="s">
        <v>1809</v>
      </c>
      <c r="N1609">
        <v>2</v>
      </c>
      <c r="O1609" t="s">
        <v>1818</v>
      </c>
      <c r="P1609" t="s">
        <v>1831</v>
      </c>
    </row>
    <row r="1610" spans="1:16" x14ac:dyDescent="0.3">
      <c r="A1610" t="s">
        <v>1621</v>
      </c>
      <c r="B1610" t="s">
        <v>1735</v>
      </c>
      <c r="C1610">
        <v>47</v>
      </c>
      <c r="D1610" t="s">
        <v>1783</v>
      </c>
      <c r="E1610" t="s">
        <v>1789</v>
      </c>
      <c r="F1610" t="s">
        <v>1799</v>
      </c>
      <c r="G1610" s="5">
        <v>87689</v>
      </c>
      <c r="H1610" t="s">
        <v>1805</v>
      </c>
      <c r="I1610" t="s">
        <v>1806</v>
      </c>
      <c r="J1610" s="2">
        <v>43893</v>
      </c>
      <c r="K1610">
        <f t="shared" ca="1" si="50"/>
        <v>5</v>
      </c>
      <c r="L1610">
        <f t="shared" ca="1" si="51"/>
        <v>9</v>
      </c>
      <c r="M1610" t="s">
        <v>1810</v>
      </c>
      <c r="N1610">
        <v>4</v>
      </c>
      <c r="O1610" t="s">
        <v>1811</v>
      </c>
      <c r="P1610" t="s">
        <v>1834</v>
      </c>
    </row>
    <row r="1611" spans="1:16" x14ac:dyDescent="0.3">
      <c r="A1611" t="s">
        <v>1622</v>
      </c>
      <c r="B1611" t="s">
        <v>1715</v>
      </c>
      <c r="C1611">
        <v>51</v>
      </c>
      <c r="D1611" t="s">
        <v>1783</v>
      </c>
      <c r="E1611" t="s">
        <v>1786</v>
      </c>
      <c r="F1611" t="s">
        <v>1795</v>
      </c>
      <c r="G1611" s="5">
        <v>33793</v>
      </c>
      <c r="H1611" t="s">
        <v>1801</v>
      </c>
      <c r="I1611" t="s">
        <v>1808</v>
      </c>
      <c r="J1611" s="2">
        <v>43252</v>
      </c>
      <c r="K1611">
        <f t="shared" ca="1" si="50"/>
        <v>7</v>
      </c>
      <c r="L1611">
        <f t="shared" ca="1" si="51"/>
        <v>6</v>
      </c>
      <c r="M1611" t="s">
        <v>1809</v>
      </c>
      <c r="N1611">
        <v>5</v>
      </c>
      <c r="O1611" t="s">
        <v>1811</v>
      </c>
      <c r="P1611" t="s">
        <v>1834</v>
      </c>
    </row>
    <row r="1612" spans="1:16" x14ac:dyDescent="0.3">
      <c r="A1612" t="s">
        <v>1623</v>
      </c>
      <c r="B1612" t="s">
        <v>1751</v>
      </c>
      <c r="C1612">
        <v>48</v>
      </c>
      <c r="D1612" t="s">
        <v>1784</v>
      </c>
      <c r="E1612" t="s">
        <v>1787</v>
      </c>
      <c r="F1612" t="s">
        <v>1800</v>
      </c>
      <c r="G1612" s="5">
        <v>69593</v>
      </c>
      <c r="H1612" t="s">
        <v>1802</v>
      </c>
      <c r="I1612" t="s">
        <v>1807</v>
      </c>
      <c r="J1612" s="2">
        <v>43884</v>
      </c>
      <c r="K1612">
        <f t="shared" ca="1" si="50"/>
        <v>5</v>
      </c>
      <c r="L1612">
        <f t="shared" ca="1" si="51"/>
        <v>9</v>
      </c>
      <c r="M1612" t="s">
        <v>1809</v>
      </c>
      <c r="N1612">
        <v>5</v>
      </c>
      <c r="O1612" t="s">
        <v>1815</v>
      </c>
      <c r="P1612" t="s">
        <v>1834</v>
      </c>
    </row>
    <row r="1613" spans="1:16" x14ac:dyDescent="0.3">
      <c r="A1613" t="s">
        <v>1624</v>
      </c>
      <c r="B1613" t="s">
        <v>1749</v>
      </c>
      <c r="C1613">
        <v>50</v>
      </c>
      <c r="D1613" t="s">
        <v>1783</v>
      </c>
      <c r="E1613" t="s">
        <v>1792</v>
      </c>
      <c r="F1613" t="s">
        <v>1796</v>
      </c>
      <c r="G1613" s="5">
        <v>25547</v>
      </c>
      <c r="H1613" t="s">
        <v>1803</v>
      </c>
      <c r="I1613" t="s">
        <v>1808</v>
      </c>
      <c r="J1613" s="2">
        <v>44181</v>
      </c>
      <c r="K1613">
        <f t="shared" ca="1" si="50"/>
        <v>5</v>
      </c>
      <c r="L1613">
        <f t="shared" ca="1" si="51"/>
        <v>11</v>
      </c>
      <c r="M1613" t="s">
        <v>1809</v>
      </c>
      <c r="N1613">
        <v>3</v>
      </c>
      <c r="O1613" t="s">
        <v>1817</v>
      </c>
      <c r="P1613" t="s">
        <v>1834</v>
      </c>
    </row>
    <row r="1614" spans="1:16" x14ac:dyDescent="0.3">
      <c r="A1614" t="s">
        <v>1625</v>
      </c>
      <c r="B1614" t="s">
        <v>1736</v>
      </c>
      <c r="C1614">
        <v>24</v>
      </c>
      <c r="D1614" t="s">
        <v>1783</v>
      </c>
      <c r="E1614" t="s">
        <v>1792</v>
      </c>
      <c r="F1614" t="s">
        <v>1795</v>
      </c>
      <c r="G1614" s="5">
        <v>76580</v>
      </c>
      <c r="H1614" t="s">
        <v>1803</v>
      </c>
      <c r="I1614" t="s">
        <v>1806</v>
      </c>
      <c r="J1614" s="2">
        <v>44352</v>
      </c>
      <c r="K1614">
        <f t="shared" ca="1" si="50"/>
        <v>4</v>
      </c>
      <c r="L1614">
        <f t="shared" ca="1" si="51"/>
        <v>6</v>
      </c>
      <c r="M1614" t="s">
        <v>1809</v>
      </c>
      <c r="N1614">
        <v>3</v>
      </c>
      <c r="O1614" t="s">
        <v>1818</v>
      </c>
      <c r="P1614" t="s">
        <v>1832</v>
      </c>
    </row>
    <row r="1615" spans="1:16" x14ac:dyDescent="0.3">
      <c r="A1615" t="s">
        <v>1626</v>
      </c>
      <c r="B1615" t="s">
        <v>1733</v>
      </c>
      <c r="C1615">
        <v>36</v>
      </c>
      <c r="D1615" t="s">
        <v>1785</v>
      </c>
      <c r="E1615" t="s">
        <v>1786</v>
      </c>
      <c r="F1615" t="s">
        <v>1799</v>
      </c>
      <c r="G1615" s="5">
        <v>89287</v>
      </c>
      <c r="H1615" t="s">
        <v>1805</v>
      </c>
      <c r="I1615" t="s">
        <v>1807</v>
      </c>
      <c r="J1615" s="2">
        <v>45798</v>
      </c>
      <c r="K1615">
        <f t="shared" ca="1" si="50"/>
        <v>0</v>
      </c>
      <c r="L1615">
        <f t="shared" ca="1" si="51"/>
        <v>6</v>
      </c>
      <c r="M1615" t="s">
        <v>1810</v>
      </c>
      <c r="N1615">
        <v>5</v>
      </c>
      <c r="O1615" t="s">
        <v>1818</v>
      </c>
      <c r="P1615" t="s">
        <v>1831</v>
      </c>
    </row>
    <row r="1616" spans="1:16" x14ac:dyDescent="0.3">
      <c r="A1616" t="s">
        <v>1627</v>
      </c>
      <c r="B1616" t="s">
        <v>1722</v>
      </c>
      <c r="C1616">
        <v>24</v>
      </c>
      <c r="D1616" t="s">
        <v>1784</v>
      </c>
      <c r="E1616" t="s">
        <v>1791</v>
      </c>
      <c r="F1616" t="s">
        <v>1796</v>
      </c>
      <c r="G1616" s="5">
        <v>23543</v>
      </c>
      <c r="H1616" t="s">
        <v>1805</v>
      </c>
      <c r="I1616" t="s">
        <v>1806</v>
      </c>
      <c r="J1616" s="2">
        <v>44493</v>
      </c>
      <c r="K1616">
        <f t="shared" ca="1" si="50"/>
        <v>4</v>
      </c>
      <c r="L1616">
        <f t="shared" ca="1" si="51"/>
        <v>1</v>
      </c>
      <c r="M1616" t="s">
        <v>1809</v>
      </c>
      <c r="N1616">
        <v>5</v>
      </c>
      <c r="O1616" t="s">
        <v>1814</v>
      </c>
      <c r="P1616" t="s">
        <v>1832</v>
      </c>
    </row>
    <row r="1617" spans="1:16" x14ac:dyDescent="0.3">
      <c r="A1617" t="s">
        <v>1628</v>
      </c>
      <c r="B1617" t="s">
        <v>1717</v>
      </c>
      <c r="C1617">
        <v>51</v>
      </c>
      <c r="D1617" t="s">
        <v>1784</v>
      </c>
      <c r="E1617" t="s">
        <v>1790</v>
      </c>
      <c r="F1617" t="s">
        <v>1798</v>
      </c>
      <c r="G1617" s="5">
        <v>101739</v>
      </c>
      <c r="H1617" t="s">
        <v>1801</v>
      </c>
      <c r="I1617" t="s">
        <v>1807</v>
      </c>
      <c r="J1617" s="2">
        <v>44335</v>
      </c>
      <c r="K1617">
        <f t="shared" ca="1" si="50"/>
        <v>4</v>
      </c>
      <c r="L1617">
        <f t="shared" ca="1" si="51"/>
        <v>6</v>
      </c>
      <c r="M1617" t="s">
        <v>1810</v>
      </c>
      <c r="N1617">
        <v>1</v>
      </c>
      <c r="O1617" t="s">
        <v>1811</v>
      </c>
      <c r="P1617" t="s">
        <v>1834</v>
      </c>
    </row>
    <row r="1618" spans="1:16" x14ac:dyDescent="0.3">
      <c r="A1618" t="s">
        <v>1629</v>
      </c>
      <c r="B1618" t="s">
        <v>1744</v>
      </c>
      <c r="C1618">
        <v>55</v>
      </c>
      <c r="D1618" t="s">
        <v>1785</v>
      </c>
      <c r="E1618" t="s">
        <v>1788</v>
      </c>
      <c r="F1618" t="s">
        <v>1800</v>
      </c>
      <c r="G1618" s="5">
        <v>31376</v>
      </c>
      <c r="H1618" t="s">
        <v>1803</v>
      </c>
      <c r="I1618" t="s">
        <v>1807</v>
      </c>
      <c r="J1618" s="2">
        <v>43046</v>
      </c>
      <c r="K1618">
        <f t="shared" ca="1" si="50"/>
        <v>8</v>
      </c>
      <c r="L1618">
        <f t="shared" ca="1" si="51"/>
        <v>1</v>
      </c>
      <c r="M1618" t="s">
        <v>1809</v>
      </c>
      <c r="N1618">
        <v>4</v>
      </c>
      <c r="O1618" t="s">
        <v>1814</v>
      </c>
      <c r="P1618" t="s">
        <v>1834</v>
      </c>
    </row>
    <row r="1619" spans="1:16" x14ac:dyDescent="0.3">
      <c r="A1619" t="s">
        <v>1630</v>
      </c>
      <c r="B1619" t="s">
        <v>1768</v>
      </c>
      <c r="C1619">
        <v>50</v>
      </c>
      <c r="D1619" t="s">
        <v>1785</v>
      </c>
      <c r="E1619" t="s">
        <v>1788</v>
      </c>
      <c r="F1619" t="s">
        <v>1798</v>
      </c>
      <c r="G1619" s="5">
        <v>50537</v>
      </c>
      <c r="H1619" t="s">
        <v>1802</v>
      </c>
      <c r="I1619" t="s">
        <v>1808</v>
      </c>
      <c r="J1619" s="2">
        <v>44227</v>
      </c>
      <c r="K1619">
        <f t="shared" ca="1" si="50"/>
        <v>4</v>
      </c>
      <c r="L1619">
        <f t="shared" ca="1" si="51"/>
        <v>10</v>
      </c>
      <c r="M1619" t="s">
        <v>1809</v>
      </c>
      <c r="N1619">
        <v>2</v>
      </c>
      <c r="O1619" t="s">
        <v>1814</v>
      </c>
      <c r="P1619" t="s">
        <v>1834</v>
      </c>
    </row>
    <row r="1620" spans="1:16" x14ac:dyDescent="0.3">
      <c r="A1620" t="s">
        <v>1631</v>
      </c>
      <c r="B1620" t="s">
        <v>1759</v>
      </c>
      <c r="C1620">
        <v>27</v>
      </c>
      <c r="D1620" t="s">
        <v>1785</v>
      </c>
      <c r="E1620" t="s">
        <v>1790</v>
      </c>
      <c r="F1620" t="s">
        <v>1797</v>
      </c>
      <c r="G1620" s="5">
        <v>19921</v>
      </c>
      <c r="H1620" t="s">
        <v>1804</v>
      </c>
      <c r="I1620" t="s">
        <v>1807</v>
      </c>
      <c r="J1620" s="2">
        <v>44202</v>
      </c>
      <c r="K1620">
        <f t="shared" ca="1" si="50"/>
        <v>4</v>
      </c>
      <c r="L1620">
        <f t="shared" ca="1" si="51"/>
        <v>11</v>
      </c>
      <c r="M1620" t="s">
        <v>1809</v>
      </c>
      <c r="N1620">
        <v>1</v>
      </c>
      <c r="O1620" t="s">
        <v>1815</v>
      </c>
      <c r="P1620" t="s">
        <v>1833</v>
      </c>
    </row>
    <row r="1621" spans="1:16" x14ac:dyDescent="0.3">
      <c r="A1621" t="s">
        <v>1632</v>
      </c>
      <c r="B1621" t="s">
        <v>1726</v>
      </c>
      <c r="C1621">
        <v>52</v>
      </c>
      <c r="D1621" t="s">
        <v>1784</v>
      </c>
      <c r="E1621" t="s">
        <v>1791</v>
      </c>
      <c r="F1621" t="s">
        <v>1797</v>
      </c>
      <c r="G1621" s="5">
        <v>31853</v>
      </c>
      <c r="H1621" t="s">
        <v>1803</v>
      </c>
      <c r="I1621" t="s">
        <v>1807</v>
      </c>
      <c r="J1621" s="2">
        <v>45882</v>
      </c>
      <c r="K1621">
        <f t="shared" ca="1" si="50"/>
        <v>0</v>
      </c>
      <c r="L1621">
        <f t="shared" ca="1" si="51"/>
        <v>3</v>
      </c>
      <c r="M1621" t="s">
        <v>1809</v>
      </c>
      <c r="N1621">
        <v>1</v>
      </c>
      <c r="O1621" t="s">
        <v>1814</v>
      </c>
      <c r="P1621" t="s">
        <v>1834</v>
      </c>
    </row>
    <row r="1622" spans="1:16" x14ac:dyDescent="0.3">
      <c r="A1622" t="s">
        <v>1633</v>
      </c>
      <c r="B1622" t="s">
        <v>1765</v>
      </c>
      <c r="C1622">
        <v>54</v>
      </c>
      <c r="D1622" t="s">
        <v>1783</v>
      </c>
      <c r="E1622" t="s">
        <v>1786</v>
      </c>
      <c r="F1622" t="s">
        <v>1794</v>
      </c>
      <c r="G1622" s="5">
        <v>66414</v>
      </c>
      <c r="H1622" t="s">
        <v>1805</v>
      </c>
      <c r="I1622" t="s">
        <v>1806</v>
      </c>
      <c r="J1622" s="2">
        <v>44539</v>
      </c>
      <c r="K1622">
        <f t="shared" ca="1" si="50"/>
        <v>4</v>
      </c>
      <c r="L1622">
        <f t="shared" ca="1" si="51"/>
        <v>0</v>
      </c>
      <c r="M1622" t="s">
        <v>1810</v>
      </c>
      <c r="N1622">
        <v>2</v>
      </c>
      <c r="O1622" t="s">
        <v>1813</v>
      </c>
      <c r="P1622" t="s">
        <v>1834</v>
      </c>
    </row>
    <row r="1623" spans="1:16" x14ac:dyDescent="0.3">
      <c r="A1623" t="s">
        <v>1634</v>
      </c>
      <c r="B1623" t="s">
        <v>1718</v>
      </c>
      <c r="C1623">
        <v>21</v>
      </c>
      <c r="D1623" t="s">
        <v>1785</v>
      </c>
      <c r="E1623" t="s">
        <v>1788</v>
      </c>
      <c r="F1623" t="s">
        <v>1795</v>
      </c>
      <c r="G1623" s="5">
        <v>104702</v>
      </c>
      <c r="H1623" t="s">
        <v>1801</v>
      </c>
      <c r="I1623" t="s">
        <v>1807</v>
      </c>
      <c r="J1623" s="2">
        <v>44676</v>
      </c>
      <c r="K1623">
        <f t="shared" ca="1" si="50"/>
        <v>3</v>
      </c>
      <c r="L1623">
        <f t="shared" ca="1" si="51"/>
        <v>7</v>
      </c>
      <c r="M1623" t="s">
        <v>1810</v>
      </c>
      <c r="N1623">
        <v>3</v>
      </c>
      <c r="O1623" t="s">
        <v>1814</v>
      </c>
      <c r="P1623" t="s">
        <v>1832</v>
      </c>
    </row>
    <row r="1624" spans="1:16" x14ac:dyDescent="0.3">
      <c r="A1624" t="s">
        <v>1635</v>
      </c>
      <c r="B1624" t="s">
        <v>1756</v>
      </c>
      <c r="C1624">
        <v>30</v>
      </c>
      <c r="D1624" t="s">
        <v>1783</v>
      </c>
      <c r="E1624" t="s">
        <v>1790</v>
      </c>
      <c r="F1624" t="s">
        <v>1795</v>
      </c>
      <c r="G1624" s="5">
        <v>64668</v>
      </c>
      <c r="H1624" t="s">
        <v>1805</v>
      </c>
      <c r="I1624" t="s">
        <v>1806</v>
      </c>
      <c r="J1624" s="2">
        <v>43392</v>
      </c>
      <c r="K1624">
        <f t="shared" ca="1" si="50"/>
        <v>7</v>
      </c>
      <c r="L1624">
        <f t="shared" ca="1" si="51"/>
        <v>1</v>
      </c>
      <c r="M1624" t="s">
        <v>1810</v>
      </c>
      <c r="N1624">
        <v>5</v>
      </c>
      <c r="O1624" t="s">
        <v>1817</v>
      </c>
      <c r="P1624" t="s">
        <v>1833</v>
      </c>
    </row>
    <row r="1625" spans="1:16" x14ac:dyDescent="0.3">
      <c r="A1625" t="s">
        <v>1636</v>
      </c>
      <c r="B1625" t="s">
        <v>1726</v>
      </c>
      <c r="C1625">
        <v>54</v>
      </c>
      <c r="D1625" t="s">
        <v>1783</v>
      </c>
      <c r="E1625" t="s">
        <v>1792</v>
      </c>
      <c r="F1625" t="s">
        <v>1796</v>
      </c>
      <c r="G1625" s="5">
        <v>21367</v>
      </c>
      <c r="H1625" t="s">
        <v>1805</v>
      </c>
      <c r="I1625" t="s">
        <v>1807</v>
      </c>
      <c r="J1625" s="2">
        <v>44153</v>
      </c>
      <c r="K1625">
        <f t="shared" ca="1" si="50"/>
        <v>5</v>
      </c>
      <c r="L1625">
        <f t="shared" ca="1" si="51"/>
        <v>0</v>
      </c>
      <c r="M1625" t="s">
        <v>1810</v>
      </c>
      <c r="N1625">
        <v>3</v>
      </c>
      <c r="O1625" t="s">
        <v>1812</v>
      </c>
      <c r="P1625" t="s">
        <v>1834</v>
      </c>
    </row>
    <row r="1626" spans="1:16" x14ac:dyDescent="0.3">
      <c r="A1626" t="s">
        <v>1637</v>
      </c>
      <c r="B1626" t="s">
        <v>1765</v>
      </c>
      <c r="C1626">
        <v>31</v>
      </c>
      <c r="D1626" t="s">
        <v>1783</v>
      </c>
      <c r="E1626" t="s">
        <v>1787</v>
      </c>
      <c r="F1626" t="s">
        <v>1797</v>
      </c>
      <c r="G1626" s="5">
        <v>91849</v>
      </c>
      <c r="H1626" t="s">
        <v>1804</v>
      </c>
      <c r="I1626" t="s">
        <v>1806</v>
      </c>
      <c r="J1626" s="2">
        <v>44089</v>
      </c>
      <c r="K1626">
        <f t="shared" ca="1" si="50"/>
        <v>5</v>
      </c>
      <c r="L1626">
        <f t="shared" ca="1" si="51"/>
        <v>2</v>
      </c>
      <c r="M1626" t="s">
        <v>1809</v>
      </c>
      <c r="N1626">
        <v>1</v>
      </c>
      <c r="O1626" t="s">
        <v>1816</v>
      </c>
      <c r="P1626" t="s">
        <v>1833</v>
      </c>
    </row>
    <row r="1627" spans="1:16" x14ac:dyDescent="0.3">
      <c r="A1627" t="s">
        <v>1638</v>
      </c>
      <c r="B1627" t="s">
        <v>1748</v>
      </c>
      <c r="C1627">
        <v>57</v>
      </c>
      <c r="D1627" t="s">
        <v>1784</v>
      </c>
      <c r="E1627" t="s">
        <v>1791</v>
      </c>
      <c r="F1627" t="s">
        <v>1794</v>
      </c>
      <c r="G1627" s="5">
        <v>96630</v>
      </c>
      <c r="H1627" t="s">
        <v>1803</v>
      </c>
      <c r="I1627" t="s">
        <v>1806</v>
      </c>
      <c r="J1627" s="2">
        <v>44505</v>
      </c>
      <c r="K1627">
        <f t="shared" ca="1" si="50"/>
        <v>4</v>
      </c>
      <c r="L1627">
        <f t="shared" ca="1" si="51"/>
        <v>1</v>
      </c>
      <c r="M1627" t="s">
        <v>1809</v>
      </c>
      <c r="N1627">
        <v>4</v>
      </c>
      <c r="O1627" t="s">
        <v>1811</v>
      </c>
      <c r="P1627" t="s">
        <v>1834</v>
      </c>
    </row>
    <row r="1628" spans="1:16" x14ac:dyDescent="0.3">
      <c r="A1628" t="s">
        <v>1639</v>
      </c>
      <c r="B1628" t="s">
        <v>1760</v>
      </c>
      <c r="C1628">
        <v>50</v>
      </c>
      <c r="D1628" t="s">
        <v>1785</v>
      </c>
      <c r="E1628" t="s">
        <v>1792</v>
      </c>
      <c r="F1628" t="s">
        <v>1797</v>
      </c>
      <c r="G1628" s="5">
        <v>53013</v>
      </c>
      <c r="H1628" t="s">
        <v>1805</v>
      </c>
      <c r="I1628" t="s">
        <v>1808</v>
      </c>
      <c r="J1628" s="2">
        <v>43377</v>
      </c>
      <c r="K1628">
        <f t="shared" ca="1" si="50"/>
        <v>7</v>
      </c>
      <c r="L1628">
        <f t="shared" ca="1" si="51"/>
        <v>2</v>
      </c>
      <c r="M1628" t="s">
        <v>1809</v>
      </c>
      <c r="N1628">
        <v>3</v>
      </c>
      <c r="O1628" t="s">
        <v>1813</v>
      </c>
      <c r="P1628" t="s">
        <v>1834</v>
      </c>
    </row>
    <row r="1629" spans="1:16" x14ac:dyDescent="0.3">
      <c r="A1629" t="s">
        <v>1640</v>
      </c>
      <c r="B1629" t="s">
        <v>1770</v>
      </c>
      <c r="C1629">
        <v>27</v>
      </c>
      <c r="D1629" t="s">
        <v>1784</v>
      </c>
      <c r="E1629" t="s">
        <v>1787</v>
      </c>
      <c r="F1629" t="s">
        <v>1800</v>
      </c>
      <c r="G1629" s="5">
        <v>23769</v>
      </c>
      <c r="H1629" t="s">
        <v>1805</v>
      </c>
      <c r="I1629" t="s">
        <v>1806</v>
      </c>
      <c r="J1629" s="2">
        <v>43454</v>
      </c>
      <c r="K1629">
        <f t="shared" ca="1" si="50"/>
        <v>7</v>
      </c>
      <c r="L1629">
        <f t="shared" ca="1" si="51"/>
        <v>11</v>
      </c>
      <c r="M1629" t="s">
        <v>1809</v>
      </c>
      <c r="N1629">
        <v>4</v>
      </c>
      <c r="O1629" t="s">
        <v>1814</v>
      </c>
      <c r="P1629" t="s">
        <v>1833</v>
      </c>
    </row>
    <row r="1630" spans="1:16" x14ac:dyDescent="0.3">
      <c r="A1630" t="s">
        <v>1641</v>
      </c>
      <c r="B1630" t="s">
        <v>1771</v>
      </c>
      <c r="C1630">
        <v>34</v>
      </c>
      <c r="D1630" t="s">
        <v>1784</v>
      </c>
      <c r="E1630" t="s">
        <v>1787</v>
      </c>
      <c r="F1630" t="s">
        <v>1797</v>
      </c>
      <c r="G1630" s="5">
        <v>64405</v>
      </c>
      <c r="H1630" t="s">
        <v>1803</v>
      </c>
      <c r="I1630" t="s">
        <v>1806</v>
      </c>
      <c r="J1630" s="2">
        <v>45706</v>
      </c>
      <c r="K1630">
        <f t="shared" ca="1" si="50"/>
        <v>0</v>
      </c>
      <c r="L1630">
        <f t="shared" ca="1" si="51"/>
        <v>9</v>
      </c>
      <c r="M1630" t="s">
        <v>1810</v>
      </c>
      <c r="N1630">
        <v>2</v>
      </c>
      <c r="O1630" t="s">
        <v>1814</v>
      </c>
      <c r="P1630" t="s">
        <v>1833</v>
      </c>
    </row>
    <row r="1631" spans="1:16" x14ac:dyDescent="0.3">
      <c r="A1631" t="s">
        <v>1642</v>
      </c>
      <c r="B1631" t="s">
        <v>1735</v>
      </c>
      <c r="C1631">
        <v>46</v>
      </c>
      <c r="D1631" t="s">
        <v>1785</v>
      </c>
      <c r="E1631" t="s">
        <v>1788</v>
      </c>
      <c r="F1631" t="s">
        <v>1800</v>
      </c>
      <c r="G1631" s="5">
        <v>97930</v>
      </c>
      <c r="H1631" t="s">
        <v>1803</v>
      </c>
      <c r="I1631" t="s">
        <v>1806</v>
      </c>
      <c r="J1631" s="2">
        <v>43456</v>
      </c>
      <c r="K1631">
        <f t="shared" ca="1" si="50"/>
        <v>7</v>
      </c>
      <c r="L1631">
        <f t="shared" ca="1" si="51"/>
        <v>11</v>
      </c>
      <c r="M1631" t="s">
        <v>1810</v>
      </c>
      <c r="N1631">
        <v>5</v>
      </c>
      <c r="O1631" t="s">
        <v>1811</v>
      </c>
      <c r="P1631" t="s">
        <v>1834</v>
      </c>
    </row>
    <row r="1632" spans="1:16" x14ac:dyDescent="0.3">
      <c r="A1632" t="s">
        <v>1643</v>
      </c>
      <c r="B1632" t="s">
        <v>1740</v>
      </c>
      <c r="C1632">
        <v>48</v>
      </c>
      <c r="D1632" t="s">
        <v>1785</v>
      </c>
      <c r="E1632" t="s">
        <v>1788</v>
      </c>
      <c r="F1632" t="s">
        <v>1797</v>
      </c>
      <c r="G1632" s="5">
        <v>37882</v>
      </c>
      <c r="H1632" t="s">
        <v>1803</v>
      </c>
      <c r="I1632" t="s">
        <v>1807</v>
      </c>
      <c r="J1632" s="2">
        <v>43064</v>
      </c>
      <c r="K1632">
        <f t="shared" ca="1" si="50"/>
        <v>8</v>
      </c>
      <c r="L1632">
        <f t="shared" ca="1" si="51"/>
        <v>0</v>
      </c>
      <c r="M1632" t="s">
        <v>1810</v>
      </c>
      <c r="N1632">
        <v>1</v>
      </c>
      <c r="O1632" t="s">
        <v>1811</v>
      </c>
      <c r="P1632" t="s">
        <v>1834</v>
      </c>
    </row>
    <row r="1633" spans="1:16" x14ac:dyDescent="0.3">
      <c r="A1633" t="s">
        <v>1644</v>
      </c>
      <c r="B1633" t="s">
        <v>1776</v>
      </c>
      <c r="C1633">
        <v>42</v>
      </c>
      <c r="D1633" t="s">
        <v>1785</v>
      </c>
      <c r="E1633" t="s">
        <v>1786</v>
      </c>
      <c r="F1633" t="s">
        <v>1800</v>
      </c>
      <c r="G1633" s="5">
        <v>100616</v>
      </c>
      <c r="H1633" t="s">
        <v>1804</v>
      </c>
      <c r="I1633" t="s">
        <v>1806</v>
      </c>
      <c r="J1633" s="2">
        <v>44677</v>
      </c>
      <c r="K1633">
        <f t="shared" ca="1" si="50"/>
        <v>3</v>
      </c>
      <c r="L1633">
        <f t="shared" ca="1" si="51"/>
        <v>7</v>
      </c>
      <c r="M1633" t="s">
        <v>1809</v>
      </c>
      <c r="N1633">
        <v>1</v>
      </c>
      <c r="O1633" t="s">
        <v>1815</v>
      </c>
      <c r="P1633" t="s">
        <v>1831</v>
      </c>
    </row>
    <row r="1634" spans="1:16" x14ac:dyDescent="0.3">
      <c r="A1634" t="s">
        <v>1645</v>
      </c>
      <c r="B1634" t="s">
        <v>1763</v>
      </c>
      <c r="C1634">
        <v>45</v>
      </c>
      <c r="D1634" t="s">
        <v>1785</v>
      </c>
      <c r="E1634" t="s">
        <v>1786</v>
      </c>
      <c r="F1634" t="s">
        <v>1797</v>
      </c>
      <c r="G1634" s="5">
        <v>98488</v>
      </c>
      <c r="H1634" t="s">
        <v>1803</v>
      </c>
      <c r="I1634" t="s">
        <v>1807</v>
      </c>
      <c r="J1634" s="2">
        <v>43496</v>
      </c>
      <c r="K1634">
        <f t="shared" ca="1" si="50"/>
        <v>6</v>
      </c>
      <c r="L1634">
        <f t="shared" ca="1" si="51"/>
        <v>10</v>
      </c>
      <c r="M1634" t="s">
        <v>1810</v>
      </c>
      <c r="N1634">
        <v>4</v>
      </c>
      <c r="O1634" t="s">
        <v>1816</v>
      </c>
      <c r="P1634" t="s">
        <v>1831</v>
      </c>
    </row>
    <row r="1635" spans="1:16" x14ac:dyDescent="0.3">
      <c r="A1635" t="s">
        <v>1646</v>
      </c>
      <c r="B1635" t="s">
        <v>1748</v>
      </c>
      <c r="C1635">
        <v>58</v>
      </c>
      <c r="D1635" t="s">
        <v>1785</v>
      </c>
      <c r="E1635" t="s">
        <v>1793</v>
      </c>
      <c r="F1635" t="s">
        <v>1797</v>
      </c>
      <c r="G1635" s="5">
        <v>73694</v>
      </c>
      <c r="H1635" t="s">
        <v>1805</v>
      </c>
      <c r="I1635" t="s">
        <v>1807</v>
      </c>
      <c r="J1635" s="2">
        <v>42803</v>
      </c>
      <c r="K1635">
        <f t="shared" ca="1" si="50"/>
        <v>8</v>
      </c>
      <c r="L1635">
        <f t="shared" ca="1" si="51"/>
        <v>9</v>
      </c>
      <c r="M1635" t="s">
        <v>1810</v>
      </c>
      <c r="N1635">
        <v>1</v>
      </c>
      <c r="O1635" t="s">
        <v>1815</v>
      </c>
      <c r="P1635" t="s">
        <v>1834</v>
      </c>
    </row>
    <row r="1636" spans="1:16" x14ac:dyDescent="0.3">
      <c r="A1636" t="s">
        <v>1647</v>
      </c>
      <c r="B1636" t="s">
        <v>1777</v>
      </c>
      <c r="C1636">
        <v>35</v>
      </c>
      <c r="D1636" t="s">
        <v>1784</v>
      </c>
      <c r="E1636" t="s">
        <v>1791</v>
      </c>
      <c r="F1636" t="s">
        <v>1794</v>
      </c>
      <c r="G1636" s="5">
        <v>44813</v>
      </c>
      <c r="H1636" t="s">
        <v>1803</v>
      </c>
      <c r="I1636" t="s">
        <v>1807</v>
      </c>
      <c r="J1636" s="2">
        <v>43390</v>
      </c>
      <c r="K1636">
        <f t="shared" ca="1" si="50"/>
        <v>7</v>
      </c>
      <c r="L1636">
        <f t="shared" ca="1" si="51"/>
        <v>1</v>
      </c>
      <c r="M1636" t="s">
        <v>1809</v>
      </c>
      <c r="N1636">
        <v>4</v>
      </c>
      <c r="O1636" t="s">
        <v>1811</v>
      </c>
      <c r="P1636" t="s">
        <v>1833</v>
      </c>
    </row>
    <row r="1637" spans="1:16" x14ac:dyDescent="0.3">
      <c r="A1637" t="s">
        <v>1648</v>
      </c>
      <c r="B1637" t="s">
        <v>1740</v>
      </c>
      <c r="C1637">
        <v>31</v>
      </c>
      <c r="D1637" t="s">
        <v>1783</v>
      </c>
      <c r="E1637" t="s">
        <v>1792</v>
      </c>
      <c r="F1637" t="s">
        <v>1796</v>
      </c>
      <c r="G1637" s="5">
        <v>51359</v>
      </c>
      <c r="H1637" t="s">
        <v>1805</v>
      </c>
      <c r="I1637" t="s">
        <v>1806</v>
      </c>
      <c r="J1637" s="2">
        <v>42824</v>
      </c>
      <c r="K1637">
        <f t="shared" ca="1" si="50"/>
        <v>8</v>
      </c>
      <c r="L1637">
        <f t="shared" ca="1" si="51"/>
        <v>8</v>
      </c>
      <c r="M1637" t="s">
        <v>1810</v>
      </c>
      <c r="N1637">
        <v>3</v>
      </c>
      <c r="O1637" t="s">
        <v>1818</v>
      </c>
      <c r="P1637" t="s">
        <v>1833</v>
      </c>
    </row>
    <row r="1638" spans="1:16" x14ac:dyDescent="0.3">
      <c r="A1638" t="s">
        <v>1649</v>
      </c>
      <c r="B1638" t="s">
        <v>1738</v>
      </c>
      <c r="C1638">
        <v>37</v>
      </c>
      <c r="D1638" t="s">
        <v>1784</v>
      </c>
      <c r="E1638" t="s">
        <v>1790</v>
      </c>
      <c r="F1638" t="s">
        <v>1796</v>
      </c>
      <c r="G1638" s="5">
        <v>36958</v>
      </c>
      <c r="H1638" t="s">
        <v>1801</v>
      </c>
      <c r="I1638" t="s">
        <v>1806</v>
      </c>
      <c r="J1638" s="2">
        <v>42836</v>
      </c>
      <c r="K1638">
        <f t="shared" ca="1" si="50"/>
        <v>8</v>
      </c>
      <c r="L1638">
        <f t="shared" ca="1" si="51"/>
        <v>7</v>
      </c>
      <c r="M1638" t="s">
        <v>1810</v>
      </c>
      <c r="N1638">
        <v>3</v>
      </c>
      <c r="O1638" t="s">
        <v>1818</v>
      </c>
      <c r="P1638" t="s">
        <v>1831</v>
      </c>
    </row>
    <row r="1639" spans="1:16" x14ac:dyDescent="0.3">
      <c r="A1639" t="s">
        <v>1650</v>
      </c>
      <c r="B1639" t="s">
        <v>1778</v>
      </c>
      <c r="C1639">
        <v>38</v>
      </c>
      <c r="D1639" t="s">
        <v>1784</v>
      </c>
      <c r="E1639" t="s">
        <v>1792</v>
      </c>
      <c r="F1639" t="s">
        <v>1800</v>
      </c>
      <c r="G1639" s="5">
        <v>92346</v>
      </c>
      <c r="H1639" t="s">
        <v>1803</v>
      </c>
      <c r="I1639" t="s">
        <v>1807</v>
      </c>
      <c r="J1639" s="2">
        <v>44363</v>
      </c>
      <c r="K1639">
        <f t="shared" ca="1" si="50"/>
        <v>4</v>
      </c>
      <c r="L1639">
        <f t="shared" ca="1" si="51"/>
        <v>5</v>
      </c>
      <c r="M1639" t="s">
        <v>1810</v>
      </c>
      <c r="N1639">
        <v>1</v>
      </c>
      <c r="O1639" t="s">
        <v>1816</v>
      </c>
      <c r="P1639" t="s">
        <v>1831</v>
      </c>
    </row>
    <row r="1640" spans="1:16" x14ac:dyDescent="0.3">
      <c r="A1640" t="s">
        <v>1651</v>
      </c>
      <c r="B1640" t="s">
        <v>1763</v>
      </c>
      <c r="C1640">
        <v>54</v>
      </c>
      <c r="D1640" t="s">
        <v>1785</v>
      </c>
      <c r="E1640" t="s">
        <v>1792</v>
      </c>
      <c r="F1640" t="s">
        <v>1795</v>
      </c>
      <c r="G1640" s="5">
        <v>89657</v>
      </c>
      <c r="H1640" t="s">
        <v>1801</v>
      </c>
      <c r="I1640" t="s">
        <v>1808</v>
      </c>
      <c r="J1640" s="2">
        <v>44329</v>
      </c>
      <c r="K1640">
        <f t="shared" ca="1" si="50"/>
        <v>4</v>
      </c>
      <c r="L1640">
        <f t="shared" ca="1" si="51"/>
        <v>6</v>
      </c>
      <c r="M1640" t="s">
        <v>1809</v>
      </c>
      <c r="N1640">
        <v>1</v>
      </c>
      <c r="O1640" t="s">
        <v>1814</v>
      </c>
      <c r="P1640" t="s">
        <v>1834</v>
      </c>
    </row>
    <row r="1641" spans="1:16" x14ac:dyDescent="0.3">
      <c r="A1641" t="s">
        <v>1652</v>
      </c>
      <c r="B1641" t="s">
        <v>1718</v>
      </c>
      <c r="C1641">
        <v>37</v>
      </c>
      <c r="D1641" t="s">
        <v>1784</v>
      </c>
      <c r="E1641" t="s">
        <v>1793</v>
      </c>
      <c r="F1641" t="s">
        <v>1799</v>
      </c>
      <c r="G1641" s="5">
        <v>47684</v>
      </c>
      <c r="H1641" t="s">
        <v>1804</v>
      </c>
      <c r="I1641" t="s">
        <v>1806</v>
      </c>
      <c r="J1641" s="2">
        <v>43194</v>
      </c>
      <c r="K1641">
        <f t="shared" ca="1" si="50"/>
        <v>7</v>
      </c>
      <c r="L1641">
        <f t="shared" ca="1" si="51"/>
        <v>8</v>
      </c>
      <c r="M1641" t="s">
        <v>1810</v>
      </c>
      <c r="N1641">
        <v>4</v>
      </c>
      <c r="O1641" t="s">
        <v>1814</v>
      </c>
      <c r="P1641" t="s">
        <v>1831</v>
      </c>
    </row>
    <row r="1642" spans="1:16" x14ac:dyDescent="0.3">
      <c r="A1642" t="s">
        <v>1653</v>
      </c>
      <c r="B1642" t="s">
        <v>1748</v>
      </c>
      <c r="C1642">
        <v>54</v>
      </c>
      <c r="D1642" t="s">
        <v>1785</v>
      </c>
      <c r="E1642" t="s">
        <v>1786</v>
      </c>
      <c r="F1642" t="s">
        <v>1795</v>
      </c>
      <c r="G1642" s="5">
        <v>109603</v>
      </c>
      <c r="H1642" t="s">
        <v>1803</v>
      </c>
      <c r="I1642" t="s">
        <v>1806</v>
      </c>
      <c r="J1642" s="2">
        <v>44971</v>
      </c>
      <c r="K1642">
        <f t="shared" ca="1" si="50"/>
        <v>2</v>
      </c>
      <c r="L1642">
        <f t="shared" ca="1" si="51"/>
        <v>9</v>
      </c>
      <c r="M1642" t="s">
        <v>1810</v>
      </c>
      <c r="N1642">
        <v>3</v>
      </c>
      <c r="O1642" t="s">
        <v>1811</v>
      </c>
      <c r="P1642" t="s">
        <v>1834</v>
      </c>
    </row>
    <row r="1643" spans="1:16" x14ac:dyDescent="0.3">
      <c r="A1643" t="s">
        <v>1654</v>
      </c>
      <c r="B1643" t="s">
        <v>1715</v>
      </c>
      <c r="C1643">
        <v>25</v>
      </c>
      <c r="D1643" t="s">
        <v>1784</v>
      </c>
      <c r="E1643" t="s">
        <v>1789</v>
      </c>
      <c r="F1643" t="s">
        <v>1796</v>
      </c>
      <c r="G1643" s="5">
        <v>95116</v>
      </c>
      <c r="H1643" t="s">
        <v>1804</v>
      </c>
      <c r="I1643" t="s">
        <v>1806</v>
      </c>
      <c r="J1643" s="2">
        <v>42639</v>
      </c>
      <c r="K1643">
        <f t="shared" ca="1" si="50"/>
        <v>9</v>
      </c>
      <c r="L1643">
        <f t="shared" ca="1" si="51"/>
        <v>2</v>
      </c>
      <c r="M1643" t="s">
        <v>1809</v>
      </c>
      <c r="N1643">
        <v>1</v>
      </c>
      <c r="O1643" t="s">
        <v>1816</v>
      </c>
      <c r="P1643" t="s">
        <v>1832</v>
      </c>
    </row>
    <row r="1644" spans="1:16" x14ac:dyDescent="0.3">
      <c r="A1644" t="s">
        <v>1655</v>
      </c>
      <c r="B1644" t="s">
        <v>1760</v>
      </c>
      <c r="C1644">
        <v>31</v>
      </c>
      <c r="D1644" t="s">
        <v>1783</v>
      </c>
      <c r="E1644" t="s">
        <v>1790</v>
      </c>
      <c r="F1644" t="s">
        <v>1798</v>
      </c>
      <c r="G1644" s="5">
        <v>65358</v>
      </c>
      <c r="H1644" t="s">
        <v>1803</v>
      </c>
      <c r="I1644" t="s">
        <v>1806</v>
      </c>
      <c r="J1644" s="2">
        <v>42620</v>
      </c>
      <c r="K1644">
        <f t="shared" ca="1" si="50"/>
        <v>9</v>
      </c>
      <c r="L1644">
        <f t="shared" ca="1" si="51"/>
        <v>3</v>
      </c>
      <c r="M1644" t="s">
        <v>1810</v>
      </c>
      <c r="N1644">
        <v>1</v>
      </c>
      <c r="O1644" t="s">
        <v>1813</v>
      </c>
      <c r="P1644" t="s">
        <v>1833</v>
      </c>
    </row>
    <row r="1645" spans="1:16" x14ac:dyDescent="0.3">
      <c r="A1645" t="s">
        <v>1656</v>
      </c>
      <c r="B1645" t="s">
        <v>1726</v>
      </c>
      <c r="C1645">
        <v>47</v>
      </c>
      <c r="D1645" t="s">
        <v>1785</v>
      </c>
      <c r="E1645" t="s">
        <v>1792</v>
      </c>
      <c r="F1645" t="s">
        <v>1799</v>
      </c>
      <c r="G1645" s="5">
        <v>47762</v>
      </c>
      <c r="H1645" t="s">
        <v>1805</v>
      </c>
      <c r="I1645" t="s">
        <v>1806</v>
      </c>
      <c r="J1645" s="2">
        <v>45521</v>
      </c>
      <c r="K1645">
        <f t="shared" ca="1" si="50"/>
        <v>1</v>
      </c>
      <c r="L1645">
        <f t="shared" ca="1" si="51"/>
        <v>3</v>
      </c>
      <c r="M1645" t="s">
        <v>1810</v>
      </c>
      <c r="N1645">
        <v>2</v>
      </c>
      <c r="O1645" t="s">
        <v>1811</v>
      </c>
      <c r="P1645" t="s">
        <v>1834</v>
      </c>
    </row>
    <row r="1646" spans="1:16" x14ac:dyDescent="0.3">
      <c r="A1646" t="s">
        <v>1657</v>
      </c>
      <c r="B1646" t="s">
        <v>1722</v>
      </c>
      <c r="C1646">
        <v>46</v>
      </c>
      <c r="D1646" t="s">
        <v>1785</v>
      </c>
      <c r="E1646" t="s">
        <v>1791</v>
      </c>
      <c r="F1646" t="s">
        <v>1795</v>
      </c>
      <c r="G1646" s="5">
        <v>31108</v>
      </c>
      <c r="H1646" t="s">
        <v>1805</v>
      </c>
      <c r="I1646" t="s">
        <v>1808</v>
      </c>
      <c r="J1646" s="2">
        <v>43780</v>
      </c>
      <c r="K1646">
        <f t="shared" ca="1" si="50"/>
        <v>6</v>
      </c>
      <c r="L1646">
        <f t="shared" ca="1" si="51"/>
        <v>0</v>
      </c>
      <c r="M1646" t="s">
        <v>1810</v>
      </c>
      <c r="N1646">
        <v>5</v>
      </c>
      <c r="O1646" t="s">
        <v>1818</v>
      </c>
      <c r="P1646" t="s">
        <v>1834</v>
      </c>
    </row>
    <row r="1647" spans="1:16" x14ac:dyDescent="0.3">
      <c r="A1647" t="s">
        <v>1658</v>
      </c>
      <c r="B1647" t="s">
        <v>1723</v>
      </c>
      <c r="C1647">
        <v>20</v>
      </c>
      <c r="D1647" t="s">
        <v>1783</v>
      </c>
      <c r="E1647" t="s">
        <v>1792</v>
      </c>
      <c r="F1647" t="s">
        <v>1794</v>
      </c>
      <c r="G1647" s="5">
        <v>95872</v>
      </c>
      <c r="H1647" t="s">
        <v>1805</v>
      </c>
      <c r="I1647" t="s">
        <v>1808</v>
      </c>
      <c r="J1647" s="2">
        <v>45743</v>
      </c>
      <c r="K1647">
        <f t="shared" ca="1" si="50"/>
        <v>0</v>
      </c>
      <c r="L1647">
        <f t="shared" ca="1" si="51"/>
        <v>8</v>
      </c>
      <c r="M1647" t="s">
        <v>1809</v>
      </c>
      <c r="N1647">
        <v>3</v>
      </c>
      <c r="O1647" t="s">
        <v>1814</v>
      </c>
      <c r="P1647" t="s">
        <v>1832</v>
      </c>
    </row>
    <row r="1648" spans="1:16" x14ac:dyDescent="0.3">
      <c r="A1648" t="s">
        <v>1659</v>
      </c>
      <c r="B1648" t="s">
        <v>1761</v>
      </c>
      <c r="C1648">
        <v>38</v>
      </c>
      <c r="D1648" t="s">
        <v>1784</v>
      </c>
      <c r="E1648" t="s">
        <v>1787</v>
      </c>
      <c r="F1648" t="s">
        <v>1799</v>
      </c>
      <c r="G1648" s="5">
        <v>107444</v>
      </c>
      <c r="H1648" t="s">
        <v>1804</v>
      </c>
      <c r="I1648" t="s">
        <v>1806</v>
      </c>
      <c r="J1648" s="2">
        <v>45966</v>
      </c>
      <c r="K1648">
        <f t="shared" ca="1" si="50"/>
        <v>0</v>
      </c>
      <c r="L1648">
        <f t="shared" ca="1" si="51"/>
        <v>1</v>
      </c>
      <c r="M1648" t="s">
        <v>1810</v>
      </c>
      <c r="N1648">
        <v>4</v>
      </c>
      <c r="O1648" t="s">
        <v>1812</v>
      </c>
      <c r="P1648" t="s">
        <v>1831</v>
      </c>
    </row>
    <row r="1649" spans="1:16" x14ac:dyDescent="0.3">
      <c r="A1649" t="s">
        <v>1660</v>
      </c>
      <c r="B1649" t="s">
        <v>1716</v>
      </c>
      <c r="C1649">
        <v>40</v>
      </c>
      <c r="D1649" t="s">
        <v>1784</v>
      </c>
      <c r="E1649" t="s">
        <v>1788</v>
      </c>
      <c r="F1649" t="s">
        <v>1797</v>
      </c>
      <c r="G1649" s="5">
        <v>39211</v>
      </c>
      <c r="H1649" t="s">
        <v>1804</v>
      </c>
      <c r="I1649" t="s">
        <v>1808</v>
      </c>
      <c r="J1649" s="2">
        <v>44173</v>
      </c>
      <c r="K1649">
        <f t="shared" ca="1" si="50"/>
        <v>5</v>
      </c>
      <c r="L1649">
        <f t="shared" ca="1" si="51"/>
        <v>0</v>
      </c>
      <c r="M1649" t="s">
        <v>1810</v>
      </c>
      <c r="N1649">
        <v>4</v>
      </c>
      <c r="O1649" t="s">
        <v>1812</v>
      </c>
      <c r="P1649" t="s">
        <v>1831</v>
      </c>
    </row>
    <row r="1650" spans="1:16" x14ac:dyDescent="0.3">
      <c r="A1650" t="s">
        <v>1661</v>
      </c>
      <c r="B1650" t="s">
        <v>1753</v>
      </c>
      <c r="C1650">
        <v>21</v>
      </c>
      <c r="D1650" t="s">
        <v>1785</v>
      </c>
      <c r="E1650" t="s">
        <v>1790</v>
      </c>
      <c r="F1650" t="s">
        <v>1799</v>
      </c>
      <c r="G1650" s="5">
        <v>58438</v>
      </c>
      <c r="H1650" t="s">
        <v>1804</v>
      </c>
      <c r="I1650" t="s">
        <v>1807</v>
      </c>
      <c r="J1650" s="2">
        <v>43225</v>
      </c>
      <c r="K1650">
        <f t="shared" ca="1" si="50"/>
        <v>7</v>
      </c>
      <c r="L1650">
        <f t="shared" ca="1" si="51"/>
        <v>7</v>
      </c>
      <c r="M1650" t="s">
        <v>1809</v>
      </c>
      <c r="N1650">
        <v>4</v>
      </c>
      <c r="O1650" t="s">
        <v>1816</v>
      </c>
      <c r="P1650" t="s">
        <v>1832</v>
      </c>
    </row>
    <row r="1651" spans="1:16" x14ac:dyDescent="0.3">
      <c r="A1651" t="s">
        <v>1662</v>
      </c>
      <c r="B1651" t="s">
        <v>1742</v>
      </c>
      <c r="C1651">
        <v>43</v>
      </c>
      <c r="D1651" t="s">
        <v>1784</v>
      </c>
      <c r="E1651" t="s">
        <v>1787</v>
      </c>
      <c r="F1651" t="s">
        <v>1799</v>
      </c>
      <c r="G1651" s="5">
        <v>67972</v>
      </c>
      <c r="H1651" t="s">
        <v>1802</v>
      </c>
      <c r="I1651" t="s">
        <v>1806</v>
      </c>
      <c r="J1651" s="2">
        <v>43192</v>
      </c>
      <c r="K1651">
        <f t="shared" ca="1" si="50"/>
        <v>7</v>
      </c>
      <c r="L1651">
        <f t="shared" ca="1" si="51"/>
        <v>8</v>
      </c>
      <c r="M1651" t="s">
        <v>1810</v>
      </c>
      <c r="N1651">
        <v>3</v>
      </c>
      <c r="O1651" t="s">
        <v>1814</v>
      </c>
      <c r="P1651" t="s">
        <v>1831</v>
      </c>
    </row>
    <row r="1652" spans="1:16" x14ac:dyDescent="0.3">
      <c r="A1652" t="s">
        <v>1663</v>
      </c>
      <c r="B1652" t="s">
        <v>1714</v>
      </c>
      <c r="C1652">
        <v>45</v>
      </c>
      <c r="D1652" t="s">
        <v>1785</v>
      </c>
      <c r="E1652" t="s">
        <v>1789</v>
      </c>
      <c r="F1652" t="s">
        <v>1795</v>
      </c>
      <c r="G1652" s="5">
        <v>97121</v>
      </c>
      <c r="H1652" t="s">
        <v>1804</v>
      </c>
      <c r="I1652" t="s">
        <v>1807</v>
      </c>
      <c r="J1652" s="2">
        <v>42657</v>
      </c>
      <c r="K1652">
        <f t="shared" ca="1" si="50"/>
        <v>9</v>
      </c>
      <c r="L1652">
        <f t="shared" ca="1" si="51"/>
        <v>1</v>
      </c>
      <c r="M1652" t="s">
        <v>1809</v>
      </c>
      <c r="N1652">
        <v>4</v>
      </c>
      <c r="O1652" t="s">
        <v>1816</v>
      </c>
      <c r="P1652" t="s">
        <v>1831</v>
      </c>
    </row>
    <row r="1653" spans="1:16" x14ac:dyDescent="0.3">
      <c r="A1653" t="s">
        <v>1664</v>
      </c>
      <c r="B1653" t="s">
        <v>1761</v>
      </c>
      <c r="C1653">
        <v>31</v>
      </c>
      <c r="D1653" t="s">
        <v>1783</v>
      </c>
      <c r="E1653" t="s">
        <v>1788</v>
      </c>
      <c r="F1653" t="s">
        <v>1799</v>
      </c>
      <c r="G1653" s="5">
        <v>41729</v>
      </c>
      <c r="H1653" t="s">
        <v>1803</v>
      </c>
      <c r="I1653" t="s">
        <v>1808</v>
      </c>
      <c r="J1653" s="2">
        <v>44397</v>
      </c>
      <c r="K1653">
        <f t="shared" ca="1" si="50"/>
        <v>4</v>
      </c>
      <c r="L1653">
        <f t="shared" ca="1" si="51"/>
        <v>4</v>
      </c>
      <c r="M1653" t="s">
        <v>1810</v>
      </c>
      <c r="N1653">
        <v>3</v>
      </c>
      <c r="O1653" t="s">
        <v>1811</v>
      </c>
      <c r="P1653" t="s">
        <v>1833</v>
      </c>
    </row>
    <row r="1654" spans="1:16" x14ac:dyDescent="0.3">
      <c r="A1654" t="s">
        <v>1665</v>
      </c>
      <c r="B1654" t="s">
        <v>1751</v>
      </c>
      <c r="C1654">
        <v>40</v>
      </c>
      <c r="D1654" t="s">
        <v>1785</v>
      </c>
      <c r="E1654" t="s">
        <v>1793</v>
      </c>
      <c r="F1654" t="s">
        <v>1797</v>
      </c>
      <c r="G1654" s="5">
        <v>69136</v>
      </c>
      <c r="H1654" t="s">
        <v>1801</v>
      </c>
      <c r="I1654" t="s">
        <v>1807</v>
      </c>
      <c r="J1654" s="2">
        <v>43162</v>
      </c>
      <c r="K1654">
        <f t="shared" ca="1" si="50"/>
        <v>7</v>
      </c>
      <c r="L1654">
        <f t="shared" ca="1" si="51"/>
        <v>9</v>
      </c>
      <c r="M1654" t="s">
        <v>1810</v>
      </c>
      <c r="N1654">
        <v>1</v>
      </c>
      <c r="O1654" t="s">
        <v>1813</v>
      </c>
      <c r="P1654" t="s">
        <v>1831</v>
      </c>
    </row>
    <row r="1655" spans="1:16" x14ac:dyDescent="0.3">
      <c r="A1655" t="s">
        <v>1666</v>
      </c>
      <c r="B1655" t="s">
        <v>1741</v>
      </c>
      <c r="C1655">
        <v>52</v>
      </c>
      <c r="D1655" t="s">
        <v>1784</v>
      </c>
      <c r="E1655" t="s">
        <v>1787</v>
      </c>
      <c r="F1655" t="s">
        <v>1797</v>
      </c>
      <c r="G1655" s="5">
        <v>25860</v>
      </c>
      <c r="H1655" t="s">
        <v>1805</v>
      </c>
      <c r="I1655" t="s">
        <v>1807</v>
      </c>
      <c r="J1655" s="2">
        <v>42881</v>
      </c>
      <c r="K1655">
        <f t="shared" ca="1" si="50"/>
        <v>8</v>
      </c>
      <c r="L1655">
        <f t="shared" ca="1" si="51"/>
        <v>6</v>
      </c>
      <c r="M1655" t="s">
        <v>1810</v>
      </c>
      <c r="N1655">
        <v>5</v>
      </c>
      <c r="O1655" t="s">
        <v>1811</v>
      </c>
      <c r="P1655" t="s">
        <v>1834</v>
      </c>
    </row>
    <row r="1656" spans="1:16" x14ac:dyDescent="0.3">
      <c r="A1656" t="s">
        <v>1667</v>
      </c>
      <c r="B1656" t="s">
        <v>1747</v>
      </c>
      <c r="C1656">
        <v>51</v>
      </c>
      <c r="D1656" t="s">
        <v>1785</v>
      </c>
      <c r="E1656" t="s">
        <v>1791</v>
      </c>
      <c r="F1656" t="s">
        <v>1799</v>
      </c>
      <c r="G1656" s="5">
        <v>43674</v>
      </c>
      <c r="H1656" t="s">
        <v>1801</v>
      </c>
      <c r="I1656" t="s">
        <v>1807</v>
      </c>
      <c r="J1656" s="2">
        <v>44804</v>
      </c>
      <c r="K1656">
        <f t="shared" ca="1" si="50"/>
        <v>3</v>
      </c>
      <c r="L1656">
        <f t="shared" ca="1" si="51"/>
        <v>3</v>
      </c>
      <c r="M1656" t="s">
        <v>1810</v>
      </c>
      <c r="N1656">
        <v>4</v>
      </c>
      <c r="O1656" t="s">
        <v>1818</v>
      </c>
      <c r="P1656" t="s">
        <v>1834</v>
      </c>
    </row>
    <row r="1657" spans="1:16" x14ac:dyDescent="0.3">
      <c r="A1657" t="s">
        <v>1668</v>
      </c>
      <c r="B1657" t="s">
        <v>1728</v>
      </c>
      <c r="C1657">
        <v>28</v>
      </c>
      <c r="D1657" t="s">
        <v>1785</v>
      </c>
      <c r="E1657" t="s">
        <v>1787</v>
      </c>
      <c r="F1657" t="s">
        <v>1799</v>
      </c>
      <c r="G1657" s="5">
        <v>52487</v>
      </c>
      <c r="H1657" t="s">
        <v>1802</v>
      </c>
      <c r="I1657" t="s">
        <v>1806</v>
      </c>
      <c r="J1657" s="2">
        <v>45763</v>
      </c>
      <c r="K1657">
        <f t="shared" ca="1" si="50"/>
        <v>0</v>
      </c>
      <c r="L1657">
        <f t="shared" ca="1" si="51"/>
        <v>7</v>
      </c>
      <c r="M1657" t="s">
        <v>1810</v>
      </c>
      <c r="N1657">
        <v>1</v>
      </c>
      <c r="O1657" t="s">
        <v>1816</v>
      </c>
      <c r="P1657" t="s">
        <v>1833</v>
      </c>
    </row>
    <row r="1658" spans="1:16" x14ac:dyDescent="0.3">
      <c r="A1658" t="s">
        <v>1669</v>
      </c>
      <c r="B1658" t="s">
        <v>1769</v>
      </c>
      <c r="C1658">
        <v>23</v>
      </c>
      <c r="D1658" t="s">
        <v>1783</v>
      </c>
      <c r="E1658" t="s">
        <v>1788</v>
      </c>
      <c r="F1658" t="s">
        <v>1794</v>
      </c>
      <c r="G1658" s="5">
        <v>47990</v>
      </c>
      <c r="H1658" t="s">
        <v>1803</v>
      </c>
      <c r="I1658" t="s">
        <v>1808</v>
      </c>
      <c r="J1658" s="2">
        <v>43371</v>
      </c>
      <c r="K1658">
        <f t="shared" ca="1" si="50"/>
        <v>7</v>
      </c>
      <c r="L1658">
        <f t="shared" ca="1" si="51"/>
        <v>2</v>
      </c>
      <c r="M1658" t="s">
        <v>1810</v>
      </c>
      <c r="N1658">
        <v>3</v>
      </c>
      <c r="O1658" t="s">
        <v>1811</v>
      </c>
      <c r="P1658" t="s">
        <v>1832</v>
      </c>
    </row>
    <row r="1659" spans="1:16" x14ac:dyDescent="0.3">
      <c r="A1659" t="s">
        <v>1670</v>
      </c>
      <c r="B1659" t="s">
        <v>1764</v>
      </c>
      <c r="C1659">
        <v>49</v>
      </c>
      <c r="D1659" t="s">
        <v>1785</v>
      </c>
      <c r="E1659" t="s">
        <v>1789</v>
      </c>
      <c r="F1659" t="s">
        <v>1798</v>
      </c>
      <c r="G1659" s="5">
        <v>101303</v>
      </c>
      <c r="H1659" t="s">
        <v>1804</v>
      </c>
      <c r="I1659" t="s">
        <v>1808</v>
      </c>
      <c r="J1659" s="2">
        <v>44543</v>
      </c>
      <c r="K1659">
        <f t="shared" ca="1" si="50"/>
        <v>4</v>
      </c>
      <c r="L1659">
        <f t="shared" ca="1" si="51"/>
        <v>11</v>
      </c>
      <c r="M1659" t="s">
        <v>1809</v>
      </c>
      <c r="N1659">
        <v>3</v>
      </c>
      <c r="O1659" t="s">
        <v>1816</v>
      </c>
      <c r="P1659" t="s">
        <v>1834</v>
      </c>
    </row>
    <row r="1660" spans="1:16" x14ac:dyDescent="0.3">
      <c r="A1660" t="s">
        <v>1671</v>
      </c>
      <c r="B1660" t="s">
        <v>1745</v>
      </c>
      <c r="C1660">
        <v>55</v>
      </c>
      <c r="D1660" t="s">
        <v>1785</v>
      </c>
      <c r="E1660" t="s">
        <v>1786</v>
      </c>
      <c r="F1660" t="s">
        <v>1796</v>
      </c>
      <c r="G1660" s="5">
        <v>83989</v>
      </c>
      <c r="H1660" t="s">
        <v>1804</v>
      </c>
      <c r="I1660" t="s">
        <v>1808</v>
      </c>
      <c r="J1660" s="2">
        <v>45702</v>
      </c>
      <c r="K1660">
        <f t="shared" ca="1" si="50"/>
        <v>0</v>
      </c>
      <c r="L1660">
        <f t="shared" ca="1" si="51"/>
        <v>9</v>
      </c>
      <c r="M1660" t="s">
        <v>1810</v>
      </c>
      <c r="N1660">
        <v>1</v>
      </c>
      <c r="O1660" t="s">
        <v>1818</v>
      </c>
      <c r="P1660" t="s">
        <v>1834</v>
      </c>
    </row>
    <row r="1661" spans="1:16" x14ac:dyDescent="0.3">
      <c r="A1661" t="s">
        <v>1672</v>
      </c>
      <c r="B1661" t="s">
        <v>1754</v>
      </c>
      <c r="C1661">
        <v>39</v>
      </c>
      <c r="D1661" t="s">
        <v>1785</v>
      </c>
      <c r="E1661" t="s">
        <v>1789</v>
      </c>
      <c r="F1661" t="s">
        <v>1794</v>
      </c>
      <c r="G1661" s="5">
        <v>55382</v>
      </c>
      <c r="H1661" t="s">
        <v>1803</v>
      </c>
      <c r="I1661" t="s">
        <v>1808</v>
      </c>
      <c r="J1661" s="2">
        <v>45468</v>
      </c>
      <c r="K1661">
        <f t="shared" ca="1" si="50"/>
        <v>1</v>
      </c>
      <c r="L1661">
        <f t="shared" ca="1" si="51"/>
        <v>5</v>
      </c>
      <c r="M1661" t="s">
        <v>1809</v>
      </c>
      <c r="N1661">
        <v>2</v>
      </c>
      <c r="O1661" t="s">
        <v>1813</v>
      </c>
      <c r="P1661" t="s">
        <v>1831</v>
      </c>
    </row>
    <row r="1662" spans="1:16" x14ac:dyDescent="0.3">
      <c r="A1662" t="s">
        <v>1673</v>
      </c>
      <c r="B1662" t="s">
        <v>1769</v>
      </c>
      <c r="C1662">
        <v>32</v>
      </c>
      <c r="D1662" t="s">
        <v>1783</v>
      </c>
      <c r="E1662" t="s">
        <v>1790</v>
      </c>
      <c r="F1662" t="s">
        <v>1799</v>
      </c>
      <c r="G1662" s="5">
        <v>55416</v>
      </c>
      <c r="H1662" t="s">
        <v>1805</v>
      </c>
      <c r="I1662" t="s">
        <v>1806</v>
      </c>
      <c r="J1662" s="2">
        <v>45572</v>
      </c>
      <c r="K1662">
        <f t="shared" ca="1" si="50"/>
        <v>1</v>
      </c>
      <c r="L1662">
        <f t="shared" ca="1" si="51"/>
        <v>2</v>
      </c>
      <c r="M1662" t="s">
        <v>1810</v>
      </c>
      <c r="N1662">
        <v>5</v>
      </c>
      <c r="O1662" t="s">
        <v>1813</v>
      </c>
      <c r="P1662" t="s">
        <v>1833</v>
      </c>
    </row>
    <row r="1663" spans="1:16" x14ac:dyDescent="0.3">
      <c r="A1663" t="s">
        <v>1674</v>
      </c>
      <c r="B1663" t="s">
        <v>1774</v>
      </c>
      <c r="C1663">
        <v>45</v>
      </c>
      <c r="D1663" t="s">
        <v>1783</v>
      </c>
      <c r="E1663" t="s">
        <v>1786</v>
      </c>
      <c r="F1663" t="s">
        <v>1796</v>
      </c>
      <c r="G1663" s="5">
        <v>105097</v>
      </c>
      <c r="H1663" t="s">
        <v>1802</v>
      </c>
      <c r="I1663" t="s">
        <v>1808</v>
      </c>
      <c r="J1663" s="2">
        <v>43133</v>
      </c>
      <c r="K1663">
        <f t="shared" ca="1" si="50"/>
        <v>7</v>
      </c>
      <c r="L1663">
        <f t="shared" ca="1" si="51"/>
        <v>10</v>
      </c>
      <c r="M1663" t="s">
        <v>1809</v>
      </c>
      <c r="N1663">
        <v>2</v>
      </c>
      <c r="O1663" t="s">
        <v>1811</v>
      </c>
      <c r="P1663" t="s">
        <v>1831</v>
      </c>
    </row>
    <row r="1664" spans="1:16" x14ac:dyDescent="0.3">
      <c r="A1664" t="s">
        <v>1675</v>
      </c>
      <c r="B1664" t="s">
        <v>1751</v>
      </c>
      <c r="C1664">
        <v>24</v>
      </c>
      <c r="D1664" t="s">
        <v>1784</v>
      </c>
      <c r="E1664" t="s">
        <v>1789</v>
      </c>
      <c r="F1664" t="s">
        <v>1797</v>
      </c>
      <c r="G1664" s="5">
        <v>111613</v>
      </c>
      <c r="H1664" t="s">
        <v>1805</v>
      </c>
      <c r="I1664" t="s">
        <v>1807</v>
      </c>
      <c r="J1664" s="2">
        <v>45719</v>
      </c>
      <c r="K1664">
        <f t="shared" ca="1" si="50"/>
        <v>0</v>
      </c>
      <c r="L1664">
        <f t="shared" ca="1" si="51"/>
        <v>9</v>
      </c>
      <c r="M1664" t="s">
        <v>1809</v>
      </c>
      <c r="N1664">
        <v>5</v>
      </c>
      <c r="O1664" t="s">
        <v>1811</v>
      </c>
      <c r="P1664" t="s">
        <v>1832</v>
      </c>
    </row>
    <row r="1665" spans="1:16" x14ac:dyDescent="0.3">
      <c r="A1665" t="s">
        <v>1676</v>
      </c>
      <c r="B1665" t="s">
        <v>1742</v>
      </c>
      <c r="C1665">
        <v>22</v>
      </c>
      <c r="D1665" t="s">
        <v>1784</v>
      </c>
      <c r="E1665" t="s">
        <v>1789</v>
      </c>
      <c r="F1665" t="s">
        <v>1794</v>
      </c>
      <c r="G1665" s="5">
        <v>111684</v>
      </c>
      <c r="H1665" t="s">
        <v>1802</v>
      </c>
      <c r="I1665" t="s">
        <v>1807</v>
      </c>
      <c r="J1665" s="2">
        <v>44021</v>
      </c>
      <c r="K1665">
        <f t="shared" ca="1" si="50"/>
        <v>5</v>
      </c>
      <c r="L1665">
        <f t="shared" ca="1" si="51"/>
        <v>5</v>
      </c>
      <c r="M1665" t="s">
        <v>1809</v>
      </c>
      <c r="N1665">
        <v>3</v>
      </c>
      <c r="O1665" t="s">
        <v>1816</v>
      </c>
      <c r="P1665" t="s">
        <v>1832</v>
      </c>
    </row>
    <row r="1666" spans="1:16" x14ac:dyDescent="0.3">
      <c r="A1666" t="s">
        <v>1677</v>
      </c>
      <c r="B1666" t="s">
        <v>1763</v>
      </c>
      <c r="C1666">
        <v>34</v>
      </c>
      <c r="D1666" t="s">
        <v>1784</v>
      </c>
      <c r="E1666" t="s">
        <v>1786</v>
      </c>
      <c r="F1666" t="s">
        <v>1797</v>
      </c>
      <c r="G1666" s="5">
        <v>58053</v>
      </c>
      <c r="H1666" t="s">
        <v>1801</v>
      </c>
      <c r="I1666" t="s">
        <v>1806</v>
      </c>
      <c r="J1666" s="2">
        <v>45664</v>
      </c>
      <c r="K1666">
        <f t="shared" ca="1" si="50"/>
        <v>0</v>
      </c>
      <c r="L1666">
        <f t="shared" ca="1" si="51"/>
        <v>11</v>
      </c>
      <c r="M1666" t="s">
        <v>1809</v>
      </c>
      <c r="N1666">
        <v>5</v>
      </c>
      <c r="O1666" t="s">
        <v>1813</v>
      </c>
      <c r="P1666" t="s">
        <v>1833</v>
      </c>
    </row>
    <row r="1667" spans="1:16" x14ac:dyDescent="0.3">
      <c r="A1667" t="s">
        <v>1678</v>
      </c>
      <c r="B1667" t="s">
        <v>1723</v>
      </c>
      <c r="C1667">
        <v>50</v>
      </c>
      <c r="D1667" t="s">
        <v>1785</v>
      </c>
      <c r="E1667" t="s">
        <v>1788</v>
      </c>
      <c r="F1667" t="s">
        <v>1797</v>
      </c>
      <c r="G1667" s="5">
        <v>85395</v>
      </c>
      <c r="H1667" t="s">
        <v>1803</v>
      </c>
      <c r="I1667" t="s">
        <v>1808</v>
      </c>
      <c r="J1667" s="2">
        <v>43143</v>
      </c>
      <c r="K1667">
        <f t="shared" ref="K1667:K1701" ca="1" si="52">YEAR(TODAY()) - YEAR(J1667)</f>
        <v>7</v>
      </c>
      <c r="L1667">
        <f t="shared" ref="L1667:L1701" ca="1" si="53">DATEDIF(J1667,TODAY(),"YM")</f>
        <v>9</v>
      </c>
      <c r="M1667" t="s">
        <v>1810</v>
      </c>
      <c r="N1667">
        <v>3</v>
      </c>
      <c r="O1667" t="s">
        <v>1814</v>
      </c>
      <c r="P1667" t="s">
        <v>1834</v>
      </c>
    </row>
    <row r="1668" spans="1:16" x14ac:dyDescent="0.3">
      <c r="A1668" t="s">
        <v>1679</v>
      </c>
      <c r="B1668" t="s">
        <v>1775</v>
      </c>
      <c r="C1668">
        <v>36</v>
      </c>
      <c r="D1668" t="s">
        <v>1784</v>
      </c>
      <c r="E1668" t="s">
        <v>1792</v>
      </c>
      <c r="F1668" t="s">
        <v>1798</v>
      </c>
      <c r="G1668" s="5">
        <v>87695</v>
      </c>
      <c r="H1668" t="s">
        <v>1805</v>
      </c>
      <c r="I1668" t="s">
        <v>1808</v>
      </c>
      <c r="J1668" s="2">
        <v>45257</v>
      </c>
      <c r="K1668">
        <f t="shared" ca="1" si="52"/>
        <v>2</v>
      </c>
      <c r="L1668">
        <f t="shared" ca="1" si="53"/>
        <v>0</v>
      </c>
      <c r="M1668" t="s">
        <v>1809</v>
      </c>
      <c r="N1668">
        <v>4</v>
      </c>
      <c r="O1668" t="s">
        <v>1815</v>
      </c>
      <c r="P1668" t="s">
        <v>1831</v>
      </c>
    </row>
    <row r="1669" spans="1:16" x14ac:dyDescent="0.3">
      <c r="A1669" t="s">
        <v>1680</v>
      </c>
      <c r="B1669" t="s">
        <v>1747</v>
      </c>
      <c r="C1669">
        <v>55</v>
      </c>
      <c r="D1669" t="s">
        <v>1783</v>
      </c>
      <c r="E1669" t="s">
        <v>1792</v>
      </c>
      <c r="F1669" t="s">
        <v>1794</v>
      </c>
      <c r="G1669" s="5">
        <v>102120</v>
      </c>
      <c r="H1669" t="s">
        <v>1804</v>
      </c>
      <c r="I1669" t="s">
        <v>1807</v>
      </c>
      <c r="J1669" s="2">
        <v>45074</v>
      </c>
      <c r="K1669">
        <f t="shared" ca="1" si="52"/>
        <v>2</v>
      </c>
      <c r="L1669">
        <f t="shared" ca="1" si="53"/>
        <v>6</v>
      </c>
      <c r="M1669" t="s">
        <v>1809</v>
      </c>
      <c r="N1669">
        <v>2</v>
      </c>
      <c r="O1669" t="s">
        <v>1812</v>
      </c>
      <c r="P1669" t="s">
        <v>1834</v>
      </c>
    </row>
    <row r="1670" spans="1:16" x14ac:dyDescent="0.3">
      <c r="A1670" t="s">
        <v>1681</v>
      </c>
      <c r="B1670" t="s">
        <v>1771</v>
      </c>
      <c r="C1670">
        <v>36</v>
      </c>
      <c r="D1670" t="s">
        <v>1785</v>
      </c>
      <c r="E1670" t="s">
        <v>1787</v>
      </c>
      <c r="F1670" t="s">
        <v>1795</v>
      </c>
      <c r="G1670" s="5">
        <v>99539</v>
      </c>
      <c r="H1670" t="s">
        <v>1805</v>
      </c>
      <c r="I1670" t="s">
        <v>1808</v>
      </c>
      <c r="J1670" s="2">
        <v>44839</v>
      </c>
      <c r="K1670">
        <f t="shared" ca="1" si="52"/>
        <v>3</v>
      </c>
      <c r="L1670">
        <f t="shared" ca="1" si="53"/>
        <v>2</v>
      </c>
      <c r="M1670" t="s">
        <v>1809</v>
      </c>
      <c r="N1670">
        <v>5</v>
      </c>
      <c r="O1670" t="s">
        <v>1818</v>
      </c>
      <c r="P1670" t="s">
        <v>1831</v>
      </c>
    </row>
    <row r="1671" spans="1:16" x14ac:dyDescent="0.3">
      <c r="A1671" t="s">
        <v>1682</v>
      </c>
      <c r="B1671" t="s">
        <v>1766</v>
      </c>
      <c r="C1671">
        <v>50</v>
      </c>
      <c r="D1671" t="s">
        <v>1785</v>
      </c>
      <c r="E1671" t="s">
        <v>1791</v>
      </c>
      <c r="F1671" t="s">
        <v>1797</v>
      </c>
      <c r="G1671" s="5">
        <v>80828</v>
      </c>
      <c r="H1671" t="s">
        <v>1804</v>
      </c>
      <c r="I1671" t="s">
        <v>1808</v>
      </c>
      <c r="J1671" s="2">
        <v>45227</v>
      </c>
      <c r="K1671">
        <f t="shared" ca="1" si="52"/>
        <v>2</v>
      </c>
      <c r="L1671">
        <f t="shared" ca="1" si="53"/>
        <v>1</v>
      </c>
      <c r="M1671" t="s">
        <v>1809</v>
      </c>
      <c r="N1671">
        <v>3</v>
      </c>
      <c r="O1671" t="s">
        <v>1811</v>
      </c>
      <c r="P1671" t="s">
        <v>1834</v>
      </c>
    </row>
    <row r="1672" spans="1:16" x14ac:dyDescent="0.3">
      <c r="A1672" t="s">
        <v>1683</v>
      </c>
      <c r="B1672" t="s">
        <v>1779</v>
      </c>
      <c r="C1672">
        <v>25</v>
      </c>
      <c r="D1672" t="s">
        <v>1785</v>
      </c>
      <c r="E1672" t="s">
        <v>1787</v>
      </c>
      <c r="F1672" t="s">
        <v>1796</v>
      </c>
      <c r="G1672" s="5">
        <v>111123</v>
      </c>
      <c r="H1672" t="s">
        <v>1802</v>
      </c>
      <c r="I1672" t="s">
        <v>1808</v>
      </c>
      <c r="J1672" s="2">
        <v>42979</v>
      </c>
      <c r="K1672">
        <f t="shared" ca="1" si="52"/>
        <v>8</v>
      </c>
      <c r="L1672">
        <f t="shared" ca="1" si="53"/>
        <v>3</v>
      </c>
      <c r="M1672" t="s">
        <v>1809</v>
      </c>
      <c r="N1672">
        <v>5</v>
      </c>
      <c r="O1672" t="s">
        <v>1815</v>
      </c>
      <c r="P1672" t="s">
        <v>1832</v>
      </c>
    </row>
    <row r="1673" spans="1:16" x14ac:dyDescent="0.3">
      <c r="A1673" t="s">
        <v>1684</v>
      </c>
      <c r="B1673" t="s">
        <v>1770</v>
      </c>
      <c r="C1673">
        <v>30</v>
      </c>
      <c r="D1673" t="s">
        <v>1785</v>
      </c>
      <c r="E1673" t="s">
        <v>1786</v>
      </c>
      <c r="F1673" t="s">
        <v>1795</v>
      </c>
      <c r="G1673" s="5">
        <v>49230</v>
      </c>
      <c r="H1673" t="s">
        <v>1801</v>
      </c>
      <c r="I1673" t="s">
        <v>1807</v>
      </c>
      <c r="J1673" s="2">
        <v>42899</v>
      </c>
      <c r="K1673">
        <f t="shared" ca="1" si="52"/>
        <v>8</v>
      </c>
      <c r="L1673">
        <f t="shared" ca="1" si="53"/>
        <v>5</v>
      </c>
      <c r="M1673" t="s">
        <v>1810</v>
      </c>
      <c r="N1673">
        <v>1</v>
      </c>
      <c r="O1673" t="s">
        <v>1811</v>
      </c>
      <c r="P1673" t="s">
        <v>1833</v>
      </c>
    </row>
    <row r="1674" spans="1:16" x14ac:dyDescent="0.3">
      <c r="A1674" t="s">
        <v>1685</v>
      </c>
      <c r="B1674" t="s">
        <v>1772</v>
      </c>
      <c r="C1674">
        <v>33</v>
      </c>
      <c r="D1674" t="s">
        <v>1783</v>
      </c>
      <c r="E1674" t="s">
        <v>1792</v>
      </c>
      <c r="F1674" t="s">
        <v>1795</v>
      </c>
      <c r="G1674" s="5">
        <v>111282</v>
      </c>
      <c r="H1674" t="s">
        <v>1805</v>
      </c>
      <c r="I1674" t="s">
        <v>1807</v>
      </c>
      <c r="J1674" s="2">
        <v>43125</v>
      </c>
      <c r="K1674">
        <f t="shared" ca="1" si="52"/>
        <v>7</v>
      </c>
      <c r="L1674">
        <f t="shared" ca="1" si="53"/>
        <v>10</v>
      </c>
      <c r="M1674" t="s">
        <v>1809</v>
      </c>
      <c r="N1674">
        <v>1</v>
      </c>
      <c r="O1674" t="s">
        <v>1818</v>
      </c>
      <c r="P1674" t="s">
        <v>1833</v>
      </c>
    </row>
    <row r="1675" spans="1:16" x14ac:dyDescent="0.3">
      <c r="A1675" t="s">
        <v>1686</v>
      </c>
      <c r="B1675" t="s">
        <v>1713</v>
      </c>
      <c r="C1675">
        <v>31</v>
      </c>
      <c r="D1675" t="s">
        <v>1783</v>
      </c>
      <c r="E1675" t="s">
        <v>1791</v>
      </c>
      <c r="F1675" t="s">
        <v>1797</v>
      </c>
      <c r="G1675" s="5">
        <v>18276</v>
      </c>
      <c r="H1675" t="s">
        <v>1801</v>
      </c>
      <c r="I1675" t="s">
        <v>1806</v>
      </c>
      <c r="J1675" s="2">
        <v>44576</v>
      </c>
      <c r="K1675">
        <f t="shared" ca="1" si="52"/>
        <v>3</v>
      </c>
      <c r="L1675">
        <f t="shared" ca="1" si="53"/>
        <v>10</v>
      </c>
      <c r="M1675" t="s">
        <v>1810</v>
      </c>
      <c r="N1675">
        <v>4</v>
      </c>
      <c r="O1675" t="s">
        <v>1811</v>
      </c>
      <c r="P1675" t="s">
        <v>1833</v>
      </c>
    </row>
    <row r="1676" spans="1:16" x14ac:dyDescent="0.3">
      <c r="A1676" t="s">
        <v>1687</v>
      </c>
      <c r="B1676" t="s">
        <v>1716</v>
      </c>
      <c r="C1676">
        <v>22</v>
      </c>
      <c r="D1676" t="s">
        <v>1783</v>
      </c>
      <c r="E1676" t="s">
        <v>1790</v>
      </c>
      <c r="F1676" t="s">
        <v>1800</v>
      </c>
      <c r="G1676" s="5">
        <v>111698</v>
      </c>
      <c r="H1676" t="s">
        <v>1801</v>
      </c>
      <c r="I1676" t="s">
        <v>1807</v>
      </c>
      <c r="J1676" s="2">
        <v>44681</v>
      </c>
      <c r="K1676">
        <f t="shared" ca="1" si="52"/>
        <v>3</v>
      </c>
      <c r="L1676">
        <f t="shared" ca="1" si="53"/>
        <v>7</v>
      </c>
      <c r="M1676" t="s">
        <v>1809</v>
      </c>
      <c r="N1676">
        <v>3</v>
      </c>
      <c r="O1676" t="s">
        <v>1815</v>
      </c>
      <c r="P1676" t="s">
        <v>1832</v>
      </c>
    </row>
    <row r="1677" spans="1:16" x14ac:dyDescent="0.3">
      <c r="A1677" t="s">
        <v>1688</v>
      </c>
      <c r="B1677" t="s">
        <v>1731</v>
      </c>
      <c r="C1677">
        <v>25</v>
      </c>
      <c r="D1677" t="s">
        <v>1784</v>
      </c>
      <c r="E1677" t="s">
        <v>1792</v>
      </c>
      <c r="F1677" t="s">
        <v>1798</v>
      </c>
      <c r="G1677" s="5">
        <v>112962</v>
      </c>
      <c r="H1677" t="s">
        <v>1805</v>
      </c>
      <c r="I1677" t="s">
        <v>1808</v>
      </c>
      <c r="J1677" s="2">
        <v>43745</v>
      </c>
      <c r="K1677">
        <f t="shared" ca="1" si="52"/>
        <v>6</v>
      </c>
      <c r="L1677">
        <f t="shared" ca="1" si="53"/>
        <v>2</v>
      </c>
      <c r="M1677" t="s">
        <v>1809</v>
      </c>
      <c r="N1677">
        <v>1</v>
      </c>
      <c r="O1677" t="s">
        <v>1818</v>
      </c>
      <c r="P1677" t="s">
        <v>1832</v>
      </c>
    </row>
    <row r="1678" spans="1:16" x14ac:dyDescent="0.3">
      <c r="A1678" t="s">
        <v>1689</v>
      </c>
      <c r="B1678" t="s">
        <v>1737</v>
      </c>
      <c r="C1678">
        <v>46</v>
      </c>
      <c r="D1678" t="s">
        <v>1785</v>
      </c>
      <c r="E1678" t="s">
        <v>1791</v>
      </c>
      <c r="F1678" t="s">
        <v>1796</v>
      </c>
      <c r="G1678" s="5">
        <v>43557</v>
      </c>
      <c r="H1678" t="s">
        <v>1804</v>
      </c>
      <c r="I1678" t="s">
        <v>1808</v>
      </c>
      <c r="J1678" s="2">
        <v>45986</v>
      </c>
      <c r="K1678">
        <f t="shared" ca="1" si="52"/>
        <v>0</v>
      </c>
      <c r="L1678">
        <f t="shared" ca="1" si="53"/>
        <v>0</v>
      </c>
      <c r="M1678" t="s">
        <v>1810</v>
      </c>
      <c r="N1678">
        <v>1</v>
      </c>
      <c r="O1678" t="s">
        <v>1818</v>
      </c>
      <c r="P1678" t="s">
        <v>1834</v>
      </c>
    </row>
    <row r="1679" spans="1:16" x14ac:dyDescent="0.3">
      <c r="A1679" t="s">
        <v>1690</v>
      </c>
      <c r="B1679" t="s">
        <v>1752</v>
      </c>
      <c r="C1679">
        <v>21</v>
      </c>
      <c r="D1679" t="s">
        <v>1784</v>
      </c>
      <c r="E1679" t="s">
        <v>1787</v>
      </c>
      <c r="F1679" t="s">
        <v>1797</v>
      </c>
      <c r="G1679" s="5">
        <v>41904</v>
      </c>
      <c r="H1679" t="s">
        <v>1804</v>
      </c>
      <c r="I1679" t="s">
        <v>1808</v>
      </c>
      <c r="J1679" s="2">
        <v>43787</v>
      </c>
      <c r="K1679">
        <f t="shared" ca="1" si="52"/>
        <v>6</v>
      </c>
      <c r="L1679">
        <f t="shared" ca="1" si="53"/>
        <v>0</v>
      </c>
      <c r="M1679" t="s">
        <v>1810</v>
      </c>
      <c r="N1679">
        <v>4</v>
      </c>
      <c r="O1679" t="s">
        <v>1813</v>
      </c>
      <c r="P1679" t="s">
        <v>1832</v>
      </c>
    </row>
    <row r="1680" spans="1:16" x14ac:dyDescent="0.3">
      <c r="A1680" t="s">
        <v>1691</v>
      </c>
      <c r="B1680" t="s">
        <v>1724</v>
      </c>
      <c r="C1680">
        <v>22</v>
      </c>
      <c r="D1680" t="s">
        <v>1784</v>
      </c>
      <c r="E1680" t="s">
        <v>1787</v>
      </c>
      <c r="F1680" t="s">
        <v>1800</v>
      </c>
      <c r="G1680" s="5">
        <v>105614</v>
      </c>
      <c r="H1680" t="s">
        <v>1803</v>
      </c>
      <c r="I1680" t="s">
        <v>1808</v>
      </c>
      <c r="J1680" s="2">
        <v>42814</v>
      </c>
      <c r="K1680">
        <f t="shared" ca="1" si="52"/>
        <v>8</v>
      </c>
      <c r="L1680">
        <f t="shared" ca="1" si="53"/>
        <v>8</v>
      </c>
      <c r="M1680" t="s">
        <v>1809</v>
      </c>
      <c r="N1680">
        <v>1</v>
      </c>
      <c r="O1680" t="s">
        <v>1811</v>
      </c>
      <c r="P1680" t="s">
        <v>1832</v>
      </c>
    </row>
    <row r="1681" spans="1:16" x14ac:dyDescent="0.3">
      <c r="A1681" t="s">
        <v>1692</v>
      </c>
      <c r="B1681" t="s">
        <v>1775</v>
      </c>
      <c r="C1681">
        <v>25</v>
      </c>
      <c r="D1681" t="s">
        <v>1785</v>
      </c>
      <c r="E1681" t="s">
        <v>1793</v>
      </c>
      <c r="F1681" t="s">
        <v>1799</v>
      </c>
      <c r="G1681" s="5">
        <v>110285</v>
      </c>
      <c r="H1681" t="s">
        <v>1802</v>
      </c>
      <c r="I1681" t="s">
        <v>1808</v>
      </c>
      <c r="J1681" s="2">
        <v>42444</v>
      </c>
      <c r="K1681">
        <f t="shared" ca="1" si="52"/>
        <v>9</v>
      </c>
      <c r="L1681">
        <f t="shared" ca="1" si="53"/>
        <v>8</v>
      </c>
      <c r="M1681" t="s">
        <v>1810</v>
      </c>
      <c r="N1681">
        <v>5</v>
      </c>
      <c r="O1681" t="s">
        <v>1817</v>
      </c>
      <c r="P1681" t="s">
        <v>1832</v>
      </c>
    </row>
    <row r="1682" spans="1:16" x14ac:dyDescent="0.3">
      <c r="A1682" t="s">
        <v>1693</v>
      </c>
      <c r="B1682" t="s">
        <v>1718</v>
      </c>
      <c r="C1682">
        <v>57</v>
      </c>
      <c r="D1682" t="s">
        <v>1784</v>
      </c>
      <c r="E1682" t="s">
        <v>1790</v>
      </c>
      <c r="F1682" t="s">
        <v>1795</v>
      </c>
      <c r="G1682" s="5">
        <v>23499</v>
      </c>
      <c r="H1682" t="s">
        <v>1805</v>
      </c>
      <c r="I1682" t="s">
        <v>1807</v>
      </c>
      <c r="J1682" s="2">
        <v>43942</v>
      </c>
      <c r="K1682">
        <f t="shared" ca="1" si="52"/>
        <v>5</v>
      </c>
      <c r="L1682">
        <f t="shared" ca="1" si="53"/>
        <v>7</v>
      </c>
      <c r="M1682" t="s">
        <v>1809</v>
      </c>
      <c r="N1682">
        <v>4</v>
      </c>
      <c r="O1682" t="s">
        <v>1811</v>
      </c>
      <c r="P1682" t="s">
        <v>1834</v>
      </c>
    </row>
    <row r="1683" spans="1:16" x14ac:dyDescent="0.3">
      <c r="A1683" t="s">
        <v>1694</v>
      </c>
      <c r="B1683" t="s">
        <v>1756</v>
      </c>
      <c r="C1683">
        <v>38</v>
      </c>
      <c r="D1683" t="s">
        <v>1785</v>
      </c>
      <c r="E1683" t="s">
        <v>1791</v>
      </c>
      <c r="F1683" t="s">
        <v>1795</v>
      </c>
      <c r="G1683" s="5">
        <v>67534</v>
      </c>
      <c r="H1683" t="s">
        <v>1805</v>
      </c>
      <c r="I1683" t="s">
        <v>1806</v>
      </c>
      <c r="J1683" s="2">
        <v>44985</v>
      </c>
      <c r="K1683">
        <f t="shared" ca="1" si="52"/>
        <v>2</v>
      </c>
      <c r="L1683">
        <f t="shared" ca="1" si="53"/>
        <v>9</v>
      </c>
      <c r="M1683" t="s">
        <v>1810</v>
      </c>
      <c r="N1683">
        <v>2</v>
      </c>
      <c r="O1683" t="s">
        <v>1811</v>
      </c>
      <c r="P1683" t="s">
        <v>1831</v>
      </c>
    </row>
    <row r="1684" spans="1:16" x14ac:dyDescent="0.3">
      <c r="A1684" t="s">
        <v>1695</v>
      </c>
      <c r="B1684" t="s">
        <v>1770</v>
      </c>
      <c r="C1684">
        <v>20</v>
      </c>
      <c r="D1684" t="s">
        <v>1785</v>
      </c>
      <c r="E1684" t="s">
        <v>1786</v>
      </c>
      <c r="F1684" t="s">
        <v>1800</v>
      </c>
      <c r="G1684" s="5">
        <v>88770</v>
      </c>
      <c r="H1684" t="s">
        <v>1805</v>
      </c>
      <c r="I1684" t="s">
        <v>1806</v>
      </c>
      <c r="J1684" s="2">
        <v>44568</v>
      </c>
      <c r="K1684">
        <f t="shared" ca="1" si="52"/>
        <v>3</v>
      </c>
      <c r="L1684">
        <f t="shared" ca="1" si="53"/>
        <v>11</v>
      </c>
      <c r="M1684" t="s">
        <v>1809</v>
      </c>
      <c r="N1684">
        <v>4</v>
      </c>
      <c r="O1684" t="s">
        <v>1812</v>
      </c>
      <c r="P1684" t="s">
        <v>1832</v>
      </c>
    </row>
    <row r="1685" spans="1:16" x14ac:dyDescent="0.3">
      <c r="A1685" t="s">
        <v>1696</v>
      </c>
      <c r="B1685" t="s">
        <v>1736</v>
      </c>
      <c r="C1685">
        <v>43</v>
      </c>
      <c r="D1685" t="s">
        <v>1783</v>
      </c>
      <c r="E1685" t="s">
        <v>1789</v>
      </c>
      <c r="F1685" t="s">
        <v>1800</v>
      </c>
      <c r="G1685" s="5">
        <v>95510</v>
      </c>
      <c r="H1685" t="s">
        <v>1802</v>
      </c>
      <c r="I1685" t="s">
        <v>1808</v>
      </c>
      <c r="J1685" s="2">
        <v>44295</v>
      </c>
      <c r="K1685">
        <f t="shared" ca="1" si="52"/>
        <v>4</v>
      </c>
      <c r="L1685">
        <f t="shared" ca="1" si="53"/>
        <v>8</v>
      </c>
      <c r="M1685" t="s">
        <v>1809</v>
      </c>
      <c r="N1685">
        <v>5</v>
      </c>
      <c r="O1685" t="s">
        <v>1812</v>
      </c>
      <c r="P1685" t="s">
        <v>1831</v>
      </c>
    </row>
    <row r="1686" spans="1:16" x14ac:dyDescent="0.3">
      <c r="A1686" t="s">
        <v>1697</v>
      </c>
      <c r="B1686" t="s">
        <v>1716</v>
      </c>
      <c r="C1686">
        <v>58</v>
      </c>
      <c r="D1686" t="s">
        <v>1783</v>
      </c>
      <c r="E1686" t="s">
        <v>1791</v>
      </c>
      <c r="F1686" t="s">
        <v>1797</v>
      </c>
      <c r="G1686" s="5">
        <v>20919</v>
      </c>
      <c r="H1686" t="s">
        <v>1802</v>
      </c>
      <c r="I1686" t="s">
        <v>1808</v>
      </c>
      <c r="J1686" s="2">
        <v>45311</v>
      </c>
      <c r="K1686">
        <f t="shared" ca="1" si="52"/>
        <v>1</v>
      </c>
      <c r="L1686">
        <f t="shared" ca="1" si="53"/>
        <v>10</v>
      </c>
      <c r="M1686" t="s">
        <v>1810</v>
      </c>
      <c r="N1686">
        <v>4</v>
      </c>
      <c r="O1686" t="s">
        <v>1816</v>
      </c>
      <c r="P1686" t="s">
        <v>1834</v>
      </c>
    </row>
    <row r="1687" spans="1:16" x14ac:dyDescent="0.3">
      <c r="A1687" t="s">
        <v>1698</v>
      </c>
      <c r="B1687" t="s">
        <v>1716</v>
      </c>
      <c r="C1687">
        <v>39</v>
      </c>
      <c r="D1687" t="s">
        <v>1783</v>
      </c>
      <c r="E1687" t="s">
        <v>1792</v>
      </c>
      <c r="F1687" t="s">
        <v>1795</v>
      </c>
      <c r="G1687" s="5">
        <v>117752</v>
      </c>
      <c r="H1687" t="s">
        <v>1804</v>
      </c>
      <c r="I1687" t="s">
        <v>1807</v>
      </c>
      <c r="J1687" s="2">
        <v>42736</v>
      </c>
      <c r="K1687">
        <f t="shared" ca="1" si="52"/>
        <v>8</v>
      </c>
      <c r="L1687">
        <f t="shared" ca="1" si="53"/>
        <v>11</v>
      </c>
      <c r="M1687" t="s">
        <v>1810</v>
      </c>
      <c r="N1687">
        <v>3</v>
      </c>
      <c r="O1687" t="s">
        <v>1817</v>
      </c>
      <c r="P1687" t="s">
        <v>1831</v>
      </c>
    </row>
    <row r="1688" spans="1:16" x14ac:dyDescent="0.3">
      <c r="A1688" t="s">
        <v>1699</v>
      </c>
      <c r="B1688" t="s">
        <v>1739</v>
      </c>
      <c r="C1688">
        <v>27</v>
      </c>
      <c r="D1688" t="s">
        <v>1784</v>
      </c>
      <c r="E1688" t="s">
        <v>1790</v>
      </c>
      <c r="F1688" t="s">
        <v>1796</v>
      </c>
      <c r="G1688" s="5">
        <v>77889</v>
      </c>
      <c r="H1688" t="s">
        <v>1801</v>
      </c>
      <c r="I1688" t="s">
        <v>1806</v>
      </c>
      <c r="J1688" s="2">
        <v>45501</v>
      </c>
      <c r="K1688">
        <f t="shared" ca="1" si="52"/>
        <v>1</v>
      </c>
      <c r="L1688">
        <f t="shared" ca="1" si="53"/>
        <v>4</v>
      </c>
      <c r="M1688" t="s">
        <v>1809</v>
      </c>
      <c r="N1688">
        <v>4</v>
      </c>
      <c r="O1688" t="s">
        <v>1814</v>
      </c>
      <c r="P1688" t="s">
        <v>1833</v>
      </c>
    </row>
    <row r="1689" spans="1:16" x14ac:dyDescent="0.3">
      <c r="A1689" t="s">
        <v>1700</v>
      </c>
      <c r="B1689" t="s">
        <v>1744</v>
      </c>
      <c r="C1689">
        <v>31</v>
      </c>
      <c r="D1689" t="s">
        <v>1783</v>
      </c>
      <c r="E1689" t="s">
        <v>1793</v>
      </c>
      <c r="F1689" t="s">
        <v>1794</v>
      </c>
      <c r="G1689" s="5">
        <v>89016</v>
      </c>
      <c r="H1689" t="s">
        <v>1805</v>
      </c>
      <c r="I1689" t="s">
        <v>1807</v>
      </c>
      <c r="J1689" s="2">
        <v>43586</v>
      </c>
      <c r="K1689">
        <f t="shared" ca="1" si="52"/>
        <v>6</v>
      </c>
      <c r="L1689">
        <f t="shared" ca="1" si="53"/>
        <v>7</v>
      </c>
      <c r="M1689" t="s">
        <v>1809</v>
      </c>
      <c r="N1689">
        <v>5</v>
      </c>
      <c r="O1689" t="s">
        <v>1811</v>
      </c>
      <c r="P1689" t="s">
        <v>1833</v>
      </c>
    </row>
    <row r="1690" spans="1:16" x14ac:dyDescent="0.3">
      <c r="A1690" t="s">
        <v>1701</v>
      </c>
      <c r="B1690" t="s">
        <v>1781</v>
      </c>
      <c r="C1690">
        <v>37</v>
      </c>
      <c r="D1690" t="s">
        <v>1783</v>
      </c>
      <c r="E1690" t="s">
        <v>1791</v>
      </c>
      <c r="F1690" t="s">
        <v>1795</v>
      </c>
      <c r="G1690" s="5">
        <v>36469</v>
      </c>
      <c r="H1690" t="s">
        <v>1803</v>
      </c>
      <c r="I1690" t="s">
        <v>1808</v>
      </c>
      <c r="J1690" s="2">
        <v>44536</v>
      </c>
      <c r="K1690">
        <f t="shared" ca="1" si="52"/>
        <v>4</v>
      </c>
      <c r="L1690">
        <f t="shared" ca="1" si="53"/>
        <v>0</v>
      </c>
      <c r="M1690" t="s">
        <v>1809</v>
      </c>
      <c r="N1690">
        <v>4</v>
      </c>
      <c r="O1690" t="s">
        <v>1818</v>
      </c>
      <c r="P1690" t="s">
        <v>1831</v>
      </c>
    </row>
    <row r="1691" spans="1:16" x14ac:dyDescent="0.3">
      <c r="A1691" t="s">
        <v>1702</v>
      </c>
      <c r="B1691" t="s">
        <v>1780</v>
      </c>
      <c r="C1691">
        <v>43</v>
      </c>
      <c r="D1691" t="s">
        <v>1784</v>
      </c>
      <c r="E1691" t="s">
        <v>1791</v>
      </c>
      <c r="F1691" t="s">
        <v>1799</v>
      </c>
      <c r="G1691" s="5">
        <v>31793</v>
      </c>
      <c r="H1691" t="s">
        <v>1805</v>
      </c>
      <c r="I1691" t="s">
        <v>1808</v>
      </c>
      <c r="J1691" s="2">
        <v>45227</v>
      </c>
      <c r="K1691">
        <f t="shared" ca="1" si="52"/>
        <v>2</v>
      </c>
      <c r="L1691">
        <f t="shared" ca="1" si="53"/>
        <v>1</v>
      </c>
      <c r="M1691" t="s">
        <v>1810</v>
      </c>
      <c r="N1691">
        <v>3</v>
      </c>
      <c r="O1691" t="s">
        <v>1812</v>
      </c>
      <c r="P1691" t="s">
        <v>1831</v>
      </c>
    </row>
    <row r="1692" spans="1:16" x14ac:dyDescent="0.3">
      <c r="A1692" t="s">
        <v>1703</v>
      </c>
      <c r="B1692" t="s">
        <v>1740</v>
      </c>
      <c r="C1692">
        <v>47</v>
      </c>
      <c r="D1692" t="s">
        <v>1785</v>
      </c>
      <c r="E1692" t="s">
        <v>1791</v>
      </c>
      <c r="F1692" t="s">
        <v>1799</v>
      </c>
      <c r="G1692" s="5">
        <v>18378</v>
      </c>
      <c r="H1692" t="s">
        <v>1805</v>
      </c>
      <c r="I1692" t="s">
        <v>1807</v>
      </c>
      <c r="J1692" s="2">
        <v>42955</v>
      </c>
      <c r="K1692">
        <f t="shared" ca="1" si="52"/>
        <v>8</v>
      </c>
      <c r="L1692">
        <f t="shared" ca="1" si="53"/>
        <v>4</v>
      </c>
      <c r="M1692" t="s">
        <v>1810</v>
      </c>
      <c r="N1692">
        <v>4</v>
      </c>
      <c r="O1692" t="s">
        <v>1818</v>
      </c>
      <c r="P1692" t="s">
        <v>1834</v>
      </c>
    </row>
    <row r="1693" spans="1:16" x14ac:dyDescent="0.3">
      <c r="A1693" t="s">
        <v>1704</v>
      </c>
      <c r="B1693" t="s">
        <v>1736</v>
      </c>
      <c r="C1693">
        <v>23</v>
      </c>
      <c r="D1693" t="s">
        <v>1783</v>
      </c>
      <c r="E1693" t="s">
        <v>1787</v>
      </c>
      <c r="F1693" t="s">
        <v>1794</v>
      </c>
      <c r="G1693" s="5">
        <v>46777</v>
      </c>
      <c r="H1693" t="s">
        <v>1804</v>
      </c>
      <c r="I1693" t="s">
        <v>1808</v>
      </c>
      <c r="J1693" s="2">
        <v>43564</v>
      </c>
      <c r="K1693">
        <f t="shared" ca="1" si="52"/>
        <v>6</v>
      </c>
      <c r="L1693">
        <f t="shared" ca="1" si="53"/>
        <v>8</v>
      </c>
      <c r="M1693" t="s">
        <v>1809</v>
      </c>
      <c r="N1693">
        <v>4</v>
      </c>
      <c r="O1693" t="s">
        <v>1816</v>
      </c>
      <c r="P1693" t="s">
        <v>1832</v>
      </c>
    </row>
    <row r="1694" spans="1:16" x14ac:dyDescent="0.3">
      <c r="A1694" t="s">
        <v>1705</v>
      </c>
      <c r="B1694" t="s">
        <v>1742</v>
      </c>
      <c r="C1694">
        <v>28</v>
      </c>
      <c r="D1694" t="s">
        <v>1784</v>
      </c>
      <c r="E1694" t="s">
        <v>1790</v>
      </c>
      <c r="F1694" t="s">
        <v>1795</v>
      </c>
      <c r="G1694" s="5">
        <v>41281</v>
      </c>
      <c r="H1694" t="s">
        <v>1802</v>
      </c>
      <c r="I1694" t="s">
        <v>1806</v>
      </c>
      <c r="J1694" s="2">
        <v>44940</v>
      </c>
      <c r="K1694">
        <f t="shared" ca="1" si="52"/>
        <v>2</v>
      </c>
      <c r="L1694">
        <f t="shared" ca="1" si="53"/>
        <v>10</v>
      </c>
      <c r="M1694" t="s">
        <v>1810</v>
      </c>
      <c r="N1694">
        <v>3</v>
      </c>
      <c r="O1694" t="s">
        <v>1818</v>
      </c>
      <c r="P1694" t="s">
        <v>1833</v>
      </c>
    </row>
    <row r="1695" spans="1:16" x14ac:dyDescent="0.3">
      <c r="A1695" t="s">
        <v>1706</v>
      </c>
      <c r="B1695" t="s">
        <v>1714</v>
      </c>
      <c r="C1695">
        <v>51</v>
      </c>
      <c r="D1695" t="s">
        <v>1785</v>
      </c>
      <c r="E1695" t="s">
        <v>1791</v>
      </c>
      <c r="F1695" t="s">
        <v>1794</v>
      </c>
      <c r="G1695" s="5">
        <v>39091</v>
      </c>
      <c r="H1695" t="s">
        <v>1804</v>
      </c>
      <c r="I1695" t="s">
        <v>1806</v>
      </c>
      <c r="J1695" s="2">
        <v>44291</v>
      </c>
      <c r="K1695">
        <f t="shared" ca="1" si="52"/>
        <v>4</v>
      </c>
      <c r="L1695">
        <f t="shared" ca="1" si="53"/>
        <v>8</v>
      </c>
      <c r="M1695" t="s">
        <v>1809</v>
      </c>
      <c r="N1695">
        <v>1</v>
      </c>
      <c r="O1695" t="s">
        <v>1816</v>
      </c>
      <c r="P1695" t="s">
        <v>1834</v>
      </c>
    </row>
    <row r="1696" spans="1:16" x14ac:dyDescent="0.3">
      <c r="A1696" t="s">
        <v>1707</v>
      </c>
      <c r="B1696" t="s">
        <v>1716</v>
      </c>
      <c r="C1696">
        <v>44</v>
      </c>
      <c r="D1696" t="s">
        <v>1785</v>
      </c>
      <c r="E1696" t="s">
        <v>1789</v>
      </c>
      <c r="F1696" t="s">
        <v>1800</v>
      </c>
      <c r="G1696" s="5">
        <v>18818</v>
      </c>
      <c r="H1696" t="s">
        <v>1801</v>
      </c>
      <c r="I1696" t="s">
        <v>1807</v>
      </c>
      <c r="J1696" s="2">
        <v>45658</v>
      </c>
      <c r="K1696">
        <f t="shared" ca="1" si="52"/>
        <v>0</v>
      </c>
      <c r="L1696">
        <f t="shared" ca="1" si="53"/>
        <v>11</v>
      </c>
      <c r="M1696" t="s">
        <v>1810</v>
      </c>
      <c r="N1696">
        <v>5</v>
      </c>
      <c r="O1696" t="s">
        <v>1818</v>
      </c>
      <c r="P1696" t="s">
        <v>1831</v>
      </c>
    </row>
    <row r="1697" spans="1:16" x14ac:dyDescent="0.3">
      <c r="A1697" t="s">
        <v>1708</v>
      </c>
      <c r="B1697" t="s">
        <v>1713</v>
      </c>
      <c r="C1697">
        <v>56</v>
      </c>
      <c r="D1697" t="s">
        <v>1784</v>
      </c>
      <c r="E1697" t="s">
        <v>1792</v>
      </c>
      <c r="F1697" t="s">
        <v>1798</v>
      </c>
      <c r="G1697" s="5">
        <v>98008</v>
      </c>
      <c r="H1697" t="s">
        <v>1803</v>
      </c>
      <c r="I1697" t="s">
        <v>1807</v>
      </c>
      <c r="J1697" s="2">
        <v>45781</v>
      </c>
      <c r="K1697">
        <f t="shared" ca="1" si="52"/>
        <v>0</v>
      </c>
      <c r="L1697">
        <f t="shared" ca="1" si="53"/>
        <v>7</v>
      </c>
      <c r="M1697" t="s">
        <v>1809</v>
      </c>
      <c r="N1697">
        <v>3</v>
      </c>
      <c r="O1697" t="s">
        <v>1816</v>
      </c>
      <c r="P1697" t="s">
        <v>1834</v>
      </c>
    </row>
    <row r="1698" spans="1:16" x14ac:dyDescent="0.3">
      <c r="A1698" t="s">
        <v>1709</v>
      </c>
      <c r="B1698" t="s">
        <v>1716</v>
      </c>
      <c r="C1698">
        <v>22</v>
      </c>
      <c r="D1698" t="s">
        <v>1785</v>
      </c>
      <c r="E1698" t="s">
        <v>1789</v>
      </c>
      <c r="F1698" t="s">
        <v>1799</v>
      </c>
      <c r="G1698" s="5">
        <v>47807</v>
      </c>
      <c r="H1698" t="s">
        <v>1803</v>
      </c>
      <c r="I1698" t="s">
        <v>1807</v>
      </c>
      <c r="J1698" s="2">
        <v>45800</v>
      </c>
      <c r="K1698">
        <f t="shared" ca="1" si="52"/>
        <v>0</v>
      </c>
      <c r="L1698">
        <f t="shared" ca="1" si="53"/>
        <v>6</v>
      </c>
      <c r="M1698" t="s">
        <v>1809</v>
      </c>
      <c r="N1698">
        <v>2</v>
      </c>
      <c r="O1698" t="s">
        <v>1818</v>
      </c>
      <c r="P1698" t="s">
        <v>1832</v>
      </c>
    </row>
    <row r="1699" spans="1:16" x14ac:dyDescent="0.3">
      <c r="A1699" t="s">
        <v>1710</v>
      </c>
      <c r="B1699" t="s">
        <v>1768</v>
      </c>
      <c r="C1699">
        <v>24</v>
      </c>
      <c r="D1699" t="s">
        <v>1784</v>
      </c>
      <c r="E1699" t="s">
        <v>1789</v>
      </c>
      <c r="F1699" t="s">
        <v>1797</v>
      </c>
      <c r="G1699" s="5">
        <v>107192</v>
      </c>
      <c r="H1699" t="s">
        <v>1801</v>
      </c>
      <c r="I1699" t="s">
        <v>1808</v>
      </c>
      <c r="J1699" s="2">
        <v>43488</v>
      </c>
      <c r="K1699">
        <f t="shared" ca="1" si="52"/>
        <v>6</v>
      </c>
      <c r="L1699">
        <f t="shared" ca="1" si="53"/>
        <v>10</v>
      </c>
      <c r="M1699" t="s">
        <v>1809</v>
      </c>
      <c r="N1699">
        <v>5</v>
      </c>
      <c r="O1699" t="s">
        <v>1814</v>
      </c>
      <c r="P1699" t="s">
        <v>1832</v>
      </c>
    </row>
    <row r="1700" spans="1:16" x14ac:dyDescent="0.3">
      <c r="A1700" t="s">
        <v>1711</v>
      </c>
      <c r="B1700" t="s">
        <v>1719</v>
      </c>
      <c r="C1700">
        <v>40</v>
      </c>
      <c r="D1700" t="s">
        <v>1785</v>
      </c>
      <c r="E1700" t="s">
        <v>1788</v>
      </c>
      <c r="F1700" t="s">
        <v>1799</v>
      </c>
      <c r="G1700" s="5">
        <v>47753</v>
      </c>
      <c r="H1700" t="s">
        <v>1802</v>
      </c>
      <c r="I1700" t="s">
        <v>1806</v>
      </c>
      <c r="J1700" s="2">
        <v>44575</v>
      </c>
      <c r="K1700">
        <f t="shared" ca="1" si="52"/>
        <v>3</v>
      </c>
      <c r="L1700">
        <f t="shared" ca="1" si="53"/>
        <v>10</v>
      </c>
      <c r="M1700" t="s">
        <v>1810</v>
      </c>
      <c r="N1700">
        <v>4</v>
      </c>
      <c r="O1700" t="s">
        <v>1815</v>
      </c>
      <c r="P1700" t="s">
        <v>1831</v>
      </c>
    </row>
    <row r="1701" spans="1:16" x14ac:dyDescent="0.3">
      <c r="A1701" t="s">
        <v>1712</v>
      </c>
      <c r="B1701" t="s">
        <v>1754</v>
      </c>
      <c r="C1701">
        <v>28</v>
      </c>
      <c r="D1701" t="s">
        <v>1785</v>
      </c>
      <c r="E1701" t="s">
        <v>1788</v>
      </c>
      <c r="F1701" t="s">
        <v>1800</v>
      </c>
      <c r="G1701" s="5">
        <v>54572</v>
      </c>
      <c r="H1701" t="s">
        <v>1801</v>
      </c>
      <c r="I1701" t="s">
        <v>1808</v>
      </c>
      <c r="J1701" s="2">
        <v>45863</v>
      </c>
      <c r="K1701">
        <f t="shared" ca="1" si="52"/>
        <v>0</v>
      </c>
      <c r="L1701">
        <f t="shared" ca="1" si="53"/>
        <v>4</v>
      </c>
      <c r="M1701" t="s">
        <v>1809</v>
      </c>
      <c r="N1701">
        <v>5</v>
      </c>
      <c r="O1701" t="s">
        <v>1816</v>
      </c>
      <c r="P1701" t="s">
        <v>1833</v>
      </c>
    </row>
  </sheetData>
  <sortState xmlns:xlrd2="http://schemas.microsoft.com/office/spreadsheetml/2017/richdata2" ref="A2:A1701">
    <sortCondition ref="A1:A170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4B1A2-BCF3-48EF-B3CA-CEE8D022DC79}">
  <dimension ref="A1:D13"/>
  <sheetViews>
    <sheetView zoomScale="175" zoomScaleNormal="175" workbookViewId="0">
      <selection activeCell="C1" sqref="C1"/>
    </sheetView>
  </sheetViews>
  <sheetFormatPr defaultRowHeight="14.4" x14ac:dyDescent="0.3"/>
  <cols>
    <col min="1" max="1" width="28" bestFit="1" customWidth="1"/>
    <col min="3" max="3" width="28.21875" bestFit="1" customWidth="1"/>
    <col min="4" max="4" width="20.109375" bestFit="1" customWidth="1"/>
  </cols>
  <sheetData>
    <row r="1" spans="1:4" x14ac:dyDescent="0.3">
      <c r="A1" s="8" t="s">
        <v>1821</v>
      </c>
      <c r="C1" t="s">
        <v>1829</v>
      </c>
    </row>
    <row r="2" spans="1:4" x14ac:dyDescent="0.3">
      <c r="A2">
        <f>COUNTA(DATA!A2:A1701)</f>
        <v>1700</v>
      </c>
      <c r="C2" s="17">
        <v>1700</v>
      </c>
    </row>
    <row r="3" spans="1:4" x14ac:dyDescent="0.3">
      <c r="A3" s="8" t="s">
        <v>1822</v>
      </c>
      <c r="C3" s="10" t="s">
        <v>1827</v>
      </c>
      <c r="D3" t="s">
        <v>1829</v>
      </c>
    </row>
    <row r="4" spans="1:4" x14ac:dyDescent="0.3">
      <c r="A4">
        <f>COUNTIF(DATA!M1:M1701,"YES")</f>
        <v>876</v>
      </c>
      <c r="C4" s="11" t="s">
        <v>1810</v>
      </c>
      <c r="D4" s="17">
        <v>824</v>
      </c>
    </row>
    <row r="5" spans="1:4" x14ac:dyDescent="0.3">
      <c r="A5" s="8" t="s">
        <v>1823</v>
      </c>
      <c r="C5" s="11" t="s">
        <v>1809</v>
      </c>
      <c r="D5" s="17">
        <v>876</v>
      </c>
    </row>
    <row r="6" spans="1:4" x14ac:dyDescent="0.3">
      <c r="A6" s="6">
        <f>A4/A2</f>
        <v>0.51529411764705879</v>
      </c>
      <c r="C6" s="11" t="s">
        <v>1828</v>
      </c>
      <c r="D6" s="17">
        <v>1700</v>
      </c>
    </row>
    <row r="7" spans="1:4" x14ac:dyDescent="0.3">
      <c r="A7" s="8" t="s">
        <v>1824</v>
      </c>
    </row>
    <row r="8" spans="1:4" x14ac:dyDescent="0.3">
      <c r="A8" s="5">
        <f>AVERAGE(DATA!G1:G1701)</f>
        <v>70561.61352941177</v>
      </c>
      <c r="C8" t="s">
        <v>1835</v>
      </c>
    </row>
    <row r="9" spans="1:4" x14ac:dyDescent="0.3">
      <c r="A9" s="8" t="s">
        <v>1825</v>
      </c>
      <c r="C9" s="5">
        <v>70561.61352941177</v>
      </c>
    </row>
    <row r="10" spans="1:4" x14ac:dyDescent="0.3">
      <c r="A10" s="7">
        <f ca="1">AVERAGE(DATA!K2:K1701)</f>
        <v>4.3570588235294121</v>
      </c>
      <c r="C10" t="s">
        <v>1838</v>
      </c>
    </row>
    <row r="11" spans="1:4" x14ac:dyDescent="0.3">
      <c r="A11" s="9" t="s">
        <v>1826</v>
      </c>
      <c r="C11" s="7">
        <v>4.3570588235294121</v>
      </c>
    </row>
    <row r="12" spans="1:4" x14ac:dyDescent="0.3">
      <c r="A12" s="7">
        <f>AVERAGE(DATA!N2:N1701)</f>
        <v>2.9876470588235295</v>
      </c>
      <c r="C12" t="s">
        <v>1839</v>
      </c>
    </row>
    <row r="13" spans="1:4" x14ac:dyDescent="0.3">
      <c r="A13" s="7"/>
      <c r="C13" s="7">
        <v>2.9876470588235295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CC41F-1233-4BF6-BF4C-26B93513250E}">
  <dimension ref="A5:Z86"/>
  <sheetViews>
    <sheetView topLeftCell="C1" zoomScaleNormal="100" workbookViewId="0">
      <selection activeCell="K16" sqref="K16"/>
    </sheetView>
  </sheetViews>
  <sheetFormatPr defaultRowHeight="14.4" x14ac:dyDescent="0.3"/>
  <cols>
    <col min="1" max="1" width="20.109375" bestFit="1" customWidth="1"/>
    <col min="2" max="3" width="10.21875" bestFit="1" customWidth="1"/>
    <col min="4" max="4" width="10.77734375" bestFit="1" customWidth="1"/>
    <col min="23" max="23" width="19.109375" bestFit="1" customWidth="1"/>
    <col min="24" max="25" width="10.21875" bestFit="1" customWidth="1"/>
    <col min="26" max="26" width="10.77734375" bestFit="1" customWidth="1"/>
  </cols>
  <sheetData>
    <row r="5" spans="1:2" x14ac:dyDescent="0.3">
      <c r="A5" s="10" t="s">
        <v>11</v>
      </c>
      <c r="B5" t="s">
        <v>1829</v>
      </c>
    </row>
    <row r="6" spans="1:2" x14ac:dyDescent="0.3">
      <c r="A6">
        <v>1</v>
      </c>
      <c r="B6" s="17">
        <v>355</v>
      </c>
    </row>
    <row r="7" spans="1:2" x14ac:dyDescent="0.3">
      <c r="A7">
        <v>2</v>
      </c>
      <c r="B7" s="17">
        <v>330</v>
      </c>
    </row>
    <row r="8" spans="1:2" x14ac:dyDescent="0.3">
      <c r="A8">
        <v>3</v>
      </c>
      <c r="B8" s="17">
        <v>332</v>
      </c>
    </row>
    <row r="9" spans="1:2" x14ac:dyDescent="0.3">
      <c r="A9">
        <v>4</v>
      </c>
      <c r="B9" s="17">
        <v>347</v>
      </c>
    </row>
    <row r="10" spans="1:2" x14ac:dyDescent="0.3">
      <c r="A10">
        <v>5</v>
      </c>
      <c r="B10" s="17">
        <v>336</v>
      </c>
    </row>
    <row r="11" spans="1:2" x14ac:dyDescent="0.3">
      <c r="A11" t="s">
        <v>1828</v>
      </c>
      <c r="B11" s="17">
        <v>1700</v>
      </c>
    </row>
    <row r="35" spans="1:26" x14ac:dyDescent="0.3">
      <c r="A35" s="10" t="s">
        <v>1829</v>
      </c>
      <c r="B35" s="10" t="s">
        <v>10</v>
      </c>
    </row>
    <row r="36" spans="1:26" x14ac:dyDescent="0.3">
      <c r="A36" s="10" t="s">
        <v>1819</v>
      </c>
      <c r="B36" t="s">
        <v>1810</v>
      </c>
      <c r="C36" t="s">
        <v>1809</v>
      </c>
      <c r="D36" t="s">
        <v>1828</v>
      </c>
    </row>
    <row r="37" spans="1:26" x14ac:dyDescent="0.3">
      <c r="A37">
        <v>0</v>
      </c>
      <c r="B37" s="17">
        <v>84</v>
      </c>
      <c r="C37" s="17">
        <v>82</v>
      </c>
      <c r="D37" s="17">
        <v>166</v>
      </c>
    </row>
    <row r="38" spans="1:26" x14ac:dyDescent="0.3">
      <c r="A38">
        <v>1</v>
      </c>
      <c r="B38" s="17">
        <v>76</v>
      </c>
      <c r="C38" s="17">
        <v>92</v>
      </c>
      <c r="D38" s="17">
        <v>168</v>
      </c>
    </row>
    <row r="39" spans="1:26" x14ac:dyDescent="0.3">
      <c r="A39">
        <v>2</v>
      </c>
      <c r="B39" s="17">
        <v>90</v>
      </c>
      <c r="C39" s="17">
        <v>95</v>
      </c>
      <c r="D39" s="17">
        <v>185</v>
      </c>
    </row>
    <row r="40" spans="1:26" x14ac:dyDescent="0.3">
      <c r="A40">
        <v>3</v>
      </c>
      <c r="B40" s="17">
        <v>100</v>
      </c>
      <c r="C40" s="17">
        <v>82</v>
      </c>
      <c r="D40" s="17">
        <v>182</v>
      </c>
    </row>
    <row r="41" spans="1:26" x14ac:dyDescent="0.3">
      <c r="A41">
        <v>4</v>
      </c>
      <c r="B41" s="17">
        <v>98</v>
      </c>
      <c r="C41" s="17">
        <v>89</v>
      </c>
      <c r="D41" s="17">
        <v>187</v>
      </c>
    </row>
    <row r="42" spans="1:26" x14ac:dyDescent="0.3">
      <c r="A42">
        <v>5</v>
      </c>
      <c r="B42" s="17">
        <v>80</v>
      </c>
      <c r="C42" s="17">
        <v>89</v>
      </c>
      <c r="D42" s="17">
        <v>169</v>
      </c>
    </row>
    <row r="43" spans="1:26" x14ac:dyDescent="0.3">
      <c r="A43">
        <v>6</v>
      </c>
      <c r="B43" s="17">
        <v>84</v>
      </c>
      <c r="C43" s="17">
        <v>93</v>
      </c>
      <c r="D43" s="17">
        <v>177</v>
      </c>
    </row>
    <row r="44" spans="1:26" x14ac:dyDescent="0.3">
      <c r="A44">
        <v>7</v>
      </c>
      <c r="B44" s="17">
        <v>82</v>
      </c>
      <c r="C44" s="17">
        <v>104</v>
      </c>
      <c r="D44" s="17">
        <v>186</v>
      </c>
      <c r="W44" s="10" t="s">
        <v>1837</v>
      </c>
      <c r="X44" s="10" t="s">
        <v>10</v>
      </c>
    </row>
    <row r="45" spans="1:26" x14ac:dyDescent="0.3">
      <c r="A45">
        <v>8</v>
      </c>
      <c r="B45" s="17">
        <v>66</v>
      </c>
      <c r="C45" s="17">
        <v>88</v>
      </c>
      <c r="D45" s="17">
        <v>154</v>
      </c>
      <c r="W45" s="10" t="s">
        <v>1836</v>
      </c>
      <c r="X45" t="s">
        <v>1810</v>
      </c>
      <c r="Y45" t="s">
        <v>1809</v>
      </c>
      <c r="Z45" t="s">
        <v>1828</v>
      </c>
    </row>
    <row r="46" spans="1:26" x14ac:dyDescent="0.3">
      <c r="A46">
        <v>9</v>
      </c>
      <c r="B46" s="17">
        <v>64</v>
      </c>
      <c r="C46" s="17">
        <v>62</v>
      </c>
      <c r="D46" s="17">
        <v>126</v>
      </c>
      <c r="W46" t="s">
        <v>1832</v>
      </c>
      <c r="X46" s="17">
        <v>130</v>
      </c>
      <c r="Y46" s="17">
        <v>143</v>
      </c>
      <c r="Z46" s="17">
        <v>273</v>
      </c>
    </row>
    <row r="47" spans="1:26" x14ac:dyDescent="0.3">
      <c r="A47" t="s">
        <v>1828</v>
      </c>
      <c r="B47" s="17">
        <v>824</v>
      </c>
      <c r="C47" s="17">
        <v>876</v>
      </c>
      <c r="D47" s="17">
        <v>1700</v>
      </c>
      <c r="W47" t="s">
        <v>1833</v>
      </c>
      <c r="X47" s="17">
        <v>200</v>
      </c>
      <c r="Y47" s="17">
        <v>227</v>
      </c>
      <c r="Z47" s="17">
        <v>427</v>
      </c>
    </row>
    <row r="48" spans="1:26" x14ac:dyDescent="0.3">
      <c r="W48" t="s">
        <v>1831</v>
      </c>
      <c r="X48" s="17">
        <v>213</v>
      </c>
      <c r="Y48" s="17">
        <v>238</v>
      </c>
      <c r="Z48" s="17">
        <v>451</v>
      </c>
    </row>
    <row r="49" spans="1:26" x14ac:dyDescent="0.3">
      <c r="W49" t="s">
        <v>1834</v>
      </c>
      <c r="X49" s="17">
        <v>281</v>
      </c>
      <c r="Y49" s="17">
        <v>268</v>
      </c>
      <c r="Z49" s="17">
        <v>549</v>
      </c>
    </row>
    <row r="50" spans="1:26" x14ac:dyDescent="0.3">
      <c r="W50" t="s">
        <v>1828</v>
      </c>
      <c r="X50" s="17">
        <v>824</v>
      </c>
      <c r="Y50" s="17">
        <v>876</v>
      </c>
      <c r="Z50" s="17">
        <v>1700</v>
      </c>
    </row>
    <row r="55" spans="1:26" x14ac:dyDescent="0.3">
      <c r="A55" s="10" t="s">
        <v>4</v>
      </c>
      <c r="B55" t="s">
        <v>1835</v>
      </c>
    </row>
    <row r="56" spans="1:26" x14ac:dyDescent="0.3">
      <c r="A56" t="s">
        <v>1791</v>
      </c>
      <c r="B56" s="5">
        <v>68417.868995633195</v>
      </c>
    </row>
    <row r="57" spans="1:26" x14ac:dyDescent="0.3">
      <c r="A57" t="s">
        <v>1793</v>
      </c>
      <c r="B57" s="5">
        <v>70134.702564102568</v>
      </c>
    </row>
    <row r="58" spans="1:26" x14ac:dyDescent="0.3">
      <c r="A58" t="s">
        <v>1786</v>
      </c>
      <c r="B58" s="5">
        <v>73506.875</v>
      </c>
    </row>
    <row r="59" spans="1:26" x14ac:dyDescent="0.3">
      <c r="A59" t="s">
        <v>1788</v>
      </c>
      <c r="B59" s="5">
        <v>68027.056410256409</v>
      </c>
    </row>
    <row r="60" spans="1:26" x14ac:dyDescent="0.3">
      <c r="A60" t="s">
        <v>1789</v>
      </c>
      <c r="B60" s="5">
        <v>70771.341708542706</v>
      </c>
    </row>
    <row r="61" spans="1:26" x14ac:dyDescent="0.3">
      <c r="A61" t="s">
        <v>1787</v>
      </c>
      <c r="B61" s="5">
        <v>69775.188034188031</v>
      </c>
    </row>
    <row r="62" spans="1:26" x14ac:dyDescent="0.3">
      <c r="A62" t="s">
        <v>1792</v>
      </c>
      <c r="B62" s="5">
        <v>71795.5</v>
      </c>
    </row>
    <row r="63" spans="1:26" x14ac:dyDescent="0.3">
      <c r="A63" t="s">
        <v>1790</v>
      </c>
      <c r="B63" s="5">
        <v>72114.287037037036</v>
      </c>
    </row>
    <row r="64" spans="1:26" x14ac:dyDescent="0.3">
      <c r="A64" t="s">
        <v>1828</v>
      </c>
      <c r="B64" s="5">
        <v>70561.61352941177</v>
      </c>
    </row>
    <row r="76" spans="1:4" x14ac:dyDescent="0.3">
      <c r="A76" s="10" t="s">
        <v>1829</v>
      </c>
      <c r="B76" s="10" t="s">
        <v>10</v>
      </c>
    </row>
    <row r="77" spans="1:4" x14ac:dyDescent="0.3">
      <c r="A77" s="10" t="s">
        <v>12</v>
      </c>
      <c r="B77" t="s">
        <v>1810</v>
      </c>
      <c r="C77" t="s">
        <v>1809</v>
      </c>
      <c r="D77" t="s">
        <v>1828</v>
      </c>
    </row>
    <row r="78" spans="1:4" x14ac:dyDescent="0.3">
      <c r="A78" t="s">
        <v>1816</v>
      </c>
      <c r="B78" s="17">
        <v>105</v>
      </c>
      <c r="C78" s="17">
        <v>121</v>
      </c>
      <c r="D78" s="17">
        <v>226</v>
      </c>
    </row>
    <row r="79" spans="1:4" x14ac:dyDescent="0.3">
      <c r="A79" t="s">
        <v>1812</v>
      </c>
      <c r="B79" s="17">
        <v>102</v>
      </c>
      <c r="C79" s="17">
        <v>92</v>
      </c>
      <c r="D79" s="17">
        <v>194</v>
      </c>
    </row>
    <row r="80" spans="1:4" x14ac:dyDescent="0.3">
      <c r="A80" t="s">
        <v>1817</v>
      </c>
      <c r="B80" s="17">
        <v>97</v>
      </c>
      <c r="C80" s="17">
        <v>92</v>
      </c>
      <c r="D80" s="17">
        <v>189</v>
      </c>
    </row>
    <row r="81" spans="1:4" x14ac:dyDescent="0.3">
      <c r="A81" t="s">
        <v>1813</v>
      </c>
      <c r="B81" s="17">
        <v>108</v>
      </c>
      <c r="C81" s="17">
        <v>124</v>
      </c>
      <c r="D81" s="17">
        <v>232</v>
      </c>
    </row>
    <row r="82" spans="1:4" x14ac:dyDescent="0.3">
      <c r="A82" t="s">
        <v>1815</v>
      </c>
      <c r="B82" s="17">
        <v>109</v>
      </c>
      <c r="C82" s="17">
        <v>117</v>
      </c>
      <c r="D82" s="17">
        <v>226</v>
      </c>
    </row>
    <row r="83" spans="1:4" x14ac:dyDescent="0.3">
      <c r="A83" t="s">
        <v>1811</v>
      </c>
      <c r="B83" s="17">
        <v>105</v>
      </c>
      <c r="C83" s="17">
        <v>124</v>
      </c>
      <c r="D83" s="17">
        <v>229</v>
      </c>
    </row>
    <row r="84" spans="1:4" x14ac:dyDescent="0.3">
      <c r="A84" t="s">
        <v>1818</v>
      </c>
      <c r="B84" s="17">
        <v>107</v>
      </c>
      <c r="C84" s="17">
        <v>102</v>
      </c>
      <c r="D84" s="17">
        <v>209</v>
      </c>
    </row>
    <row r="85" spans="1:4" x14ac:dyDescent="0.3">
      <c r="A85" t="s">
        <v>1814</v>
      </c>
      <c r="B85" s="17">
        <v>91</v>
      </c>
      <c r="C85" s="17">
        <v>104</v>
      </c>
      <c r="D85" s="17">
        <v>195</v>
      </c>
    </row>
    <row r="86" spans="1:4" x14ac:dyDescent="0.3">
      <c r="A86" t="s">
        <v>1828</v>
      </c>
      <c r="B86" s="17">
        <v>824</v>
      </c>
      <c r="C86" s="17">
        <v>876</v>
      </c>
      <c r="D86" s="17">
        <v>1700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BB6E-46F9-4759-9F94-799736197436}">
  <dimension ref="A3:D21"/>
  <sheetViews>
    <sheetView zoomScale="70" zoomScaleNormal="130" workbookViewId="0">
      <selection activeCell="C9" sqref="C9"/>
    </sheetView>
  </sheetViews>
  <sheetFormatPr defaultRowHeight="14.4" x14ac:dyDescent="0.3"/>
  <cols>
    <col min="1" max="1" width="20.5546875" bestFit="1" customWidth="1"/>
    <col min="2" max="2" width="16.77734375" bestFit="1" customWidth="1"/>
    <col min="3" max="3" width="4.44140625" bestFit="1" customWidth="1"/>
    <col min="4" max="4" width="11.109375" bestFit="1" customWidth="1"/>
  </cols>
  <sheetData>
    <row r="3" spans="1:4" x14ac:dyDescent="0.3">
      <c r="A3" s="10" t="s">
        <v>1829</v>
      </c>
      <c r="B3" s="10" t="s">
        <v>10</v>
      </c>
    </row>
    <row r="4" spans="1:4" x14ac:dyDescent="0.3">
      <c r="A4" s="10" t="s">
        <v>4</v>
      </c>
      <c r="B4" t="s">
        <v>1810</v>
      </c>
      <c r="C4" t="s">
        <v>1809</v>
      </c>
      <c r="D4" t="s">
        <v>1828</v>
      </c>
    </row>
    <row r="5" spans="1:4" x14ac:dyDescent="0.3">
      <c r="A5" t="s">
        <v>1791</v>
      </c>
      <c r="B5" s="17">
        <v>102</v>
      </c>
      <c r="C5" s="17">
        <v>127</v>
      </c>
      <c r="D5" s="17">
        <v>229</v>
      </c>
    </row>
    <row r="6" spans="1:4" x14ac:dyDescent="0.3">
      <c r="A6" t="s">
        <v>1793</v>
      </c>
      <c r="B6" s="17">
        <v>99</v>
      </c>
      <c r="C6" s="17">
        <v>96</v>
      </c>
      <c r="D6" s="17">
        <v>195</v>
      </c>
    </row>
    <row r="7" spans="1:4" x14ac:dyDescent="0.3">
      <c r="A7" t="s">
        <v>1786</v>
      </c>
      <c r="B7" s="17">
        <v>94</v>
      </c>
      <c r="C7" s="17">
        <v>106</v>
      </c>
      <c r="D7" s="17">
        <v>200</v>
      </c>
    </row>
    <row r="8" spans="1:4" x14ac:dyDescent="0.3">
      <c r="A8" t="s">
        <v>1788</v>
      </c>
      <c r="B8" s="17">
        <v>94</v>
      </c>
      <c r="C8" s="17">
        <v>101</v>
      </c>
      <c r="D8" s="17">
        <v>195</v>
      </c>
    </row>
    <row r="9" spans="1:4" x14ac:dyDescent="0.3">
      <c r="A9" t="s">
        <v>1789</v>
      </c>
      <c r="B9" s="17">
        <v>101</v>
      </c>
      <c r="C9" s="17">
        <v>98</v>
      </c>
      <c r="D9" s="17">
        <v>199</v>
      </c>
    </row>
    <row r="10" spans="1:4" x14ac:dyDescent="0.3">
      <c r="A10" t="s">
        <v>1787</v>
      </c>
      <c r="B10" s="17">
        <v>104</v>
      </c>
      <c r="C10" s="17">
        <v>130</v>
      </c>
      <c r="D10" s="17">
        <v>234</v>
      </c>
    </row>
    <row r="11" spans="1:4" x14ac:dyDescent="0.3">
      <c r="A11" t="s">
        <v>1792</v>
      </c>
      <c r="B11" s="17">
        <v>114</v>
      </c>
      <c r="C11" s="17">
        <v>118</v>
      </c>
      <c r="D11" s="17">
        <v>232</v>
      </c>
    </row>
    <row r="12" spans="1:4" x14ac:dyDescent="0.3">
      <c r="A12" t="s">
        <v>1790</v>
      </c>
      <c r="B12" s="17">
        <v>116</v>
      </c>
      <c r="C12" s="17">
        <v>100</v>
      </c>
      <c r="D12" s="17">
        <v>216</v>
      </c>
    </row>
    <row r="13" spans="1:4" x14ac:dyDescent="0.3">
      <c r="A13" t="s">
        <v>1828</v>
      </c>
      <c r="B13" s="17">
        <v>824</v>
      </c>
      <c r="C13" s="17">
        <v>876</v>
      </c>
      <c r="D13" s="17">
        <v>1700</v>
      </c>
    </row>
    <row r="16" spans="1:4" x14ac:dyDescent="0.3">
      <c r="A16" s="10" t="s">
        <v>1829</v>
      </c>
      <c r="B16" s="10" t="s">
        <v>1830</v>
      </c>
    </row>
    <row r="17" spans="1:4" x14ac:dyDescent="0.3">
      <c r="A17" s="10" t="s">
        <v>1827</v>
      </c>
      <c r="B17" t="s">
        <v>1810</v>
      </c>
      <c r="C17" t="s">
        <v>1809</v>
      </c>
      <c r="D17" t="s">
        <v>1828</v>
      </c>
    </row>
    <row r="18" spans="1:4" x14ac:dyDescent="0.3">
      <c r="A18" s="11" t="s">
        <v>1784</v>
      </c>
      <c r="B18" s="17">
        <v>271</v>
      </c>
      <c r="C18" s="17">
        <v>282</v>
      </c>
      <c r="D18" s="17">
        <v>553</v>
      </c>
    </row>
    <row r="19" spans="1:4" x14ac:dyDescent="0.3">
      <c r="A19" s="11" t="s">
        <v>1783</v>
      </c>
      <c r="B19" s="17">
        <v>282</v>
      </c>
      <c r="C19" s="17">
        <v>308</v>
      </c>
      <c r="D19" s="17">
        <v>590</v>
      </c>
    </row>
    <row r="20" spans="1:4" x14ac:dyDescent="0.3">
      <c r="A20" s="11" t="s">
        <v>1785</v>
      </c>
      <c r="B20" s="17">
        <v>271</v>
      </c>
      <c r="C20" s="17">
        <v>286</v>
      </c>
      <c r="D20" s="17">
        <v>557</v>
      </c>
    </row>
    <row r="21" spans="1:4" x14ac:dyDescent="0.3">
      <c r="A21" s="11" t="s">
        <v>1828</v>
      </c>
      <c r="B21" s="17">
        <v>824</v>
      </c>
      <c r="C21" s="17">
        <v>876</v>
      </c>
      <c r="D21" s="17">
        <v>1700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B2AEE-73AC-4B49-9073-6FD66F758926}">
  <dimension ref="J4:BC21"/>
  <sheetViews>
    <sheetView tabSelected="1" zoomScale="30" zoomScaleNormal="30" workbookViewId="0">
      <selection activeCell="AM19" sqref="AM19"/>
    </sheetView>
  </sheetViews>
  <sheetFormatPr defaultRowHeight="14.4" x14ac:dyDescent="0.3"/>
  <cols>
    <col min="3" max="3" width="20.109375" bestFit="1" customWidth="1"/>
    <col min="10" max="10" width="8.21875" customWidth="1"/>
    <col min="19" max="19" width="11" bestFit="1" customWidth="1"/>
    <col min="24" max="24" width="7.6640625" customWidth="1"/>
    <col min="51" max="51" width="34" bestFit="1" customWidth="1"/>
    <col min="52" max="52" width="28.77734375" bestFit="1" customWidth="1"/>
    <col min="55" max="55" width="18.77734375" bestFit="1" customWidth="1"/>
  </cols>
  <sheetData>
    <row r="4" spans="10:55" ht="15.6" x14ac:dyDescent="0.3">
      <c r="BC4" s="14" t="s">
        <v>1840</v>
      </c>
    </row>
    <row r="5" spans="10:55" x14ac:dyDescent="0.3">
      <c r="AY5" t="s">
        <v>1829</v>
      </c>
      <c r="BC5">
        <f>GETPIVOTDATA("Employee_ID",$AY$5)</f>
        <v>1700</v>
      </c>
    </row>
    <row r="6" spans="10:55" x14ac:dyDescent="0.3">
      <c r="AY6" s="17">
        <v>1700</v>
      </c>
    </row>
    <row r="8" spans="10:55" x14ac:dyDescent="0.3">
      <c r="AY8" s="13"/>
      <c r="AZ8" s="13"/>
    </row>
    <row r="9" spans="10:55" ht="15.6" x14ac:dyDescent="0.3">
      <c r="J9" s="15"/>
      <c r="AY9" s="10" t="s">
        <v>1827</v>
      </c>
      <c r="AZ9" t="s">
        <v>1829</v>
      </c>
    </row>
    <row r="10" spans="10:55" x14ac:dyDescent="0.3">
      <c r="AY10" s="11" t="s">
        <v>1810</v>
      </c>
      <c r="AZ10" s="17">
        <v>824</v>
      </c>
    </row>
    <row r="11" spans="10:55" x14ac:dyDescent="0.3">
      <c r="AY11" s="11" t="s">
        <v>1809</v>
      </c>
      <c r="AZ11" s="17">
        <v>876</v>
      </c>
    </row>
    <row r="12" spans="10:55" x14ac:dyDescent="0.3">
      <c r="AY12" s="11" t="s">
        <v>1828</v>
      </c>
      <c r="AZ12" s="17">
        <v>1700</v>
      </c>
    </row>
    <row r="14" spans="10:55" x14ac:dyDescent="0.3">
      <c r="J14">
        <f>GETPIVOTDATA("Employee_ID",$AY$5)</f>
        <v>1700</v>
      </c>
      <c r="L14">
        <f>GETPIVOTDATA("Employee_ID",$AY$9,"Attrition","Yes")</f>
        <v>876</v>
      </c>
      <c r="P14" s="16">
        <f>L14/J14</f>
        <v>0.51529411764705879</v>
      </c>
      <c r="AA14" s="7">
        <f>GETPIVOTDATA("Performance_Rating",$AY$20)</f>
        <v>2.9876470588235295</v>
      </c>
      <c r="AY14" t="s">
        <v>1835</v>
      </c>
    </row>
    <row r="15" spans="10:55" x14ac:dyDescent="0.3">
      <c r="P15" s="16">
        <f>P14</f>
        <v>0.51529411764705879</v>
      </c>
      <c r="S15" s="5">
        <f>GETPIVOTDATA("Salary",$AY$14)</f>
        <v>70561.61352941177</v>
      </c>
      <c r="X15" s="7">
        <f>GETPIVOTDATA("Tennure_Years",$AY$17)</f>
        <v>4.3570588235294121</v>
      </c>
      <c r="AY15" s="5">
        <v>70561.61352941177</v>
      </c>
    </row>
    <row r="16" spans="10:55" x14ac:dyDescent="0.3">
      <c r="X16" s="2"/>
    </row>
    <row r="17" spans="51:51" x14ac:dyDescent="0.3">
      <c r="AY17" t="s">
        <v>1838</v>
      </c>
    </row>
    <row r="18" spans="51:51" x14ac:dyDescent="0.3">
      <c r="AY18" s="7">
        <v>4.3570588235294121</v>
      </c>
    </row>
    <row r="20" spans="51:51" x14ac:dyDescent="0.3">
      <c r="AY20" t="s">
        <v>1839</v>
      </c>
    </row>
    <row r="21" spans="51:51" x14ac:dyDescent="0.3">
      <c r="AY21" s="7">
        <v>2.9876470588235295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KPI s</vt:lpstr>
      <vt:lpstr>PIVOT TABLES 2</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Rahul Pradhan</cp:lastModifiedBy>
  <dcterms:created xsi:type="dcterms:W3CDTF">2025-11-27T19:43:07Z</dcterms:created>
  <dcterms:modified xsi:type="dcterms:W3CDTF">2025-12-10T14:11:28Z</dcterms:modified>
</cp:coreProperties>
</file>